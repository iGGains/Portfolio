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Gai\Desktop\Freelance\__Other\"/>
    </mc:Choice>
  </mc:AlternateContent>
  <xr:revisionPtr revIDLastSave="0" documentId="13_ncr:1_{011FF4B7-2218-4661-8CB7-0E73CA281DE9}" xr6:coauthVersionLast="47" xr6:coauthVersionMax="47" xr10:uidLastSave="{00000000-0000-0000-0000-000000000000}"/>
  <bookViews>
    <workbookView xWindow="-108" yWindow="-108" windowWidth="23256" windowHeight="12456" xr2:uid="{630B8AF6-D1F3-4603-9FAB-EFD09BE7502F}"/>
  </bookViews>
  <sheets>
    <sheet name="INPUTS" sheetId="4" r:id="rId1"/>
    <sheet name="Amortization" sheetId="1" r:id="rId2"/>
    <sheet name="Yearly Totals" sheetId="3" r:id="rId3"/>
    <sheet name="Txt_Dates" sheetId="5" state="hidden" r:id="rId4"/>
  </sheets>
  <definedNames>
    <definedName name="_xlnm._FilterDatabase" localSheetId="1" hidden="1">Amortization!$A$16:$M$1017</definedName>
    <definedName name="_xlnm._FilterDatabase" localSheetId="2" hidden="1">'Yearly Totals'!$A$17:$Y$1018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4" l="1"/>
  <c r="D18" i="1"/>
  <c r="A3" i="5" s="1"/>
  <c r="D3" i="5" s="1"/>
  <c r="A2" i="5"/>
  <c r="D2" i="5" s="1"/>
  <c r="C7" i="1"/>
  <c r="A7" i="3"/>
  <c r="B8" i="3"/>
  <c r="A14" i="3"/>
  <c r="D12" i="3"/>
  <c r="A12" i="3"/>
  <c r="C8" i="3"/>
  <c r="F8" i="1"/>
  <c r="E8" i="1"/>
  <c r="E1018" i="3"/>
  <c r="D1018" i="3"/>
  <c r="C1018" i="3"/>
  <c r="B1018" i="3"/>
  <c r="E1017" i="3"/>
  <c r="D1017" i="3"/>
  <c r="C1017" i="3"/>
  <c r="B1017" i="3"/>
  <c r="E1016" i="3"/>
  <c r="D1016" i="3"/>
  <c r="C1016" i="3"/>
  <c r="B1016" i="3"/>
  <c r="E1015" i="3"/>
  <c r="D1015" i="3"/>
  <c r="C1015" i="3"/>
  <c r="B1015" i="3"/>
  <c r="E1014" i="3"/>
  <c r="D1014" i="3"/>
  <c r="C1014" i="3"/>
  <c r="B1014" i="3"/>
  <c r="E1013" i="3"/>
  <c r="D1013" i="3"/>
  <c r="C1013" i="3"/>
  <c r="B1013" i="3"/>
  <c r="E1012" i="3"/>
  <c r="D1012" i="3"/>
  <c r="C1012" i="3"/>
  <c r="B1012" i="3"/>
  <c r="E1011" i="3"/>
  <c r="D1011" i="3"/>
  <c r="C1011" i="3"/>
  <c r="B1011" i="3"/>
  <c r="E1010" i="3"/>
  <c r="D1010" i="3"/>
  <c r="C1010" i="3"/>
  <c r="B1010" i="3"/>
  <c r="E1009" i="3"/>
  <c r="D1009" i="3"/>
  <c r="C1009" i="3"/>
  <c r="B1009" i="3"/>
  <c r="E1008" i="3"/>
  <c r="D1008" i="3"/>
  <c r="C1008" i="3"/>
  <c r="B1008" i="3"/>
  <c r="E1007" i="3"/>
  <c r="D1007" i="3"/>
  <c r="C1007" i="3"/>
  <c r="B1007" i="3"/>
  <c r="E1006" i="3"/>
  <c r="D1006" i="3"/>
  <c r="C1006" i="3"/>
  <c r="B1006" i="3"/>
  <c r="E1005" i="3"/>
  <c r="D1005" i="3"/>
  <c r="C1005" i="3"/>
  <c r="B1005" i="3"/>
  <c r="E1004" i="3"/>
  <c r="D1004" i="3"/>
  <c r="C1004" i="3"/>
  <c r="B1004" i="3"/>
  <c r="E1003" i="3"/>
  <c r="D1003" i="3"/>
  <c r="C1003" i="3"/>
  <c r="B1003" i="3"/>
  <c r="E1002" i="3"/>
  <c r="D1002" i="3"/>
  <c r="C1002" i="3"/>
  <c r="B1002" i="3"/>
  <c r="E1001" i="3"/>
  <c r="D1001" i="3"/>
  <c r="C1001" i="3"/>
  <c r="B1001" i="3"/>
  <c r="E1000" i="3"/>
  <c r="D1000" i="3"/>
  <c r="C1000" i="3"/>
  <c r="B1000" i="3"/>
  <c r="E999" i="3"/>
  <c r="D999" i="3"/>
  <c r="C999" i="3"/>
  <c r="B999" i="3"/>
  <c r="E998" i="3"/>
  <c r="D998" i="3"/>
  <c r="C998" i="3"/>
  <c r="B998" i="3"/>
  <c r="E997" i="3"/>
  <c r="D997" i="3"/>
  <c r="C997" i="3"/>
  <c r="B997" i="3"/>
  <c r="E996" i="3"/>
  <c r="D996" i="3"/>
  <c r="C996" i="3"/>
  <c r="B996" i="3"/>
  <c r="E995" i="3"/>
  <c r="D995" i="3"/>
  <c r="C995" i="3"/>
  <c r="B995" i="3"/>
  <c r="E994" i="3"/>
  <c r="D994" i="3"/>
  <c r="C994" i="3"/>
  <c r="B994" i="3"/>
  <c r="E993" i="3"/>
  <c r="D993" i="3"/>
  <c r="C993" i="3"/>
  <c r="B993" i="3"/>
  <c r="E992" i="3"/>
  <c r="D992" i="3"/>
  <c r="C992" i="3"/>
  <c r="B992" i="3"/>
  <c r="E991" i="3"/>
  <c r="D991" i="3"/>
  <c r="C991" i="3"/>
  <c r="B991" i="3"/>
  <c r="E990" i="3"/>
  <c r="D990" i="3"/>
  <c r="C990" i="3"/>
  <c r="B990" i="3"/>
  <c r="E989" i="3"/>
  <c r="D989" i="3"/>
  <c r="C989" i="3"/>
  <c r="B989" i="3"/>
  <c r="E988" i="3"/>
  <c r="D988" i="3"/>
  <c r="C988" i="3"/>
  <c r="B988" i="3"/>
  <c r="E987" i="3"/>
  <c r="D987" i="3"/>
  <c r="C987" i="3"/>
  <c r="B987" i="3"/>
  <c r="E986" i="3"/>
  <c r="D986" i="3"/>
  <c r="C986" i="3"/>
  <c r="B986" i="3"/>
  <c r="E985" i="3"/>
  <c r="D985" i="3"/>
  <c r="C985" i="3"/>
  <c r="B985" i="3"/>
  <c r="E984" i="3"/>
  <c r="D984" i="3"/>
  <c r="C984" i="3"/>
  <c r="B984" i="3"/>
  <c r="E983" i="3"/>
  <c r="D983" i="3"/>
  <c r="C983" i="3"/>
  <c r="B983" i="3"/>
  <c r="E982" i="3"/>
  <c r="D982" i="3"/>
  <c r="C982" i="3"/>
  <c r="B982" i="3"/>
  <c r="E981" i="3"/>
  <c r="D981" i="3"/>
  <c r="C981" i="3"/>
  <c r="B981" i="3"/>
  <c r="E980" i="3"/>
  <c r="D980" i="3"/>
  <c r="C980" i="3"/>
  <c r="B980" i="3"/>
  <c r="E979" i="3"/>
  <c r="D979" i="3"/>
  <c r="C979" i="3"/>
  <c r="B979" i="3"/>
  <c r="E978" i="3"/>
  <c r="D978" i="3"/>
  <c r="C978" i="3"/>
  <c r="B978" i="3"/>
  <c r="E977" i="3"/>
  <c r="D977" i="3"/>
  <c r="C977" i="3"/>
  <c r="B977" i="3"/>
  <c r="E976" i="3"/>
  <c r="D976" i="3"/>
  <c r="C976" i="3"/>
  <c r="B976" i="3"/>
  <c r="E975" i="3"/>
  <c r="D975" i="3"/>
  <c r="C975" i="3"/>
  <c r="B975" i="3"/>
  <c r="E974" i="3"/>
  <c r="D974" i="3"/>
  <c r="C974" i="3"/>
  <c r="B974" i="3"/>
  <c r="E973" i="3"/>
  <c r="D973" i="3"/>
  <c r="C973" i="3"/>
  <c r="B973" i="3"/>
  <c r="E972" i="3"/>
  <c r="D972" i="3"/>
  <c r="C972" i="3"/>
  <c r="B972" i="3"/>
  <c r="E971" i="3"/>
  <c r="D971" i="3"/>
  <c r="C971" i="3"/>
  <c r="B971" i="3"/>
  <c r="E970" i="3"/>
  <c r="D970" i="3"/>
  <c r="C970" i="3"/>
  <c r="B970" i="3"/>
  <c r="E969" i="3"/>
  <c r="D969" i="3"/>
  <c r="C969" i="3"/>
  <c r="B969" i="3"/>
  <c r="E968" i="3"/>
  <c r="D968" i="3"/>
  <c r="C968" i="3"/>
  <c r="B968" i="3"/>
  <c r="E967" i="3"/>
  <c r="D967" i="3"/>
  <c r="C967" i="3"/>
  <c r="B967" i="3"/>
  <c r="E966" i="3"/>
  <c r="D966" i="3"/>
  <c r="C966" i="3"/>
  <c r="B966" i="3"/>
  <c r="E965" i="3"/>
  <c r="D965" i="3"/>
  <c r="C965" i="3"/>
  <c r="B965" i="3"/>
  <c r="E964" i="3"/>
  <c r="D964" i="3"/>
  <c r="C964" i="3"/>
  <c r="B964" i="3"/>
  <c r="E963" i="3"/>
  <c r="D963" i="3"/>
  <c r="C963" i="3"/>
  <c r="B963" i="3"/>
  <c r="E962" i="3"/>
  <c r="D962" i="3"/>
  <c r="C962" i="3"/>
  <c r="B962" i="3"/>
  <c r="E961" i="3"/>
  <c r="D961" i="3"/>
  <c r="C961" i="3"/>
  <c r="B961" i="3"/>
  <c r="E960" i="3"/>
  <c r="D960" i="3"/>
  <c r="C960" i="3"/>
  <c r="B960" i="3"/>
  <c r="E959" i="3"/>
  <c r="D959" i="3"/>
  <c r="C959" i="3"/>
  <c r="B959" i="3"/>
  <c r="E958" i="3"/>
  <c r="D958" i="3"/>
  <c r="C958" i="3"/>
  <c r="B958" i="3"/>
  <c r="E957" i="3"/>
  <c r="D957" i="3"/>
  <c r="C957" i="3"/>
  <c r="B957" i="3"/>
  <c r="E956" i="3"/>
  <c r="D956" i="3"/>
  <c r="C956" i="3"/>
  <c r="B956" i="3"/>
  <c r="E955" i="3"/>
  <c r="D955" i="3"/>
  <c r="C955" i="3"/>
  <c r="B955" i="3"/>
  <c r="E954" i="3"/>
  <c r="D954" i="3"/>
  <c r="C954" i="3"/>
  <c r="B954" i="3"/>
  <c r="E953" i="3"/>
  <c r="D953" i="3"/>
  <c r="C953" i="3"/>
  <c r="B953" i="3"/>
  <c r="E952" i="3"/>
  <c r="D952" i="3"/>
  <c r="C952" i="3"/>
  <c r="B952" i="3"/>
  <c r="E951" i="3"/>
  <c r="D951" i="3"/>
  <c r="C951" i="3"/>
  <c r="B951" i="3"/>
  <c r="E950" i="3"/>
  <c r="D950" i="3"/>
  <c r="C950" i="3"/>
  <c r="B950" i="3"/>
  <c r="E949" i="3"/>
  <c r="D949" i="3"/>
  <c r="C949" i="3"/>
  <c r="B949" i="3"/>
  <c r="E948" i="3"/>
  <c r="D948" i="3"/>
  <c r="C948" i="3"/>
  <c r="B948" i="3"/>
  <c r="E947" i="3"/>
  <c r="D947" i="3"/>
  <c r="C947" i="3"/>
  <c r="B947" i="3"/>
  <c r="E946" i="3"/>
  <c r="D946" i="3"/>
  <c r="C946" i="3"/>
  <c r="B946" i="3"/>
  <c r="E945" i="3"/>
  <c r="D945" i="3"/>
  <c r="C945" i="3"/>
  <c r="B945" i="3"/>
  <c r="E944" i="3"/>
  <c r="D944" i="3"/>
  <c r="C944" i="3"/>
  <c r="B944" i="3"/>
  <c r="E943" i="3"/>
  <c r="D943" i="3"/>
  <c r="C943" i="3"/>
  <c r="B943" i="3"/>
  <c r="E942" i="3"/>
  <c r="D942" i="3"/>
  <c r="C942" i="3"/>
  <c r="B942" i="3"/>
  <c r="E941" i="3"/>
  <c r="D941" i="3"/>
  <c r="C941" i="3"/>
  <c r="B941" i="3"/>
  <c r="E940" i="3"/>
  <c r="D940" i="3"/>
  <c r="C940" i="3"/>
  <c r="B940" i="3"/>
  <c r="E939" i="3"/>
  <c r="D939" i="3"/>
  <c r="C939" i="3"/>
  <c r="B939" i="3"/>
  <c r="E938" i="3"/>
  <c r="D938" i="3"/>
  <c r="C938" i="3"/>
  <c r="B938" i="3"/>
  <c r="E937" i="3"/>
  <c r="D937" i="3"/>
  <c r="C937" i="3"/>
  <c r="B937" i="3"/>
  <c r="E936" i="3"/>
  <c r="D936" i="3"/>
  <c r="C936" i="3"/>
  <c r="B936" i="3"/>
  <c r="E935" i="3"/>
  <c r="D935" i="3"/>
  <c r="C935" i="3"/>
  <c r="B935" i="3"/>
  <c r="E934" i="3"/>
  <c r="D934" i="3"/>
  <c r="C934" i="3"/>
  <c r="B934" i="3"/>
  <c r="E933" i="3"/>
  <c r="D933" i="3"/>
  <c r="C933" i="3"/>
  <c r="B933" i="3"/>
  <c r="E932" i="3"/>
  <c r="D932" i="3"/>
  <c r="C932" i="3"/>
  <c r="B932" i="3"/>
  <c r="E931" i="3"/>
  <c r="D931" i="3"/>
  <c r="C931" i="3"/>
  <c r="B931" i="3"/>
  <c r="E930" i="3"/>
  <c r="D930" i="3"/>
  <c r="C930" i="3"/>
  <c r="B930" i="3"/>
  <c r="E929" i="3"/>
  <c r="D929" i="3"/>
  <c r="C929" i="3"/>
  <c r="B929" i="3"/>
  <c r="E928" i="3"/>
  <c r="D928" i="3"/>
  <c r="C928" i="3"/>
  <c r="B928" i="3"/>
  <c r="E927" i="3"/>
  <c r="D927" i="3"/>
  <c r="C927" i="3"/>
  <c r="B927" i="3"/>
  <c r="E926" i="3"/>
  <c r="D926" i="3"/>
  <c r="C926" i="3"/>
  <c r="B926" i="3"/>
  <c r="E925" i="3"/>
  <c r="D925" i="3"/>
  <c r="C925" i="3"/>
  <c r="B925" i="3"/>
  <c r="E924" i="3"/>
  <c r="D924" i="3"/>
  <c r="C924" i="3"/>
  <c r="B924" i="3"/>
  <c r="E923" i="3"/>
  <c r="D923" i="3"/>
  <c r="C923" i="3"/>
  <c r="B923" i="3"/>
  <c r="E922" i="3"/>
  <c r="D922" i="3"/>
  <c r="C922" i="3"/>
  <c r="B922" i="3"/>
  <c r="E921" i="3"/>
  <c r="D921" i="3"/>
  <c r="C921" i="3"/>
  <c r="B921" i="3"/>
  <c r="E920" i="3"/>
  <c r="D920" i="3"/>
  <c r="C920" i="3"/>
  <c r="B920" i="3"/>
  <c r="E919" i="3"/>
  <c r="D919" i="3"/>
  <c r="C919" i="3"/>
  <c r="B919" i="3"/>
  <c r="E918" i="3"/>
  <c r="D918" i="3"/>
  <c r="C918" i="3"/>
  <c r="B918" i="3"/>
  <c r="E917" i="3"/>
  <c r="D917" i="3"/>
  <c r="C917" i="3"/>
  <c r="B917" i="3"/>
  <c r="E916" i="3"/>
  <c r="D916" i="3"/>
  <c r="C916" i="3"/>
  <c r="B916" i="3"/>
  <c r="E915" i="3"/>
  <c r="D915" i="3"/>
  <c r="C915" i="3"/>
  <c r="B915" i="3"/>
  <c r="E914" i="3"/>
  <c r="D914" i="3"/>
  <c r="C914" i="3"/>
  <c r="B914" i="3"/>
  <c r="E913" i="3"/>
  <c r="D913" i="3"/>
  <c r="C913" i="3"/>
  <c r="B913" i="3"/>
  <c r="E912" i="3"/>
  <c r="D912" i="3"/>
  <c r="C912" i="3"/>
  <c r="B912" i="3"/>
  <c r="E911" i="3"/>
  <c r="D911" i="3"/>
  <c r="C911" i="3"/>
  <c r="B911" i="3"/>
  <c r="E910" i="3"/>
  <c r="D910" i="3"/>
  <c r="C910" i="3"/>
  <c r="B910" i="3"/>
  <c r="E909" i="3"/>
  <c r="D909" i="3"/>
  <c r="C909" i="3"/>
  <c r="B909" i="3"/>
  <c r="E908" i="3"/>
  <c r="D908" i="3"/>
  <c r="C908" i="3"/>
  <c r="B908" i="3"/>
  <c r="E907" i="3"/>
  <c r="D907" i="3"/>
  <c r="C907" i="3"/>
  <c r="B907" i="3"/>
  <c r="E906" i="3"/>
  <c r="D906" i="3"/>
  <c r="C906" i="3"/>
  <c r="B906" i="3"/>
  <c r="E905" i="3"/>
  <c r="D905" i="3"/>
  <c r="C905" i="3"/>
  <c r="B905" i="3"/>
  <c r="E904" i="3"/>
  <c r="D904" i="3"/>
  <c r="C904" i="3"/>
  <c r="B904" i="3"/>
  <c r="E903" i="3"/>
  <c r="D903" i="3"/>
  <c r="C903" i="3"/>
  <c r="B903" i="3"/>
  <c r="E902" i="3"/>
  <c r="D902" i="3"/>
  <c r="C902" i="3"/>
  <c r="B902" i="3"/>
  <c r="E901" i="3"/>
  <c r="D901" i="3"/>
  <c r="C901" i="3"/>
  <c r="B901" i="3"/>
  <c r="E900" i="3"/>
  <c r="D900" i="3"/>
  <c r="C900" i="3"/>
  <c r="B900" i="3"/>
  <c r="E899" i="3"/>
  <c r="D899" i="3"/>
  <c r="C899" i="3"/>
  <c r="B899" i="3"/>
  <c r="E898" i="3"/>
  <c r="D898" i="3"/>
  <c r="C898" i="3"/>
  <c r="B898" i="3"/>
  <c r="E897" i="3"/>
  <c r="D897" i="3"/>
  <c r="C897" i="3"/>
  <c r="B897" i="3"/>
  <c r="E896" i="3"/>
  <c r="D896" i="3"/>
  <c r="C896" i="3"/>
  <c r="B896" i="3"/>
  <c r="E895" i="3"/>
  <c r="D895" i="3"/>
  <c r="C895" i="3"/>
  <c r="B895" i="3"/>
  <c r="E894" i="3"/>
  <c r="D894" i="3"/>
  <c r="C894" i="3"/>
  <c r="B894" i="3"/>
  <c r="E893" i="3"/>
  <c r="D893" i="3"/>
  <c r="C893" i="3"/>
  <c r="B893" i="3"/>
  <c r="E892" i="3"/>
  <c r="D892" i="3"/>
  <c r="C892" i="3"/>
  <c r="B892" i="3"/>
  <c r="E891" i="3"/>
  <c r="D891" i="3"/>
  <c r="C891" i="3"/>
  <c r="B891" i="3"/>
  <c r="E890" i="3"/>
  <c r="D890" i="3"/>
  <c r="C890" i="3"/>
  <c r="B890" i="3"/>
  <c r="E889" i="3"/>
  <c r="D889" i="3"/>
  <c r="C889" i="3"/>
  <c r="B889" i="3"/>
  <c r="E888" i="3"/>
  <c r="D888" i="3"/>
  <c r="C888" i="3"/>
  <c r="B888" i="3"/>
  <c r="E887" i="3"/>
  <c r="D887" i="3"/>
  <c r="C887" i="3"/>
  <c r="B887" i="3"/>
  <c r="E886" i="3"/>
  <c r="D886" i="3"/>
  <c r="C886" i="3"/>
  <c r="B886" i="3"/>
  <c r="E885" i="3"/>
  <c r="D885" i="3"/>
  <c r="C885" i="3"/>
  <c r="B885" i="3"/>
  <c r="E884" i="3"/>
  <c r="D884" i="3"/>
  <c r="C884" i="3"/>
  <c r="B884" i="3"/>
  <c r="E883" i="3"/>
  <c r="D883" i="3"/>
  <c r="C883" i="3"/>
  <c r="B883" i="3"/>
  <c r="E882" i="3"/>
  <c r="D882" i="3"/>
  <c r="C882" i="3"/>
  <c r="B882" i="3"/>
  <c r="E881" i="3"/>
  <c r="D881" i="3"/>
  <c r="C881" i="3"/>
  <c r="B881" i="3"/>
  <c r="E880" i="3"/>
  <c r="D880" i="3"/>
  <c r="C880" i="3"/>
  <c r="B880" i="3"/>
  <c r="E879" i="3"/>
  <c r="D879" i="3"/>
  <c r="C879" i="3"/>
  <c r="B879" i="3"/>
  <c r="E878" i="3"/>
  <c r="D878" i="3"/>
  <c r="C878" i="3"/>
  <c r="B878" i="3"/>
  <c r="E877" i="3"/>
  <c r="D877" i="3"/>
  <c r="C877" i="3"/>
  <c r="B877" i="3"/>
  <c r="E876" i="3"/>
  <c r="D876" i="3"/>
  <c r="C876" i="3"/>
  <c r="B876" i="3"/>
  <c r="E875" i="3"/>
  <c r="D875" i="3"/>
  <c r="C875" i="3"/>
  <c r="B875" i="3"/>
  <c r="E874" i="3"/>
  <c r="D874" i="3"/>
  <c r="C874" i="3"/>
  <c r="B874" i="3"/>
  <c r="E873" i="3"/>
  <c r="D873" i="3"/>
  <c r="C873" i="3"/>
  <c r="B873" i="3"/>
  <c r="E872" i="3"/>
  <c r="D872" i="3"/>
  <c r="C872" i="3"/>
  <c r="B872" i="3"/>
  <c r="E871" i="3"/>
  <c r="D871" i="3"/>
  <c r="C871" i="3"/>
  <c r="B871" i="3"/>
  <c r="E870" i="3"/>
  <c r="D870" i="3"/>
  <c r="C870" i="3"/>
  <c r="B870" i="3"/>
  <c r="E869" i="3"/>
  <c r="D869" i="3"/>
  <c r="C869" i="3"/>
  <c r="B869" i="3"/>
  <c r="E868" i="3"/>
  <c r="D868" i="3"/>
  <c r="C868" i="3"/>
  <c r="B868" i="3"/>
  <c r="E867" i="3"/>
  <c r="D867" i="3"/>
  <c r="C867" i="3"/>
  <c r="B867" i="3"/>
  <c r="E866" i="3"/>
  <c r="D866" i="3"/>
  <c r="C866" i="3"/>
  <c r="B866" i="3"/>
  <c r="E865" i="3"/>
  <c r="D865" i="3"/>
  <c r="C865" i="3"/>
  <c r="B865" i="3"/>
  <c r="E864" i="3"/>
  <c r="D864" i="3"/>
  <c r="C864" i="3"/>
  <c r="B864" i="3"/>
  <c r="E863" i="3"/>
  <c r="D863" i="3"/>
  <c r="C863" i="3"/>
  <c r="B863" i="3"/>
  <c r="E862" i="3"/>
  <c r="D862" i="3"/>
  <c r="C862" i="3"/>
  <c r="B862" i="3"/>
  <c r="E861" i="3"/>
  <c r="D861" i="3"/>
  <c r="C861" i="3"/>
  <c r="B861" i="3"/>
  <c r="E860" i="3"/>
  <c r="D860" i="3"/>
  <c r="C860" i="3"/>
  <c r="B860" i="3"/>
  <c r="E859" i="3"/>
  <c r="D859" i="3"/>
  <c r="C859" i="3"/>
  <c r="B859" i="3"/>
  <c r="E858" i="3"/>
  <c r="D858" i="3"/>
  <c r="C858" i="3"/>
  <c r="B858" i="3"/>
  <c r="E857" i="3"/>
  <c r="D857" i="3"/>
  <c r="C857" i="3"/>
  <c r="B857" i="3"/>
  <c r="E856" i="3"/>
  <c r="D856" i="3"/>
  <c r="C856" i="3"/>
  <c r="B856" i="3"/>
  <c r="E855" i="3"/>
  <c r="D855" i="3"/>
  <c r="C855" i="3"/>
  <c r="B855" i="3"/>
  <c r="E854" i="3"/>
  <c r="D854" i="3"/>
  <c r="C854" i="3"/>
  <c r="B854" i="3"/>
  <c r="E853" i="3"/>
  <c r="D853" i="3"/>
  <c r="C853" i="3"/>
  <c r="B853" i="3"/>
  <c r="E852" i="3"/>
  <c r="D852" i="3"/>
  <c r="C852" i="3"/>
  <c r="B852" i="3"/>
  <c r="E851" i="3"/>
  <c r="D851" i="3"/>
  <c r="C851" i="3"/>
  <c r="B851" i="3"/>
  <c r="E850" i="3"/>
  <c r="D850" i="3"/>
  <c r="C850" i="3"/>
  <c r="B850" i="3"/>
  <c r="E849" i="3"/>
  <c r="D849" i="3"/>
  <c r="C849" i="3"/>
  <c r="B849" i="3"/>
  <c r="E848" i="3"/>
  <c r="D848" i="3"/>
  <c r="C848" i="3"/>
  <c r="B848" i="3"/>
  <c r="E847" i="3"/>
  <c r="D847" i="3"/>
  <c r="C847" i="3"/>
  <c r="B847" i="3"/>
  <c r="E846" i="3"/>
  <c r="D846" i="3"/>
  <c r="C846" i="3"/>
  <c r="B846" i="3"/>
  <c r="E845" i="3"/>
  <c r="D845" i="3"/>
  <c r="C845" i="3"/>
  <c r="B845" i="3"/>
  <c r="E844" i="3"/>
  <c r="D844" i="3"/>
  <c r="C844" i="3"/>
  <c r="B844" i="3"/>
  <c r="E843" i="3"/>
  <c r="D843" i="3"/>
  <c r="C843" i="3"/>
  <c r="B843" i="3"/>
  <c r="E842" i="3"/>
  <c r="D842" i="3"/>
  <c r="C842" i="3"/>
  <c r="B842" i="3"/>
  <c r="E841" i="3"/>
  <c r="D841" i="3"/>
  <c r="C841" i="3"/>
  <c r="B841" i="3"/>
  <c r="E840" i="3"/>
  <c r="D840" i="3"/>
  <c r="C840" i="3"/>
  <c r="B840" i="3"/>
  <c r="E839" i="3"/>
  <c r="D839" i="3"/>
  <c r="C839" i="3"/>
  <c r="B839" i="3"/>
  <c r="E838" i="3"/>
  <c r="D838" i="3"/>
  <c r="C838" i="3"/>
  <c r="B838" i="3"/>
  <c r="E837" i="3"/>
  <c r="D837" i="3"/>
  <c r="C837" i="3"/>
  <c r="B837" i="3"/>
  <c r="E836" i="3"/>
  <c r="D836" i="3"/>
  <c r="C836" i="3"/>
  <c r="B836" i="3"/>
  <c r="E835" i="3"/>
  <c r="D835" i="3"/>
  <c r="C835" i="3"/>
  <c r="B835" i="3"/>
  <c r="E834" i="3"/>
  <c r="D834" i="3"/>
  <c r="C834" i="3"/>
  <c r="B834" i="3"/>
  <c r="E833" i="3"/>
  <c r="D833" i="3"/>
  <c r="C833" i="3"/>
  <c r="B833" i="3"/>
  <c r="E832" i="3"/>
  <c r="D832" i="3"/>
  <c r="C832" i="3"/>
  <c r="B832" i="3"/>
  <c r="E831" i="3"/>
  <c r="D831" i="3"/>
  <c r="C831" i="3"/>
  <c r="B831" i="3"/>
  <c r="E830" i="3"/>
  <c r="D830" i="3"/>
  <c r="C830" i="3"/>
  <c r="B830" i="3"/>
  <c r="E829" i="3"/>
  <c r="D829" i="3"/>
  <c r="C829" i="3"/>
  <c r="B829" i="3"/>
  <c r="E828" i="3"/>
  <c r="D828" i="3"/>
  <c r="C828" i="3"/>
  <c r="B828" i="3"/>
  <c r="E827" i="3"/>
  <c r="D827" i="3"/>
  <c r="C827" i="3"/>
  <c r="B827" i="3"/>
  <c r="E826" i="3"/>
  <c r="D826" i="3"/>
  <c r="C826" i="3"/>
  <c r="B826" i="3"/>
  <c r="E825" i="3"/>
  <c r="D825" i="3"/>
  <c r="C825" i="3"/>
  <c r="B825" i="3"/>
  <c r="E824" i="3"/>
  <c r="D824" i="3"/>
  <c r="C824" i="3"/>
  <c r="B824" i="3"/>
  <c r="E823" i="3"/>
  <c r="D823" i="3"/>
  <c r="C823" i="3"/>
  <c r="B823" i="3"/>
  <c r="E822" i="3"/>
  <c r="D822" i="3"/>
  <c r="C822" i="3"/>
  <c r="B822" i="3"/>
  <c r="E821" i="3"/>
  <c r="D821" i="3"/>
  <c r="C821" i="3"/>
  <c r="B821" i="3"/>
  <c r="E820" i="3"/>
  <c r="D820" i="3"/>
  <c r="C820" i="3"/>
  <c r="B820" i="3"/>
  <c r="E819" i="3"/>
  <c r="D819" i="3"/>
  <c r="C819" i="3"/>
  <c r="B819" i="3"/>
  <c r="E818" i="3"/>
  <c r="D818" i="3"/>
  <c r="C818" i="3"/>
  <c r="B818" i="3"/>
  <c r="E817" i="3"/>
  <c r="D817" i="3"/>
  <c r="C817" i="3"/>
  <c r="B817" i="3"/>
  <c r="E816" i="3"/>
  <c r="D816" i="3"/>
  <c r="C816" i="3"/>
  <c r="B816" i="3"/>
  <c r="E815" i="3"/>
  <c r="D815" i="3"/>
  <c r="C815" i="3"/>
  <c r="B815" i="3"/>
  <c r="E814" i="3"/>
  <c r="D814" i="3"/>
  <c r="C814" i="3"/>
  <c r="B814" i="3"/>
  <c r="E813" i="3"/>
  <c r="D813" i="3"/>
  <c r="C813" i="3"/>
  <c r="B813" i="3"/>
  <c r="E812" i="3"/>
  <c r="D812" i="3"/>
  <c r="C812" i="3"/>
  <c r="B812" i="3"/>
  <c r="E811" i="3"/>
  <c r="D811" i="3"/>
  <c r="C811" i="3"/>
  <c r="B811" i="3"/>
  <c r="E810" i="3"/>
  <c r="D810" i="3"/>
  <c r="C810" i="3"/>
  <c r="B810" i="3"/>
  <c r="E809" i="3"/>
  <c r="D809" i="3"/>
  <c r="C809" i="3"/>
  <c r="B809" i="3"/>
  <c r="E808" i="3"/>
  <c r="D808" i="3"/>
  <c r="C808" i="3"/>
  <c r="B808" i="3"/>
  <c r="E807" i="3"/>
  <c r="D807" i="3"/>
  <c r="C807" i="3"/>
  <c r="B807" i="3"/>
  <c r="E806" i="3"/>
  <c r="D806" i="3"/>
  <c r="C806" i="3"/>
  <c r="B806" i="3"/>
  <c r="E805" i="3"/>
  <c r="D805" i="3"/>
  <c r="C805" i="3"/>
  <c r="B805" i="3"/>
  <c r="E804" i="3"/>
  <c r="D804" i="3"/>
  <c r="C804" i="3"/>
  <c r="B804" i="3"/>
  <c r="E803" i="3"/>
  <c r="D803" i="3"/>
  <c r="C803" i="3"/>
  <c r="B803" i="3"/>
  <c r="E802" i="3"/>
  <c r="D802" i="3"/>
  <c r="C802" i="3"/>
  <c r="B802" i="3"/>
  <c r="E801" i="3"/>
  <c r="D801" i="3"/>
  <c r="C801" i="3"/>
  <c r="B801" i="3"/>
  <c r="E800" i="3"/>
  <c r="D800" i="3"/>
  <c r="C800" i="3"/>
  <c r="B800" i="3"/>
  <c r="E799" i="3"/>
  <c r="D799" i="3"/>
  <c r="C799" i="3"/>
  <c r="B799" i="3"/>
  <c r="E798" i="3"/>
  <c r="D798" i="3"/>
  <c r="C798" i="3"/>
  <c r="B798" i="3"/>
  <c r="E797" i="3"/>
  <c r="D797" i="3"/>
  <c r="C797" i="3"/>
  <c r="B797" i="3"/>
  <c r="E796" i="3"/>
  <c r="D796" i="3"/>
  <c r="C796" i="3"/>
  <c r="B796" i="3"/>
  <c r="E795" i="3"/>
  <c r="D795" i="3"/>
  <c r="C795" i="3"/>
  <c r="B795" i="3"/>
  <c r="E794" i="3"/>
  <c r="D794" i="3"/>
  <c r="C794" i="3"/>
  <c r="B794" i="3"/>
  <c r="E793" i="3"/>
  <c r="D793" i="3"/>
  <c r="C793" i="3"/>
  <c r="B793" i="3"/>
  <c r="E792" i="3"/>
  <c r="D792" i="3"/>
  <c r="C792" i="3"/>
  <c r="B792" i="3"/>
  <c r="E791" i="3"/>
  <c r="D791" i="3"/>
  <c r="C791" i="3"/>
  <c r="B791" i="3"/>
  <c r="E790" i="3"/>
  <c r="D790" i="3"/>
  <c r="C790" i="3"/>
  <c r="B790" i="3"/>
  <c r="E789" i="3"/>
  <c r="D789" i="3"/>
  <c r="C789" i="3"/>
  <c r="B789" i="3"/>
  <c r="E788" i="3"/>
  <c r="D788" i="3"/>
  <c r="C788" i="3"/>
  <c r="B788" i="3"/>
  <c r="E787" i="3"/>
  <c r="D787" i="3"/>
  <c r="C787" i="3"/>
  <c r="B787" i="3"/>
  <c r="E786" i="3"/>
  <c r="D786" i="3"/>
  <c r="C786" i="3"/>
  <c r="B786" i="3"/>
  <c r="E785" i="3"/>
  <c r="D785" i="3"/>
  <c r="C785" i="3"/>
  <c r="B785" i="3"/>
  <c r="E784" i="3"/>
  <c r="D784" i="3"/>
  <c r="C784" i="3"/>
  <c r="B784" i="3"/>
  <c r="E783" i="3"/>
  <c r="D783" i="3"/>
  <c r="C783" i="3"/>
  <c r="B783" i="3"/>
  <c r="E782" i="3"/>
  <c r="D782" i="3"/>
  <c r="C782" i="3"/>
  <c r="B782" i="3"/>
  <c r="E781" i="3"/>
  <c r="D781" i="3"/>
  <c r="C781" i="3"/>
  <c r="B781" i="3"/>
  <c r="E780" i="3"/>
  <c r="D780" i="3"/>
  <c r="C780" i="3"/>
  <c r="B780" i="3"/>
  <c r="E779" i="3"/>
  <c r="D779" i="3"/>
  <c r="C779" i="3"/>
  <c r="B779" i="3"/>
  <c r="E778" i="3"/>
  <c r="D778" i="3"/>
  <c r="C778" i="3"/>
  <c r="B778" i="3"/>
  <c r="E777" i="3"/>
  <c r="D777" i="3"/>
  <c r="C777" i="3"/>
  <c r="B777" i="3"/>
  <c r="E776" i="3"/>
  <c r="D776" i="3"/>
  <c r="C776" i="3"/>
  <c r="B776" i="3"/>
  <c r="E775" i="3"/>
  <c r="D775" i="3"/>
  <c r="C775" i="3"/>
  <c r="B775" i="3"/>
  <c r="E774" i="3"/>
  <c r="D774" i="3"/>
  <c r="C774" i="3"/>
  <c r="B774" i="3"/>
  <c r="E773" i="3"/>
  <c r="D773" i="3"/>
  <c r="C773" i="3"/>
  <c r="B773" i="3"/>
  <c r="E772" i="3"/>
  <c r="D772" i="3"/>
  <c r="C772" i="3"/>
  <c r="B772" i="3"/>
  <c r="E771" i="3"/>
  <c r="D771" i="3"/>
  <c r="C771" i="3"/>
  <c r="B771" i="3"/>
  <c r="E770" i="3"/>
  <c r="D770" i="3"/>
  <c r="C770" i="3"/>
  <c r="B770" i="3"/>
  <c r="E769" i="3"/>
  <c r="D769" i="3"/>
  <c r="C769" i="3"/>
  <c r="B769" i="3"/>
  <c r="E768" i="3"/>
  <c r="D768" i="3"/>
  <c r="C768" i="3"/>
  <c r="B768" i="3"/>
  <c r="E767" i="3"/>
  <c r="D767" i="3"/>
  <c r="C767" i="3"/>
  <c r="B767" i="3"/>
  <c r="E766" i="3"/>
  <c r="D766" i="3"/>
  <c r="C766" i="3"/>
  <c r="B766" i="3"/>
  <c r="E765" i="3"/>
  <c r="D765" i="3"/>
  <c r="C765" i="3"/>
  <c r="B765" i="3"/>
  <c r="E764" i="3"/>
  <c r="D764" i="3"/>
  <c r="C764" i="3"/>
  <c r="B764" i="3"/>
  <c r="E763" i="3"/>
  <c r="D763" i="3"/>
  <c r="C763" i="3"/>
  <c r="B763" i="3"/>
  <c r="E762" i="3"/>
  <c r="D762" i="3"/>
  <c r="C762" i="3"/>
  <c r="B762" i="3"/>
  <c r="E761" i="3"/>
  <c r="D761" i="3"/>
  <c r="C761" i="3"/>
  <c r="B761" i="3"/>
  <c r="E760" i="3"/>
  <c r="D760" i="3"/>
  <c r="C760" i="3"/>
  <c r="B760" i="3"/>
  <c r="E759" i="3"/>
  <c r="D759" i="3"/>
  <c r="C759" i="3"/>
  <c r="B759" i="3"/>
  <c r="E758" i="3"/>
  <c r="D758" i="3"/>
  <c r="C758" i="3"/>
  <c r="B758" i="3"/>
  <c r="E757" i="3"/>
  <c r="D757" i="3"/>
  <c r="C757" i="3"/>
  <c r="B757" i="3"/>
  <c r="E756" i="3"/>
  <c r="D756" i="3"/>
  <c r="C756" i="3"/>
  <c r="B756" i="3"/>
  <c r="E755" i="3"/>
  <c r="D755" i="3"/>
  <c r="C755" i="3"/>
  <c r="B755" i="3"/>
  <c r="E754" i="3"/>
  <c r="D754" i="3"/>
  <c r="C754" i="3"/>
  <c r="B754" i="3"/>
  <c r="E753" i="3"/>
  <c r="D753" i="3"/>
  <c r="C753" i="3"/>
  <c r="B753" i="3"/>
  <c r="E752" i="3"/>
  <c r="D752" i="3"/>
  <c r="C752" i="3"/>
  <c r="B752" i="3"/>
  <c r="E751" i="3"/>
  <c r="D751" i="3"/>
  <c r="C751" i="3"/>
  <c r="B751" i="3"/>
  <c r="E750" i="3"/>
  <c r="D750" i="3"/>
  <c r="C750" i="3"/>
  <c r="B750" i="3"/>
  <c r="E749" i="3"/>
  <c r="D749" i="3"/>
  <c r="C749" i="3"/>
  <c r="B749" i="3"/>
  <c r="E748" i="3"/>
  <c r="D748" i="3"/>
  <c r="C748" i="3"/>
  <c r="B748" i="3"/>
  <c r="E747" i="3"/>
  <c r="D747" i="3"/>
  <c r="C747" i="3"/>
  <c r="B747" i="3"/>
  <c r="E746" i="3"/>
  <c r="D746" i="3"/>
  <c r="C746" i="3"/>
  <c r="B746" i="3"/>
  <c r="E745" i="3"/>
  <c r="D745" i="3"/>
  <c r="C745" i="3"/>
  <c r="B745" i="3"/>
  <c r="E744" i="3"/>
  <c r="D744" i="3"/>
  <c r="C744" i="3"/>
  <c r="B744" i="3"/>
  <c r="E743" i="3"/>
  <c r="D743" i="3"/>
  <c r="C743" i="3"/>
  <c r="B743" i="3"/>
  <c r="E742" i="3"/>
  <c r="D742" i="3"/>
  <c r="C742" i="3"/>
  <c r="B742" i="3"/>
  <c r="E741" i="3"/>
  <c r="D741" i="3"/>
  <c r="C741" i="3"/>
  <c r="B741" i="3"/>
  <c r="E740" i="3"/>
  <c r="D740" i="3"/>
  <c r="C740" i="3"/>
  <c r="B740" i="3"/>
  <c r="E739" i="3"/>
  <c r="D739" i="3"/>
  <c r="C739" i="3"/>
  <c r="B739" i="3"/>
  <c r="E738" i="3"/>
  <c r="D738" i="3"/>
  <c r="C738" i="3"/>
  <c r="B738" i="3"/>
  <c r="E737" i="3"/>
  <c r="D737" i="3"/>
  <c r="C737" i="3"/>
  <c r="B737" i="3"/>
  <c r="E736" i="3"/>
  <c r="D736" i="3"/>
  <c r="C736" i="3"/>
  <c r="B736" i="3"/>
  <c r="E735" i="3"/>
  <c r="D735" i="3"/>
  <c r="C735" i="3"/>
  <c r="B735" i="3"/>
  <c r="E734" i="3"/>
  <c r="D734" i="3"/>
  <c r="C734" i="3"/>
  <c r="B734" i="3"/>
  <c r="E733" i="3"/>
  <c r="D733" i="3"/>
  <c r="C733" i="3"/>
  <c r="B733" i="3"/>
  <c r="E732" i="3"/>
  <c r="D732" i="3"/>
  <c r="C732" i="3"/>
  <c r="B732" i="3"/>
  <c r="E731" i="3"/>
  <c r="D731" i="3"/>
  <c r="C731" i="3"/>
  <c r="B731" i="3"/>
  <c r="E730" i="3"/>
  <c r="D730" i="3"/>
  <c r="C730" i="3"/>
  <c r="B730" i="3"/>
  <c r="E729" i="3"/>
  <c r="D729" i="3"/>
  <c r="C729" i="3"/>
  <c r="B729" i="3"/>
  <c r="E728" i="3"/>
  <c r="D728" i="3"/>
  <c r="C728" i="3"/>
  <c r="B728" i="3"/>
  <c r="E727" i="3"/>
  <c r="D727" i="3"/>
  <c r="C727" i="3"/>
  <c r="B727" i="3"/>
  <c r="E726" i="3"/>
  <c r="D726" i="3"/>
  <c r="C726" i="3"/>
  <c r="B726" i="3"/>
  <c r="E725" i="3"/>
  <c r="D725" i="3"/>
  <c r="C725" i="3"/>
  <c r="B725" i="3"/>
  <c r="E724" i="3"/>
  <c r="D724" i="3"/>
  <c r="C724" i="3"/>
  <c r="B724" i="3"/>
  <c r="E723" i="3"/>
  <c r="D723" i="3"/>
  <c r="C723" i="3"/>
  <c r="B723" i="3"/>
  <c r="E722" i="3"/>
  <c r="D722" i="3"/>
  <c r="C722" i="3"/>
  <c r="B722" i="3"/>
  <c r="E721" i="3"/>
  <c r="D721" i="3"/>
  <c r="C721" i="3"/>
  <c r="B721" i="3"/>
  <c r="E720" i="3"/>
  <c r="D720" i="3"/>
  <c r="C720" i="3"/>
  <c r="B720" i="3"/>
  <c r="E719" i="3"/>
  <c r="D719" i="3"/>
  <c r="C719" i="3"/>
  <c r="B719" i="3"/>
  <c r="E718" i="3"/>
  <c r="D718" i="3"/>
  <c r="C718" i="3"/>
  <c r="B718" i="3"/>
  <c r="E717" i="3"/>
  <c r="D717" i="3"/>
  <c r="C717" i="3"/>
  <c r="B717" i="3"/>
  <c r="E716" i="3"/>
  <c r="D716" i="3"/>
  <c r="C716" i="3"/>
  <c r="B716" i="3"/>
  <c r="E715" i="3"/>
  <c r="D715" i="3"/>
  <c r="C715" i="3"/>
  <c r="B715" i="3"/>
  <c r="E714" i="3"/>
  <c r="D714" i="3"/>
  <c r="C714" i="3"/>
  <c r="B714" i="3"/>
  <c r="E713" i="3"/>
  <c r="D713" i="3"/>
  <c r="C713" i="3"/>
  <c r="B713" i="3"/>
  <c r="E712" i="3"/>
  <c r="D712" i="3"/>
  <c r="C712" i="3"/>
  <c r="B712" i="3"/>
  <c r="E711" i="3"/>
  <c r="D711" i="3"/>
  <c r="C711" i="3"/>
  <c r="B711" i="3"/>
  <c r="E710" i="3"/>
  <c r="D710" i="3"/>
  <c r="C710" i="3"/>
  <c r="B710" i="3"/>
  <c r="E709" i="3"/>
  <c r="D709" i="3"/>
  <c r="C709" i="3"/>
  <c r="B709" i="3"/>
  <c r="E708" i="3"/>
  <c r="D708" i="3"/>
  <c r="C708" i="3"/>
  <c r="B708" i="3"/>
  <c r="E707" i="3"/>
  <c r="D707" i="3"/>
  <c r="C707" i="3"/>
  <c r="B707" i="3"/>
  <c r="E706" i="3"/>
  <c r="D706" i="3"/>
  <c r="C706" i="3"/>
  <c r="B706" i="3"/>
  <c r="E705" i="3"/>
  <c r="D705" i="3"/>
  <c r="C705" i="3"/>
  <c r="B705" i="3"/>
  <c r="E704" i="3"/>
  <c r="D704" i="3"/>
  <c r="C704" i="3"/>
  <c r="B704" i="3"/>
  <c r="E703" i="3"/>
  <c r="D703" i="3"/>
  <c r="C703" i="3"/>
  <c r="B703" i="3"/>
  <c r="E702" i="3"/>
  <c r="D702" i="3"/>
  <c r="C702" i="3"/>
  <c r="B702" i="3"/>
  <c r="E701" i="3"/>
  <c r="D701" i="3"/>
  <c r="C701" i="3"/>
  <c r="B701" i="3"/>
  <c r="E700" i="3"/>
  <c r="D700" i="3"/>
  <c r="C700" i="3"/>
  <c r="B700" i="3"/>
  <c r="E699" i="3"/>
  <c r="D699" i="3"/>
  <c r="C699" i="3"/>
  <c r="B699" i="3"/>
  <c r="E698" i="3"/>
  <c r="D698" i="3"/>
  <c r="C698" i="3"/>
  <c r="B698" i="3"/>
  <c r="E697" i="3"/>
  <c r="D697" i="3"/>
  <c r="C697" i="3"/>
  <c r="B697" i="3"/>
  <c r="E696" i="3"/>
  <c r="D696" i="3"/>
  <c r="C696" i="3"/>
  <c r="B696" i="3"/>
  <c r="E695" i="3"/>
  <c r="D695" i="3"/>
  <c r="C695" i="3"/>
  <c r="B695" i="3"/>
  <c r="E694" i="3"/>
  <c r="D694" i="3"/>
  <c r="C694" i="3"/>
  <c r="B694" i="3"/>
  <c r="E693" i="3"/>
  <c r="D693" i="3"/>
  <c r="C693" i="3"/>
  <c r="B693" i="3"/>
  <c r="E692" i="3"/>
  <c r="D692" i="3"/>
  <c r="C692" i="3"/>
  <c r="B692" i="3"/>
  <c r="E691" i="3"/>
  <c r="D691" i="3"/>
  <c r="C691" i="3"/>
  <c r="B691" i="3"/>
  <c r="E690" i="3"/>
  <c r="D690" i="3"/>
  <c r="C690" i="3"/>
  <c r="B690" i="3"/>
  <c r="E689" i="3"/>
  <c r="D689" i="3"/>
  <c r="C689" i="3"/>
  <c r="B689" i="3"/>
  <c r="E688" i="3"/>
  <c r="D688" i="3"/>
  <c r="C688" i="3"/>
  <c r="B688" i="3"/>
  <c r="E687" i="3"/>
  <c r="D687" i="3"/>
  <c r="C687" i="3"/>
  <c r="B687" i="3"/>
  <c r="E686" i="3"/>
  <c r="D686" i="3"/>
  <c r="C686" i="3"/>
  <c r="B686" i="3"/>
  <c r="E685" i="3"/>
  <c r="D685" i="3"/>
  <c r="C685" i="3"/>
  <c r="B685" i="3"/>
  <c r="E684" i="3"/>
  <c r="D684" i="3"/>
  <c r="C684" i="3"/>
  <c r="B684" i="3"/>
  <c r="E683" i="3"/>
  <c r="D683" i="3"/>
  <c r="C683" i="3"/>
  <c r="B683" i="3"/>
  <c r="E682" i="3"/>
  <c r="D682" i="3"/>
  <c r="C682" i="3"/>
  <c r="B682" i="3"/>
  <c r="E681" i="3"/>
  <c r="D681" i="3"/>
  <c r="C681" i="3"/>
  <c r="B681" i="3"/>
  <c r="E680" i="3"/>
  <c r="D680" i="3"/>
  <c r="C680" i="3"/>
  <c r="B680" i="3"/>
  <c r="E679" i="3"/>
  <c r="D679" i="3"/>
  <c r="C679" i="3"/>
  <c r="B679" i="3"/>
  <c r="E678" i="3"/>
  <c r="D678" i="3"/>
  <c r="C678" i="3"/>
  <c r="B678" i="3"/>
  <c r="E677" i="3"/>
  <c r="D677" i="3"/>
  <c r="C677" i="3"/>
  <c r="B677" i="3"/>
  <c r="E676" i="3"/>
  <c r="D676" i="3"/>
  <c r="C676" i="3"/>
  <c r="B676" i="3"/>
  <c r="E675" i="3"/>
  <c r="D675" i="3"/>
  <c r="C675" i="3"/>
  <c r="B675" i="3"/>
  <c r="E674" i="3"/>
  <c r="D674" i="3"/>
  <c r="C674" i="3"/>
  <c r="B674" i="3"/>
  <c r="E673" i="3"/>
  <c r="D673" i="3"/>
  <c r="C673" i="3"/>
  <c r="B673" i="3"/>
  <c r="E672" i="3"/>
  <c r="D672" i="3"/>
  <c r="C672" i="3"/>
  <c r="B672" i="3"/>
  <c r="E671" i="3"/>
  <c r="D671" i="3"/>
  <c r="C671" i="3"/>
  <c r="B671" i="3"/>
  <c r="E670" i="3"/>
  <c r="D670" i="3"/>
  <c r="C670" i="3"/>
  <c r="B670" i="3"/>
  <c r="E669" i="3"/>
  <c r="D669" i="3"/>
  <c r="C669" i="3"/>
  <c r="B669" i="3"/>
  <c r="E668" i="3"/>
  <c r="D668" i="3"/>
  <c r="C668" i="3"/>
  <c r="B668" i="3"/>
  <c r="E667" i="3"/>
  <c r="D667" i="3"/>
  <c r="C667" i="3"/>
  <c r="B667" i="3"/>
  <c r="E666" i="3"/>
  <c r="D666" i="3"/>
  <c r="C666" i="3"/>
  <c r="B666" i="3"/>
  <c r="E665" i="3"/>
  <c r="D665" i="3"/>
  <c r="C665" i="3"/>
  <c r="B665" i="3"/>
  <c r="E664" i="3"/>
  <c r="D664" i="3"/>
  <c r="C664" i="3"/>
  <c r="B664" i="3"/>
  <c r="E663" i="3"/>
  <c r="D663" i="3"/>
  <c r="C663" i="3"/>
  <c r="B663" i="3"/>
  <c r="E662" i="3"/>
  <c r="D662" i="3"/>
  <c r="C662" i="3"/>
  <c r="B662" i="3"/>
  <c r="E661" i="3"/>
  <c r="D661" i="3"/>
  <c r="C661" i="3"/>
  <c r="B661" i="3"/>
  <c r="E660" i="3"/>
  <c r="D660" i="3"/>
  <c r="C660" i="3"/>
  <c r="B660" i="3"/>
  <c r="E659" i="3"/>
  <c r="D659" i="3"/>
  <c r="C659" i="3"/>
  <c r="B659" i="3"/>
  <c r="E658" i="3"/>
  <c r="D658" i="3"/>
  <c r="C658" i="3"/>
  <c r="B658" i="3"/>
  <c r="E657" i="3"/>
  <c r="D657" i="3"/>
  <c r="C657" i="3"/>
  <c r="B657" i="3"/>
  <c r="E656" i="3"/>
  <c r="D656" i="3"/>
  <c r="C656" i="3"/>
  <c r="B656" i="3"/>
  <c r="E655" i="3"/>
  <c r="D655" i="3"/>
  <c r="C655" i="3"/>
  <c r="B655" i="3"/>
  <c r="E654" i="3"/>
  <c r="D654" i="3"/>
  <c r="C654" i="3"/>
  <c r="B654" i="3"/>
  <c r="E653" i="3"/>
  <c r="D653" i="3"/>
  <c r="C653" i="3"/>
  <c r="B653" i="3"/>
  <c r="E652" i="3"/>
  <c r="D652" i="3"/>
  <c r="C652" i="3"/>
  <c r="B652" i="3"/>
  <c r="E651" i="3"/>
  <c r="D651" i="3"/>
  <c r="C651" i="3"/>
  <c r="B651" i="3"/>
  <c r="E650" i="3"/>
  <c r="D650" i="3"/>
  <c r="C650" i="3"/>
  <c r="B650" i="3"/>
  <c r="E649" i="3"/>
  <c r="D649" i="3"/>
  <c r="C649" i="3"/>
  <c r="B649" i="3"/>
  <c r="E648" i="3"/>
  <c r="D648" i="3"/>
  <c r="C648" i="3"/>
  <c r="B648" i="3"/>
  <c r="E647" i="3"/>
  <c r="D647" i="3"/>
  <c r="C647" i="3"/>
  <c r="B647" i="3"/>
  <c r="E646" i="3"/>
  <c r="D646" i="3"/>
  <c r="C646" i="3"/>
  <c r="B646" i="3"/>
  <c r="E645" i="3"/>
  <c r="D645" i="3"/>
  <c r="C645" i="3"/>
  <c r="B645" i="3"/>
  <c r="E644" i="3"/>
  <c r="D644" i="3"/>
  <c r="C644" i="3"/>
  <c r="B644" i="3"/>
  <c r="E643" i="3"/>
  <c r="D643" i="3"/>
  <c r="C643" i="3"/>
  <c r="B643" i="3"/>
  <c r="E642" i="3"/>
  <c r="D642" i="3"/>
  <c r="C642" i="3"/>
  <c r="B642" i="3"/>
  <c r="E641" i="3"/>
  <c r="D641" i="3"/>
  <c r="C641" i="3"/>
  <c r="B641" i="3"/>
  <c r="E640" i="3"/>
  <c r="D640" i="3"/>
  <c r="C640" i="3"/>
  <c r="B640" i="3"/>
  <c r="E639" i="3"/>
  <c r="D639" i="3"/>
  <c r="C639" i="3"/>
  <c r="B639" i="3"/>
  <c r="E638" i="3"/>
  <c r="D638" i="3"/>
  <c r="C638" i="3"/>
  <c r="B638" i="3"/>
  <c r="E637" i="3"/>
  <c r="D637" i="3"/>
  <c r="C637" i="3"/>
  <c r="B637" i="3"/>
  <c r="E636" i="3"/>
  <c r="D636" i="3"/>
  <c r="C636" i="3"/>
  <c r="B636" i="3"/>
  <c r="E635" i="3"/>
  <c r="D635" i="3"/>
  <c r="C635" i="3"/>
  <c r="B635" i="3"/>
  <c r="E634" i="3"/>
  <c r="D634" i="3"/>
  <c r="C634" i="3"/>
  <c r="B634" i="3"/>
  <c r="E633" i="3"/>
  <c r="D633" i="3"/>
  <c r="C633" i="3"/>
  <c r="B633" i="3"/>
  <c r="E632" i="3"/>
  <c r="D632" i="3"/>
  <c r="C632" i="3"/>
  <c r="B632" i="3"/>
  <c r="E631" i="3"/>
  <c r="D631" i="3"/>
  <c r="C631" i="3"/>
  <c r="B631" i="3"/>
  <c r="E630" i="3"/>
  <c r="D630" i="3"/>
  <c r="C630" i="3"/>
  <c r="B630" i="3"/>
  <c r="E629" i="3"/>
  <c r="D629" i="3"/>
  <c r="C629" i="3"/>
  <c r="B629" i="3"/>
  <c r="E628" i="3"/>
  <c r="D628" i="3"/>
  <c r="C628" i="3"/>
  <c r="B628" i="3"/>
  <c r="E627" i="3"/>
  <c r="D627" i="3"/>
  <c r="C627" i="3"/>
  <c r="B627" i="3"/>
  <c r="E626" i="3"/>
  <c r="D626" i="3"/>
  <c r="C626" i="3"/>
  <c r="B626" i="3"/>
  <c r="E625" i="3"/>
  <c r="D625" i="3"/>
  <c r="C625" i="3"/>
  <c r="B625" i="3"/>
  <c r="E624" i="3"/>
  <c r="D624" i="3"/>
  <c r="C624" i="3"/>
  <c r="B624" i="3"/>
  <c r="E623" i="3"/>
  <c r="D623" i="3"/>
  <c r="C623" i="3"/>
  <c r="B623" i="3"/>
  <c r="E622" i="3"/>
  <c r="D622" i="3"/>
  <c r="C622" i="3"/>
  <c r="B622" i="3"/>
  <c r="E621" i="3"/>
  <c r="D621" i="3"/>
  <c r="C621" i="3"/>
  <c r="B621" i="3"/>
  <c r="E620" i="3"/>
  <c r="D620" i="3"/>
  <c r="C620" i="3"/>
  <c r="B620" i="3"/>
  <c r="E619" i="3"/>
  <c r="D619" i="3"/>
  <c r="C619" i="3"/>
  <c r="B619" i="3"/>
  <c r="E618" i="3"/>
  <c r="D618" i="3"/>
  <c r="C618" i="3"/>
  <c r="B618" i="3"/>
  <c r="E617" i="3"/>
  <c r="D617" i="3"/>
  <c r="C617" i="3"/>
  <c r="B617" i="3"/>
  <c r="E616" i="3"/>
  <c r="D616" i="3"/>
  <c r="C616" i="3"/>
  <c r="B616" i="3"/>
  <c r="E615" i="3"/>
  <c r="D615" i="3"/>
  <c r="C615" i="3"/>
  <c r="B615" i="3"/>
  <c r="E614" i="3"/>
  <c r="D614" i="3"/>
  <c r="C614" i="3"/>
  <c r="B614" i="3"/>
  <c r="E613" i="3"/>
  <c r="D613" i="3"/>
  <c r="C613" i="3"/>
  <c r="B613" i="3"/>
  <c r="E612" i="3"/>
  <c r="D612" i="3"/>
  <c r="C612" i="3"/>
  <c r="B612" i="3"/>
  <c r="E611" i="3"/>
  <c r="D611" i="3"/>
  <c r="C611" i="3"/>
  <c r="B611" i="3"/>
  <c r="E610" i="3"/>
  <c r="D610" i="3"/>
  <c r="C610" i="3"/>
  <c r="B610" i="3"/>
  <c r="E609" i="3"/>
  <c r="D609" i="3"/>
  <c r="C609" i="3"/>
  <c r="B609" i="3"/>
  <c r="E608" i="3"/>
  <c r="D608" i="3"/>
  <c r="C608" i="3"/>
  <c r="B608" i="3"/>
  <c r="E607" i="3"/>
  <c r="D607" i="3"/>
  <c r="C607" i="3"/>
  <c r="B607" i="3"/>
  <c r="E606" i="3"/>
  <c r="D606" i="3"/>
  <c r="C606" i="3"/>
  <c r="B606" i="3"/>
  <c r="E605" i="3"/>
  <c r="D605" i="3"/>
  <c r="C605" i="3"/>
  <c r="B605" i="3"/>
  <c r="E604" i="3"/>
  <c r="D604" i="3"/>
  <c r="C604" i="3"/>
  <c r="B604" i="3"/>
  <c r="E603" i="3"/>
  <c r="D603" i="3"/>
  <c r="C603" i="3"/>
  <c r="B603" i="3"/>
  <c r="E602" i="3"/>
  <c r="D602" i="3"/>
  <c r="C602" i="3"/>
  <c r="B602" i="3"/>
  <c r="E601" i="3"/>
  <c r="D601" i="3"/>
  <c r="C601" i="3"/>
  <c r="B601" i="3"/>
  <c r="E600" i="3"/>
  <c r="D600" i="3"/>
  <c r="C600" i="3"/>
  <c r="B600" i="3"/>
  <c r="E599" i="3"/>
  <c r="D599" i="3"/>
  <c r="C599" i="3"/>
  <c r="B599" i="3"/>
  <c r="E598" i="3"/>
  <c r="D598" i="3"/>
  <c r="C598" i="3"/>
  <c r="B598" i="3"/>
  <c r="E597" i="3"/>
  <c r="D597" i="3"/>
  <c r="C597" i="3"/>
  <c r="B597" i="3"/>
  <c r="E596" i="3"/>
  <c r="D596" i="3"/>
  <c r="C596" i="3"/>
  <c r="B596" i="3"/>
  <c r="E595" i="3"/>
  <c r="D595" i="3"/>
  <c r="C595" i="3"/>
  <c r="B595" i="3"/>
  <c r="E594" i="3"/>
  <c r="D594" i="3"/>
  <c r="C594" i="3"/>
  <c r="B594" i="3"/>
  <c r="E593" i="3"/>
  <c r="D593" i="3"/>
  <c r="C593" i="3"/>
  <c r="B593" i="3"/>
  <c r="E592" i="3"/>
  <c r="D592" i="3"/>
  <c r="C592" i="3"/>
  <c r="B592" i="3"/>
  <c r="E591" i="3"/>
  <c r="D591" i="3"/>
  <c r="C591" i="3"/>
  <c r="B591" i="3"/>
  <c r="E590" i="3"/>
  <c r="D590" i="3"/>
  <c r="C590" i="3"/>
  <c r="B590" i="3"/>
  <c r="E589" i="3"/>
  <c r="D589" i="3"/>
  <c r="C589" i="3"/>
  <c r="B589" i="3"/>
  <c r="E588" i="3"/>
  <c r="D588" i="3"/>
  <c r="C588" i="3"/>
  <c r="B588" i="3"/>
  <c r="E587" i="3"/>
  <c r="D587" i="3"/>
  <c r="C587" i="3"/>
  <c r="B587" i="3"/>
  <c r="E586" i="3"/>
  <c r="D586" i="3"/>
  <c r="C586" i="3"/>
  <c r="B586" i="3"/>
  <c r="E585" i="3"/>
  <c r="D585" i="3"/>
  <c r="C585" i="3"/>
  <c r="B585" i="3"/>
  <c r="E584" i="3"/>
  <c r="D584" i="3"/>
  <c r="C584" i="3"/>
  <c r="B584" i="3"/>
  <c r="E583" i="3"/>
  <c r="D583" i="3"/>
  <c r="C583" i="3"/>
  <c r="B583" i="3"/>
  <c r="E582" i="3"/>
  <c r="D582" i="3"/>
  <c r="C582" i="3"/>
  <c r="B582" i="3"/>
  <c r="E581" i="3"/>
  <c r="D581" i="3"/>
  <c r="C581" i="3"/>
  <c r="B581" i="3"/>
  <c r="E580" i="3"/>
  <c r="D580" i="3"/>
  <c r="C580" i="3"/>
  <c r="B580" i="3"/>
  <c r="E579" i="3"/>
  <c r="D579" i="3"/>
  <c r="C579" i="3"/>
  <c r="B579" i="3"/>
  <c r="E578" i="3"/>
  <c r="D578" i="3"/>
  <c r="C578" i="3"/>
  <c r="B578" i="3"/>
  <c r="E577" i="3"/>
  <c r="D577" i="3"/>
  <c r="C577" i="3"/>
  <c r="B577" i="3"/>
  <c r="E576" i="3"/>
  <c r="D576" i="3"/>
  <c r="C576" i="3"/>
  <c r="B576" i="3"/>
  <c r="E575" i="3"/>
  <c r="D575" i="3"/>
  <c r="C575" i="3"/>
  <c r="B575" i="3"/>
  <c r="E574" i="3"/>
  <c r="D574" i="3"/>
  <c r="C574" i="3"/>
  <c r="B574" i="3"/>
  <c r="E573" i="3"/>
  <c r="D573" i="3"/>
  <c r="C573" i="3"/>
  <c r="B573" i="3"/>
  <c r="E572" i="3"/>
  <c r="D572" i="3"/>
  <c r="C572" i="3"/>
  <c r="B572" i="3"/>
  <c r="E571" i="3"/>
  <c r="D571" i="3"/>
  <c r="C571" i="3"/>
  <c r="B571" i="3"/>
  <c r="E570" i="3"/>
  <c r="D570" i="3"/>
  <c r="C570" i="3"/>
  <c r="B570" i="3"/>
  <c r="E569" i="3"/>
  <c r="D569" i="3"/>
  <c r="C569" i="3"/>
  <c r="B569" i="3"/>
  <c r="E568" i="3"/>
  <c r="D568" i="3"/>
  <c r="C568" i="3"/>
  <c r="B568" i="3"/>
  <c r="E567" i="3"/>
  <c r="D567" i="3"/>
  <c r="C567" i="3"/>
  <c r="B567" i="3"/>
  <c r="E566" i="3"/>
  <c r="D566" i="3"/>
  <c r="C566" i="3"/>
  <c r="B566" i="3"/>
  <c r="E565" i="3"/>
  <c r="D565" i="3"/>
  <c r="C565" i="3"/>
  <c r="B565" i="3"/>
  <c r="E564" i="3"/>
  <c r="D564" i="3"/>
  <c r="C564" i="3"/>
  <c r="B564" i="3"/>
  <c r="E563" i="3"/>
  <c r="D563" i="3"/>
  <c r="C563" i="3"/>
  <c r="B563" i="3"/>
  <c r="E562" i="3"/>
  <c r="D562" i="3"/>
  <c r="C562" i="3"/>
  <c r="B562" i="3"/>
  <c r="E561" i="3"/>
  <c r="D561" i="3"/>
  <c r="C561" i="3"/>
  <c r="B561" i="3"/>
  <c r="E560" i="3"/>
  <c r="D560" i="3"/>
  <c r="C560" i="3"/>
  <c r="B560" i="3"/>
  <c r="E559" i="3"/>
  <c r="D559" i="3"/>
  <c r="C559" i="3"/>
  <c r="B559" i="3"/>
  <c r="E558" i="3"/>
  <c r="D558" i="3"/>
  <c r="C558" i="3"/>
  <c r="B558" i="3"/>
  <c r="E557" i="3"/>
  <c r="D557" i="3"/>
  <c r="C557" i="3"/>
  <c r="B557" i="3"/>
  <c r="E556" i="3"/>
  <c r="D556" i="3"/>
  <c r="C556" i="3"/>
  <c r="B556" i="3"/>
  <c r="E555" i="3"/>
  <c r="D555" i="3"/>
  <c r="C555" i="3"/>
  <c r="B555" i="3"/>
  <c r="E554" i="3"/>
  <c r="D554" i="3"/>
  <c r="C554" i="3"/>
  <c r="B554" i="3"/>
  <c r="E553" i="3"/>
  <c r="D553" i="3"/>
  <c r="C553" i="3"/>
  <c r="B553" i="3"/>
  <c r="E552" i="3"/>
  <c r="D552" i="3"/>
  <c r="C552" i="3"/>
  <c r="B552" i="3"/>
  <c r="E551" i="3"/>
  <c r="D551" i="3"/>
  <c r="C551" i="3"/>
  <c r="B551" i="3"/>
  <c r="E550" i="3"/>
  <c r="D550" i="3"/>
  <c r="C550" i="3"/>
  <c r="B550" i="3"/>
  <c r="E549" i="3"/>
  <c r="D549" i="3"/>
  <c r="C549" i="3"/>
  <c r="B549" i="3"/>
  <c r="E548" i="3"/>
  <c r="D548" i="3"/>
  <c r="C548" i="3"/>
  <c r="B548" i="3"/>
  <c r="E547" i="3"/>
  <c r="D547" i="3"/>
  <c r="C547" i="3"/>
  <c r="B547" i="3"/>
  <c r="E546" i="3"/>
  <c r="D546" i="3"/>
  <c r="C546" i="3"/>
  <c r="B546" i="3"/>
  <c r="E545" i="3"/>
  <c r="D545" i="3"/>
  <c r="C545" i="3"/>
  <c r="B545" i="3"/>
  <c r="E544" i="3"/>
  <c r="D544" i="3"/>
  <c r="C544" i="3"/>
  <c r="B544" i="3"/>
  <c r="E543" i="3"/>
  <c r="D543" i="3"/>
  <c r="C543" i="3"/>
  <c r="B543" i="3"/>
  <c r="E542" i="3"/>
  <c r="D542" i="3"/>
  <c r="C542" i="3"/>
  <c r="B542" i="3"/>
  <c r="E541" i="3"/>
  <c r="D541" i="3"/>
  <c r="C541" i="3"/>
  <c r="B541" i="3"/>
  <c r="E540" i="3"/>
  <c r="D540" i="3"/>
  <c r="C540" i="3"/>
  <c r="B540" i="3"/>
  <c r="E539" i="3"/>
  <c r="D539" i="3"/>
  <c r="C539" i="3"/>
  <c r="B539" i="3"/>
  <c r="E538" i="3"/>
  <c r="D538" i="3"/>
  <c r="C538" i="3"/>
  <c r="B538" i="3"/>
  <c r="E537" i="3"/>
  <c r="D537" i="3"/>
  <c r="C537" i="3"/>
  <c r="B537" i="3"/>
  <c r="E536" i="3"/>
  <c r="D536" i="3"/>
  <c r="C536" i="3"/>
  <c r="B536" i="3"/>
  <c r="E535" i="3"/>
  <c r="D535" i="3"/>
  <c r="C535" i="3"/>
  <c r="B535" i="3"/>
  <c r="E534" i="3"/>
  <c r="D534" i="3"/>
  <c r="C534" i="3"/>
  <c r="B534" i="3"/>
  <c r="E533" i="3"/>
  <c r="D533" i="3"/>
  <c r="C533" i="3"/>
  <c r="B533" i="3"/>
  <c r="E532" i="3"/>
  <c r="D532" i="3"/>
  <c r="C532" i="3"/>
  <c r="B532" i="3"/>
  <c r="E531" i="3"/>
  <c r="D531" i="3"/>
  <c r="C531" i="3"/>
  <c r="B531" i="3"/>
  <c r="E530" i="3"/>
  <c r="D530" i="3"/>
  <c r="C530" i="3"/>
  <c r="B530" i="3"/>
  <c r="E529" i="3"/>
  <c r="D529" i="3"/>
  <c r="C529" i="3"/>
  <c r="B529" i="3"/>
  <c r="E528" i="3"/>
  <c r="D528" i="3"/>
  <c r="C528" i="3"/>
  <c r="B528" i="3"/>
  <c r="E527" i="3"/>
  <c r="D527" i="3"/>
  <c r="C527" i="3"/>
  <c r="B527" i="3"/>
  <c r="E526" i="3"/>
  <c r="D526" i="3"/>
  <c r="C526" i="3"/>
  <c r="B526" i="3"/>
  <c r="E525" i="3"/>
  <c r="D525" i="3"/>
  <c r="C525" i="3"/>
  <c r="B525" i="3"/>
  <c r="E524" i="3"/>
  <c r="D524" i="3"/>
  <c r="C524" i="3"/>
  <c r="B524" i="3"/>
  <c r="E523" i="3"/>
  <c r="D523" i="3"/>
  <c r="C523" i="3"/>
  <c r="B523" i="3"/>
  <c r="E522" i="3"/>
  <c r="D522" i="3"/>
  <c r="C522" i="3"/>
  <c r="B522" i="3"/>
  <c r="E521" i="3"/>
  <c r="D521" i="3"/>
  <c r="C521" i="3"/>
  <c r="B521" i="3"/>
  <c r="E520" i="3"/>
  <c r="D520" i="3"/>
  <c r="C520" i="3"/>
  <c r="B520" i="3"/>
  <c r="E519" i="3"/>
  <c r="D519" i="3"/>
  <c r="C519" i="3"/>
  <c r="B519" i="3"/>
  <c r="E518" i="3"/>
  <c r="D518" i="3"/>
  <c r="C518" i="3"/>
  <c r="B518" i="3"/>
  <c r="E517" i="3"/>
  <c r="D517" i="3"/>
  <c r="C517" i="3"/>
  <c r="B517" i="3"/>
  <c r="E516" i="3"/>
  <c r="D516" i="3"/>
  <c r="C516" i="3"/>
  <c r="B516" i="3"/>
  <c r="E515" i="3"/>
  <c r="D515" i="3"/>
  <c r="C515" i="3"/>
  <c r="B515" i="3"/>
  <c r="E514" i="3"/>
  <c r="D514" i="3"/>
  <c r="C514" i="3"/>
  <c r="B514" i="3"/>
  <c r="E513" i="3"/>
  <c r="D513" i="3"/>
  <c r="C513" i="3"/>
  <c r="B513" i="3"/>
  <c r="E512" i="3"/>
  <c r="D512" i="3"/>
  <c r="C512" i="3"/>
  <c r="B512" i="3"/>
  <c r="E511" i="3"/>
  <c r="D511" i="3"/>
  <c r="C511" i="3"/>
  <c r="B511" i="3"/>
  <c r="E510" i="3"/>
  <c r="D510" i="3"/>
  <c r="C510" i="3"/>
  <c r="B510" i="3"/>
  <c r="E509" i="3"/>
  <c r="D509" i="3"/>
  <c r="C509" i="3"/>
  <c r="B509" i="3"/>
  <c r="E508" i="3"/>
  <c r="D508" i="3"/>
  <c r="C508" i="3"/>
  <c r="B508" i="3"/>
  <c r="E507" i="3"/>
  <c r="D507" i="3"/>
  <c r="C507" i="3"/>
  <c r="B507" i="3"/>
  <c r="E506" i="3"/>
  <c r="D506" i="3"/>
  <c r="C506" i="3"/>
  <c r="B506" i="3"/>
  <c r="E505" i="3"/>
  <c r="D505" i="3"/>
  <c r="C505" i="3"/>
  <c r="B505" i="3"/>
  <c r="E504" i="3"/>
  <c r="D504" i="3"/>
  <c r="C504" i="3"/>
  <c r="B504" i="3"/>
  <c r="E503" i="3"/>
  <c r="D503" i="3"/>
  <c r="C503" i="3"/>
  <c r="B503" i="3"/>
  <c r="E502" i="3"/>
  <c r="D502" i="3"/>
  <c r="C502" i="3"/>
  <c r="B502" i="3"/>
  <c r="E501" i="3"/>
  <c r="D501" i="3"/>
  <c r="C501" i="3"/>
  <c r="B501" i="3"/>
  <c r="E500" i="3"/>
  <c r="D500" i="3"/>
  <c r="C500" i="3"/>
  <c r="B500" i="3"/>
  <c r="E499" i="3"/>
  <c r="D499" i="3"/>
  <c r="C499" i="3"/>
  <c r="B499" i="3"/>
  <c r="E498" i="3"/>
  <c r="D498" i="3"/>
  <c r="C498" i="3"/>
  <c r="B498" i="3"/>
  <c r="E497" i="3"/>
  <c r="D497" i="3"/>
  <c r="C497" i="3"/>
  <c r="B497" i="3"/>
  <c r="E496" i="3"/>
  <c r="D496" i="3"/>
  <c r="C496" i="3"/>
  <c r="B496" i="3"/>
  <c r="E495" i="3"/>
  <c r="D495" i="3"/>
  <c r="C495" i="3"/>
  <c r="B495" i="3"/>
  <c r="E494" i="3"/>
  <c r="D494" i="3"/>
  <c r="C494" i="3"/>
  <c r="B494" i="3"/>
  <c r="E493" i="3"/>
  <c r="D493" i="3"/>
  <c r="C493" i="3"/>
  <c r="B493" i="3"/>
  <c r="E492" i="3"/>
  <c r="D492" i="3"/>
  <c r="C492" i="3"/>
  <c r="B492" i="3"/>
  <c r="E491" i="3"/>
  <c r="D491" i="3"/>
  <c r="C491" i="3"/>
  <c r="B491" i="3"/>
  <c r="E490" i="3"/>
  <c r="D490" i="3"/>
  <c r="C490" i="3"/>
  <c r="B490" i="3"/>
  <c r="E489" i="3"/>
  <c r="D489" i="3"/>
  <c r="C489" i="3"/>
  <c r="B489" i="3"/>
  <c r="E488" i="3"/>
  <c r="D488" i="3"/>
  <c r="C488" i="3"/>
  <c r="B488" i="3"/>
  <c r="E487" i="3"/>
  <c r="D487" i="3"/>
  <c r="C487" i="3"/>
  <c r="B487" i="3"/>
  <c r="E486" i="3"/>
  <c r="D486" i="3"/>
  <c r="C486" i="3"/>
  <c r="B486" i="3"/>
  <c r="E485" i="3"/>
  <c r="D485" i="3"/>
  <c r="C485" i="3"/>
  <c r="B485" i="3"/>
  <c r="E484" i="3"/>
  <c r="D484" i="3"/>
  <c r="C484" i="3"/>
  <c r="B484" i="3"/>
  <c r="E483" i="3"/>
  <c r="D483" i="3"/>
  <c r="C483" i="3"/>
  <c r="B483" i="3"/>
  <c r="E482" i="3"/>
  <c r="D482" i="3"/>
  <c r="C482" i="3"/>
  <c r="B482" i="3"/>
  <c r="E481" i="3"/>
  <c r="D481" i="3"/>
  <c r="C481" i="3"/>
  <c r="B481" i="3"/>
  <c r="E480" i="3"/>
  <c r="D480" i="3"/>
  <c r="C480" i="3"/>
  <c r="B480" i="3"/>
  <c r="E479" i="3"/>
  <c r="D479" i="3"/>
  <c r="C479" i="3"/>
  <c r="B479" i="3"/>
  <c r="E478" i="3"/>
  <c r="D478" i="3"/>
  <c r="C478" i="3"/>
  <c r="B478" i="3"/>
  <c r="E477" i="3"/>
  <c r="D477" i="3"/>
  <c r="C477" i="3"/>
  <c r="B477" i="3"/>
  <c r="E476" i="3"/>
  <c r="D476" i="3"/>
  <c r="C476" i="3"/>
  <c r="B476" i="3"/>
  <c r="E475" i="3"/>
  <c r="D475" i="3"/>
  <c r="C475" i="3"/>
  <c r="B475" i="3"/>
  <c r="E474" i="3"/>
  <c r="D474" i="3"/>
  <c r="C474" i="3"/>
  <c r="B474" i="3"/>
  <c r="E473" i="3"/>
  <c r="D473" i="3"/>
  <c r="C473" i="3"/>
  <c r="B473" i="3"/>
  <c r="E472" i="3"/>
  <c r="D472" i="3"/>
  <c r="C472" i="3"/>
  <c r="B472" i="3"/>
  <c r="E471" i="3"/>
  <c r="D471" i="3"/>
  <c r="C471" i="3"/>
  <c r="B471" i="3"/>
  <c r="E470" i="3"/>
  <c r="D470" i="3"/>
  <c r="C470" i="3"/>
  <c r="B470" i="3"/>
  <c r="E469" i="3"/>
  <c r="D469" i="3"/>
  <c r="C469" i="3"/>
  <c r="B469" i="3"/>
  <c r="E468" i="3"/>
  <c r="D468" i="3"/>
  <c r="C468" i="3"/>
  <c r="B468" i="3"/>
  <c r="E467" i="3"/>
  <c r="D467" i="3"/>
  <c r="C467" i="3"/>
  <c r="B467" i="3"/>
  <c r="E466" i="3"/>
  <c r="D466" i="3"/>
  <c r="C466" i="3"/>
  <c r="B466" i="3"/>
  <c r="E465" i="3"/>
  <c r="D465" i="3"/>
  <c r="C465" i="3"/>
  <c r="B465" i="3"/>
  <c r="E464" i="3"/>
  <c r="D464" i="3"/>
  <c r="C464" i="3"/>
  <c r="B464" i="3"/>
  <c r="E463" i="3"/>
  <c r="D463" i="3"/>
  <c r="C463" i="3"/>
  <c r="B463" i="3"/>
  <c r="E462" i="3"/>
  <c r="D462" i="3"/>
  <c r="C462" i="3"/>
  <c r="B462" i="3"/>
  <c r="E461" i="3"/>
  <c r="D461" i="3"/>
  <c r="C461" i="3"/>
  <c r="B461" i="3"/>
  <c r="E460" i="3"/>
  <c r="D460" i="3"/>
  <c r="C460" i="3"/>
  <c r="B460" i="3"/>
  <c r="E459" i="3"/>
  <c r="D459" i="3"/>
  <c r="C459" i="3"/>
  <c r="B459" i="3"/>
  <c r="E458" i="3"/>
  <c r="D458" i="3"/>
  <c r="C458" i="3"/>
  <c r="B458" i="3"/>
  <c r="E457" i="3"/>
  <c r="D457" i="3"/>
  <c r="C457" i="3"/>
  <c r="B457" i="3"/>
  <c r="E456" i="3"/>
  <c r="D456" i="3"/>
  <c r="C456" i="3"/>
  <c r="B456" i="3"/>
  <c r="E455" i="3"/>
  <c r="D455" i="3"/>
  <c r="C455" i="3"/>
  <c r="B455" i="3"/>
  <c r="E454" i="3"/>
  <c r="D454" i="3"/>
  <c r="C454" i="3"/>
  <c r="B454" i="3"/>
  <c r="E453" i="3"/>
  <c r="D453" i="3"/>
  <c r="C453" i="3"/>
  <c r="B453" i="3"/>
  <c r="E452" i="3"/>
  <c r="D452" i="3"/>
  <c r="C452" i="3"/>
  <c r="B452" i="3"/>
  <c r="E451" i="3"/>
  <c r="D451" i="3"/>
  <c r="C451" i="3"/>
  <c r="B451" i="3"/>
  <c r="E450" i="3"/>
  <c r="D450" i="3"/>
  <c r="C450" i="3"/>
  <c r="B450" i="3"/>
  <c r="E449" i="3"/>
  <c r="D449" i="3"/>
  <c r="C449" i="3"/>
  <c r="B449" i="3"/>
  <c r="E448" i="3"/>
  <c r="D448" i="3"/>
  <c r="C448" i="3"/>
  <c r="B448" i="3"/>
  <c r="E447" i="3"/>
  <c r="D447" i="3"/>
  <c r="C447" i="3"/>
  <c r="B447" i="3"/>
  <c r="E446" i="3"/>
  <c r="D446" i="3"/>
  <c r="C446" i="3"/>
  <c r="B446" i="3"/>
  <c r="E445" i="3"/>
  <c r="D445" i="3"/>
  <c r="C445" i="3"/>
  <c r="B445" i="3"/>
  <c r="E444" i="3"/>
  <c r="D444" i="3"/>
  <c r="C444" i="3"/>
  <c r="B444" i="3"/>
  <c r="E443" i="3"/>
  <c r="D443" i="3"/>
  <c r="C443" i="3"/>
  <c r="B443" i="3"/>
  <c r="E442" i="3"/>
  <c r="D442" i="3"/>
  <c r="C442" i="3"/>
  <c r="B442" i="3"/>
  <c r="E441" i="3"/>
  <c r="D441" i="3"/>
  <c r="C441" i="3"/>
  <c r="B441" i="3"/>
  <c r="E440" i="3"/>
  <c r="D440" i="3"/>
  <c r="C440" i="3"/>
  <c r="B440" i="3"/>
  <c r="E439" i="3"/>
  <c r="D439" i="3"/>
  <c r="C439" i="3"/>
  <c r="B439" i="3"/>
  <c r="E438" i="3"/>
  <c r="D438" i="3"/>
  <c r="C438" i="3"/>
  <c r="B438" i="3"/>
  <c r="E437" i="3"/>
  <c r="D437" i="3"/>
  <c r="C437" i="3"/>
  <c r="B437" i="3"/>
  <c r="E436" i="3"/>
  <c r="D436" i="3"/>
  <c r="C436" i="3"/>
  <c r="B436" i="3"/>
  <c r="E435" i="3"/>
  <c r="D435" i="3"/>
  <c r="C435" i="3"/>
  <c r="B435" i="3"/>
  <c r="E434" i="3"/>
  <c r="D434" i="3"/>
  <c r="C434" i="3"/>
  <c r="B434" i="3"/>
  <c r="E433" i="3"/>
  <c r="D433" i="3"/>
  <c r="C433" i="3"/>
  <c r="B433" i="3"/>
  <c r="E432" i="3"/>
  <c r="D432" i="3"/>
  <c r="C432" i="3"/>
  <c r="B432" i="3"/>
  <c r="E431" i="3"/>
  <c r="D431" i="3"/>
  <c r="C431" i="3"/>
  <c r="B431" i="3"/>
  <c r="E430" i="3"/>
  <c r="D430" i="3"/>
  <c r="C430" i="3"/>
  <c r="B430" i="3"/>
  <c r="E429" i="3"/>
  <c r="D429" i="3"/>
  <c r="C429" i="3"/>
  <c r="B429" i="3"/>
  <c r="E428" i="3"/>
  <c r="D428" i="3"/>
  <c r="C428" i="3"/>
  <c r="B428" i="3"/>
  <c r="E427" i="3"/>
  <c r="D427" i="3"/>
  <c r="C427" i="3"/>
  <c r="B427" i="3"/>
  <c r="E426" i="3"/>
  <c r="D426" i="3"/>
  <c r="C426" i="3"/>
  <c r="B426" i="3"/>
  <c r="E425" i="3"/>
  <c r="D425" i="3"/>
  <c r="C425" i="3"/>
  <c r="B425" i="3"/>
  <c r="E424" i="3"/>
  <c r="D424" i="3"/>
  <c r="C424" i="3"/>
  <c r="B424" i="3"/>
  <c r="E423" i="3"/>
  <c r="D423" i="3"/>
  <c r="C423" i="3"/>
  <c r="B423" i="3"/>
  <c r="E422" i="3"/>
  <c r="D422" i="3"/>
  <c r="C422" i="3"/>
  <c r="B422" i="3"/>
  <c r="E421" i="3"/>
  <c r="D421" i="3"/>
  <c r="C421" i="3"/>
  <c r="B421" i="3"/>
  <c r="E420" i="3"/>
  <c r="D420" i="3"/>
  <c r="C420" i="3"/>
  <c r="B420" i="3"/>
  <c r="E419" i="3"/>
  <c r="D419" i="3"/>
  <c r="C419" i="3"/>
  <c r="B419" i="3"/>
  <c r="E418" i="3"/>
  <c r="D418" i="3"/>
  <c r="C418" i="3"/>
  <c r="B418" i="3"/>
  <c r="E417" i="3"/>
  <c r="D417" i="3"/>
  <c r="C417" i="3"/>
  <c r="B417" i="3"/>
  <c r="E416" i="3"/>
  <c r="D416" i="3"/>
  <c r="C416" i="3"/>
  <c r="B416" i="3"/>
  <c r="E415" i="3"/>
  <c r="D415" i="3"/>
  <c r="C415" i="3"/>
  <c r="B415" i="3"/>
  <c r="E414" i="3"/>
  <c r="D414" i="3"/>
  <c r="C414" i="3"/>
  <c r="B414" i="3"/>
  <c r="E413" i="3"/>
  <c r="D413" i="3"/>
  <c r="C413" i="3"/>
  <c r="B413" i="3"/>
  <c r="E412" i="3"/>
  <c r="D412" i="3"/>
  <c r="C412" i="3"/>
  <c r="B412" i="3"/>
  <c r="E411" i="3"/>
  <c r="D411" i="3"/>
  <c r="C411" i="3"/>
  <c r="B411" i="3"/>
  <c r="E410" i="3"/>
  <c r="D410" i="3"/>
  <c r="C410" i="3"/>
  <c r="B410" i="3"/>
  <c r="E409" i="3"/>
  <c r="D409" i="3"/>
  <c r="C409" i="3"/>
  <c r="B409" i="3"/>
  <c r="E408" i="3"/>
  <c r="D408" i="3"/>
  <c r="C408" i="3"/>
  <c r="B408" i="3"/>
  <c r="E407" i="3"/>
  <c r="D407" i="3"/>
  <c r="C407" i="3"/>
  <c r="B407" i="3"/>
  <c r="E406" i="3"/>
  <c r="D406" i="3"/>
  <c r="C406" i="3"/>
  <c r="B406" i="3"/>
  <c r="E405" i="3"/>
  <c r="D405" i="3"/>
  <c r="C405" i="3"/>
  <c r="B405" i="3"/>
  <c r="E404" i="3"/>
  <c r="D404" i="3"/>
  <c r="C404" i="3"/>
  <c r="B404" i="3"/>
  <c r="E403" i="3"/>
  <c r="D403" i="3"/>
  <c r="C403" i="3"/>
  <c r="B403" i="3"/>
  <c r="E402" i="3"/>
  <c r="D402" i="3"/>
  <c r="C402" i="3"/>
  <c r="B402" i="3"/>
  <c r="E401" i="3"/>
  <c r="D401" i="3"/>
  <c r="C401" i="3"/>
  <c r="B401" i="3"/>
  <c r="E400" i="3"/>
  <c r="D400" i="3"/>
  <c r="C400" i="3"/>
  <c r="B400" i="3"/>
  <c r="E399" i="3"/>
  <c r="D399" i="3"/>
  <c r="C399" i="3"/>
  <c r="B399" i="3"/>
  <c r="E398" i="3"/>
  <c r="D398" i="3"/>
  <c r="C398" i="3"/>
  <c r="B398" i="3"/>
  <c r="E397" i="3"/>
  <c r="D397" i="3"/>
  <c r="C397" i="3"/>
  <c r="B397" i="3"/>
  <c r="E396" i="3"/>
  <c r="D396" i="3"/>
  <c r="C396" i="3"/>
  <c r="B396" i="3"/>
  <c r="E395" i="3"/>
  <c r="D395" i="3"/>
  <c r="C395" i="3"/>
  <c r="B395" i="3"/>
  <c r="E394" i="3"/>
  <c r="D394" i="3"/>
  <c r="C394" i="3"/>
  <c r="B394" i="3"/>
  <c r="E393" i="3"/>
  <c r="D393" i="3"/>
  <c r="C393" i="3"/>
  <c r="B393" i="3"/>
  <c r="E392" i="3"/>
  <c r="D392" i="3"/>
  <c r="C392" i="3"/>
  <c r="B392" i="3"/>
  <c r="E391" i="3"/>
  <c r="D391" i="3"/>
  <c r="C391" i="3"/>
  <c r="B391" i="3"/>
  <c r="E390" i="3"/>
  <c r="D390" i="3"/>
  <c r="C390" i="3"/>
  <c r="B390" i="3"/>
  <c r="E389" i="3"/>
  <c r="D389" i="3"/>
  <c r="C389" i="3"/>
  <c r="B389" i="3"/>
  <c r="E388" i="3"/>
  <c r="D388" i="3"/>
  <c r="C388" i="3"/>
  <c r="B388" i="3"/>
  <c r="E387" i="3"/>
  <c r="D387" i="3"/>
  <c r="C387" i="3"/>
  <c r="B387" i="3"/>
  <c r="E386" i="3"/>
  <c r="D386" i="3"/>
  <c r="C386" i="3"/>
  <c r="B386" i="3"/>
  <c r="E385" i="3"/>
  <c r="D385" i="3"/>
  <c r="C385" i="3"/>
  <c r="B385" i="3"/>
  <c r="E384" i="3"/>
  <c r="D384" i="3"/>
  <c r="C384" i="3"/>
  <c r="B384" i="3"/>
  <c r="E383" i="3"/>
  <c r="D383" i="3"/>
  <c r="C383" i="3"/>
  <c r="B383" i="3"/>
  <c r="E382" i="3"/>
  <c r="D382" i="3"/>
  <c r="C382" i="3"/>
  <c r="B382" i="3"/>
  <c r="E381" i="3"/>
  <c r="D381" i="3"/>
  <c r="C381" i="3"/>
  <c r="B381" i="3"/>
  <c r="E380" i="3"/>
  <c r="D380" i="3"/>
  <c r="C380" i="3"/>
  <c r="B380" i="3"/>
  <c r="E379" i="3"/>
  <c r="D379" i="3"/>
  <c r="C379" i="3"/>
  <c r="B379" i="3"/>
  <c r="E378" i="3"/>
  <c r="D378" i="3"/>
  <c r="C378" i="3"/>
  <c r="B378" i="3"/>
  <c r="E377" i="3"/>
  <c r="D377" i="3"/>
  <c r="C377" i="3"/>
  <c r="B377" i="3"/>
  <c r="E376" i="3"/>
  <c r="D376" i="3"/>
  <c r="C376" i="3"/>
  <c r="B376" i="3"/>
  <c r="E375" i="3"/>
  <c r="D375" i="3"/>
  <c r="C375" i="3"/>
  <c r="B375" i="3"/>
  <c r="E374" i="3"/>
  <c r="D374" i="3"/>
  <c r="C374" i="3"/>
  <c r="B374" i="3"/>
  <c r="E373" i="3"/>
  <c r="D373" i="3"/>
  <c r="C373" i="3"/>
  <c r="B373" i="3"/>
  <c r="E372" i="3"/>
  <c r="D372" i="3"/>
  <c r="C372" i="3"/>
  <c r="B372" i="3"/>
  <c r="E371" i="3"/>
  <c r="D371" i="3"/>
  <c r="C371" i="3"/>
  <c r="B371" i="3"/>
  <c r="E370" i="3"/>
  <c r="D370" i="3"/>
  <c r="C370" i="3"/>
  <c r="B370" i="3"/>
  <c r="E369" i="3"/>
  <c r="D369" i="3"/>
  <c r="C369" i="3"/>
  <c r="B369" i="3"/>
  <c r="E368" i="3"/>
  <c r="D368" i="3"/>
  <c r="C368" i="3"/>
  <c r="B368" i="3"/>
  <c r="E367" i="3"/>
  <c r="D367" i="3"/>
  <c r="C367" i="3"/>
  <c r="B367" i="3"/>
  <c r="E366" i="3"/>
  <c r="D366" i="3"/>
  <c r="C366" i="3"/>
  <c r="B366" i="3"/>
  <c r="E365" i="3"/>
  <c r="D365" i="3"/>
  <c r="C365" i="3"/>
  <c r="B365" i="3"/>
  <c r="E364" i="3"/>
  <c r="D364" i="3"/>
  <c r="C364" i="3"/>
  <c r="B364" i="3"/>
  <c r="E363" i="3"/>
  <c r="D363" i="3"/>
  <c r="C363" i="3"/>
  <c r="B363" i="3"/>
  <c r="E362" i="3"/>
  <c r="D362" i="3"/>
  <c r="C362" i="3"/>
  <c r="B362" i="3"/>
  <c r="E361" i="3"/>
  <c r="D361" i="3"/>
  <c r="C361" i="3"/>
  <c r="B361" i="3"/>
  <c r="E360" i="3"/>
  <c r="D360" i="3"/>
  <c r="C360" i="3"/>
  <c r="B360" i="3"/>
  <c r="E359" i="3"/>
  <c r="D359" i="3"/>
  <c r="C359" i="3"/>
  <c r="B359" i="3"/>
  <c r="E358" i="3"/>
  <c r="D358" i="3"/>
  <c r="C358" i="3"/>
  <c r="B358" i="3"/>
  <c r="E357" i="3"/>
  <c r="D357" i="3"/>
  <c r="C357" i="3"/>
  <c r="B357" i="3"/>
  <c r="E356" i="3"/>
  <c r="D356" i="3"/>
  <c r="C356" i="3"/>
  <c r="B356" i="3"/>
  <c r="E355" i="3"/>
  <c r="D355" i="3"/>
  <c r="C355" i="3"/>
  <c r="B355" i="3"/>
  <c r="E354" i="3"/>
  <c r="D354" i="3"/>
  <c r="C354" i="3"/>
  <c r="B354" i="3"/>
  <c r="E353" i="3"/>
  <c r="D353" i="3"/>
  <c r="C353" i="3"/>
  <c r="B353" i="3"/>
  <c r="E352" i="3"/>
  <c r="D352" i="3"/>
  <c r="C352" i="3"/>
  <c r="B352" i="3"/>
  <c r="E351" i="3"/>
  <c r="D351" i="3"/>
  <c r="C351" i="3"/>
  <c r="B351" i="3"/>
  <c r="E350" i="3"/>
  <c r="D350" i="3"/>
  <c r="C350" i="3"/>
  <c r="B350" i="3"/>
  <c r="E349" i="3"/>
  <c r="D349" i="3"/>
  <c r="C349" i="3"/>
  <c r="B349" i="3"/>
  <c r="E348" i="3"/>
  <c r="D348" i="3"/>
  <c r="C348" i="3"/>
  <c r="B348" i="3"/>
  <c r="E347" i="3"/>
  <c r="D347" i="3"/>
  <c r="C347" i="3"/>
  <c r="B347" i="3"/>
  <c r="E346" i="3"/>
  <c r="D346" i="3"/>
  <c r="C346" i="3"/>
  <c r="B346" i="3"/>
  <c r="E345" i="3"/>
  <c r="D345" i="3"/>
  <c r="C345" i="3"/>
  <c r="B345" i="3"/>
  <c r="E344" i="3"/>
  <c r="D344" i="3"/>
  <c r="C344" i="3"/>
  <c r="B344" i="3"/>
  <c r="E343" i="3"/>
  <c r="D343" i="3"/>
  <c r="C343" i="3"/>
  <c r="B343" i="3"/>
  <c r="E342" i="3"/>
  <c r="D342" i="3"/>
  <c r="C342" i="3"/>
  <c r="B342" i="3"/>
  <c r="E341" i="3"/>
  <c r="D341" i="3"/>
  <c r="C341" i="3"/>
  <c r="B341" i="3"/>
  <c r="E340" i="3"/>
  <c r="D340" i="3"/>
  <c r="C340" i="3"/>
  <c r="B340" i="3"/>
  <c r="E339" i="3"/>
  <c r="D339" i="3"/>
  <c r="C339" i="3"/>
  <c r="B339" i="3"/>
  <c r="E338" i="3"/>
  <c r="D338" i="3"/>
  <c r="C338" i="3"/>
  <c r="B338" i="3"/>
  <c r="E337" i="3"/>
  <c r="D337" i="3"/>
  <c r="C337" i="3"/>
  <c r="B337" i="3"/>
  <c r="E336" i="3"/>
  <c r="D336" i="3"/>
  <c r="C336" i="3"/>
  <c r="B336" i="3"/>
  <c r="E335" i="3"/>
  <c r="D335" i="3"/>
  <c r="C335" i="3"/>
  <c r="B335" i="3"/>
  <c r="E334" i="3"/>
  <c r="D334" i="3"/>
  <c r="C334" i="3"/>
  <c r="B334" i="3"/>
  <c r="E333" i="3"/>
  <c r="D333" i="3"/>
  <c r="C333" i="3"/>
  <c r="B333" i="3"/>
  <c r="E332" i="3"/>
  <c r="D332" i="3"/>
  <c r="C332" i="3"/>
  <c r="B332" i="3"/>
  <c r="E331" i="3"/>
  <c r="D331" i="3"/>
  <c r="C331" i="3"/>
  <c r="B331" i="3"/>
  <c r="E330" i="3"/>
  <c r="D330" i="3"/>
  <c r="C330" i="3"/>
  <c r="B330" i="3"/>
  <c r="E329" i="3"/>
  <c r="D329" i="3"/>
  <c r="C329" i="3"/>
  <c r="B329" i="3"/>
  <c r="E328" i="3"/>
  <c r="D328" i="3"/>
  <c r="C328" i="3"/>
  <c r="B328" i="3"/>
  <c r="E327" i="3"/>
  <c r="D327" i="3"/>
  <c r="C327" i="3"/>
  <c r="B327" i="3"/>
  <c r="E326" i="3"/>
  <c r="D326" i="3"/>
  <c r="C326" i="3"/>
  <c r="B326" i="3"/>
  <c r="E325" i="3"/>
  <c r="D325" i="3"/>
  <c r="C325" i="3"/>
  <c r="B325" i="3"/>
  <c r="E324" i="3"/>
  <c r="D324" i="3"/>
  <c r="C324" i="3"/>
  <c r="B324" i="3"/>
  <c r="E323" i="3"/>
  <c r="D323" i="3"/>
  <c r="C323" i="3"/>
  <c r="B323" i="3"/>
  <c r="E322" i="3"/>
  <c r="D322" i="3"/>
  <c r="C322" i="3"/>
  <c r="B322" i="3"/>
  <c r="E321" i="3"/>
  <c r="D321" i="3"/>
  <c r="C321" i="3"/>
  <c r="B321" i="3"/>
  <c r="E320" i="3"/>
  <c r="D320" i="3"/>
  <c r="C320" i="3"/>
  <c r="B320" i="3"/>
  <c r="E319" i="3"/>
  <c r="D319" i="3"/>
  <c r="C319" i="3"/>
  <c r="B319" i="3"/>
  <c r="E318" i="3"/>
  <c r="D318" i="3"/>
  <c r="C318" i="3"/>
  <c r="B318" i="3"/>
  <c r="E317" i="3"/>
  <c r="D317" i="3"/>
  <c r="C317" i="3"/>
  <c r="B317" i="3"/>
  <c r="E316" i="3"/>
  <c r="D316" i="3"/>
  <c r="C316" i="3"/>
  <c r="B316" i="3"/>
  <c r="E315" i="3"/>
  <c r="D315" i="3"/>
  <c r="C315" i="3"/>
  <c r="B315" i="3"/>
  <c r="E314" i="3"/>
  <c r="D314" i="3"/>
  <c r="C314" i="3"/>
  <c r="B314" i="3"/>
  <c r="E313" i="3"/>
  <c r="D313" i="3"/>
  <c r="C313" i="3"/>
  <c r="B313" i="3"/>
  <c r="E312" i="3"/>
  <c r="D312" i="3"/>
  <c r="C312" i="3"/>
  <c r="B312" i="3"/>
  <c r="E311" i="3"/>
  <c r="D311" i="3"/>
  <c r="C311" i="3"/>
  <c r="B311" i="3"/>
  <c r="E310" i="3"/>
  <c r="D310" i="3"/>
  <c r="C310" i="3"/>
  <c r="B310" i="3"/>
  <c r="E309" i="3"/>
  <c r="D309" i="3"/>
  <c r="C309" i="3"/>
  <c r="B309" i="3"/>
  <c r="E308" i="3"/>
  <c r="D308" i="3"/>
  <c r="C308" i="3"/>
  <c r="B308" i="3"/>
  <c r="E307" i="3"/>
  <c r="D307" i="3"/>
  <c r="C307" i="3"/>
  <c r="B307" i="3"/>
  <c r="E306" i="3"/>
  <c r="D306" i="3"/>
  <c r="C306" i="3"/>
  <c r="B306" i="3"/>
  <c r="E305" i="3"/>
  <c r="D305" i="3"/>
  <c r="C305" i="3"/>
  <c r="B305" i="3"/>
  <c r="E304" i="3"/>
  <c r="D304" i="3"/>
  <c r="C304" i="3"/>
  <c r="B304" i="3"/>
  <c r="E303" i="3"/>
  <c r="D303" i="3"/>
  <c r="C303" i="3"/>
  <c r="B303" i="3"/>
  <c r="E302" i="3"/>
  <c r="D302" i="3"/>
  <c r="C302" i="3"/>
  <c r="B302" i="3"/>
  <c r="E301" i="3"/>
  <c r="D301" i="3"/>
  <c r="C301" i="3"/>
  <c r="B301" i="3"/>
  <c r="E300" i="3"/>
  <c r="D300" i="3"/>
  <c r="C300" i="3"/>
  <c r="B300" i="3"/>
  <c r="E299" i="3"/>
  <c r="D299" i="3"/>
  <c r="C299" i="3"/>
  <c r="B299" i="3"/>
  <c r="E298" i="3"/>
  <c r="D298" i="3"/>
  <c r="C298" i="3"/>
  <c r="B298" i="3"/>
  <c r="E297" i="3"/>
  <c r="D297" i="3"/>
  <c r="C297" i="3"/>
  <c r="B297" i="3"/>
  <c r="E296" i="3"/>
  <c r="D296" i="3"/>
  <c r="C296" i="3"/>
  <c r="B296" i="3"/>
  <c r="E295" i="3"/>
  <c r="D295" i="3"/>
  <c r="C295" i="3"/>
  <c r="B295" i="3"/>
  <c r="E294" i="3"/>
  <c r="D294" i="3"/>
  <c r="C294" i="3"/>
  <c r="B294" i="3"/>
  <c r="E293" i="3"/>
  <c r="D293" i="3"/>
  <c r="C293" i="3"/>
  <c r="B293" i="3"/>
  <c r="E292" i="3"/>
  <c r="D292" i="3"/>
  <c r="C292" i="3"/>
  <c r="B292" i="3"/>
  <c r="E291" i="3"/>
  <c r="D291" i="3"/>
  <c r="C291" i="3"/>
  <c r="B291" i="3"/>
  <c r="E290" i="3"/>
  <c r="D290" i="3"/>
  <c r="C290" i="3"/>
  <c r="B290" i="3"/>
  <c r="E289" i="3"/>
  <c r="D289" i="3"/>
  <c r="C289" i="3"/>
  <c r="B289" i="3"/>
  <c r="E288" i="3"/>
  <c r="D288" i="3"/>
  <c r="C288" i="3"/>
  <c r="B288" i="3"/>
  <c r="E287" i="3"/>
  <c r="D287" i="3"/>
  <c r="C287" i="3"/>
  <c r="B287" i="3"/>
  <c r="E286" i="3"/>
  <c r="D286" i="3"/>
  <c r="C286" i="3"/>
  <c r="B286" i="3"/>
  <c r="E285" i="3"/>
  <c r="D285" i="3"/>
  <c r="C285" i="3"/>
  <c r="B285" i="3"/>
  <c r="E284" i="3"/>
  <c r="D284" i="3"/>
  <c r="C284" i="3"/>
  <c r="B284" i="3"/>
  <c r="E283" i="3"/>
  <c r="D283" i="3"/>
  <c r="C283" i="3"/>
  <c r="B283" i="3"/>
  <c r="E282" i="3"/>
  <c r="D282" i="3"/>
  <c r="C282" i="3"/>
  <c r="B282" i="3"/>
  <c r="E281" i="3"/>
  <c r="D281" i="3"/>
  <c r="C281" i="3"/>
  <c r="B281" i="3"/>
  <c r="E280" i="3"/>
  <c r="D280" i="3"/>
  <c r="C280" i="3"/>
  <c r="B280" i="3"/>
  <c r="E279" i="3"/>
  <c r="D279" i="3"/>
  <c r="C279" i="3"/>
  <c r="B279" i="3"/>
  <c r="E278" i="3"/>
  <c r="D278" i="3"/>
  <c r="C278" i="3"/>
  <c r="B278" i="3"/>
  <c r="E277" i="3"/>
  <c r="D277" i="3"/>
  <c r="C277" i="3"/>
  <c r="B277" i="3"/>
  <c r="E276" i="3"/>
  <c r="D276" i="3"/>
  <c r="C276" i="3"/>
  <c r="B276" i="3"/>
  <c r="E275" i="3"/>
  <c r="D275" i="3"/>
  <c r="C275" i="3"/>
  <c r="B275" i="3"/>
  <c r="E274" i="3"/>
  <c r="D274" i="3"/>
  <c r="C274" i="3"/>
  <c r="B274" i="3"/>
  <c r="E273" i="3"/>
  <c r="D273" i="3"/>
  <c r="C273" i="3"/>
  <c r="B273" i="3"/>
  <c r="E272" i="3"/>
  <c r="D272" i="3"/>
  <c r="C272" i="3"/>
  <c r="B272" i="3"/>
  <c r="E271" i="3"/>
  <c r="D271" i="3"/>
  <c r="C271" i="3"/>
  <c r="B271" i="3"/>
  <c r="E270" i="3"/>
  <c r="D270" i="3"/>
  <c r="C270" i="3"/>
  <c r="B270" i="3"/>
  <c r="E269" i="3"/>
  <c r="D269" i="3"/>
  <c r="C269" i="3"/>
  <c r="B269" i="3"/>
  <c r="E268" i="3"/>
  <c r="D268" i="3"/>
  <c r="C268" i="3"/>
  <c r="B268" i="3"/>
  <c r="E267" i="3"/>
  <c r="D267" i="3"/>
  <c r="C267" i="3"/>
  <c r="B267" i="3"/>
  <c r="E266" i="3"/>
  <c r="D266" i="3"/>
  <c r="C266" i="3"/>
  <c r="B266" i="3"/>
  <c r="E265" i="3"/>
  <c r="D265" i="3"/>
  <c r="C265" i="3"/>
  <c r="B265" i="3"/>
  <c r="E264" i="3"/>
  <c r="D264" i="3"/>
  <c r="C264" i="3"/>
  <c r="B264" i="3"/>
  <c r="E263" i="3"/>
  <c r="D263" i="3"/>
  <c r="C263" i="3"/>
  <c r="B263" i="3"/>
  <c r="E262" i="3"/>
  <c r="D262" i="3"/>
  <c r="C262" i="3"/>
  <c r="B262" i="3"/>
  <c r="E261" i="3"/>
  <c r="D261" i="3"/>
  <c r="C261" i="3"/>
  <c r="B261" i="3"/>
  <c r="E260" i="3"/>
  <c r="D260" i="3"/>
  <c r="C260" i="3"/>
  <c r="B260" i="3"/>
  <c r="E259" i="3"/>
  <c r="D259" i="3"/>
  <c r="C259" i="3"/>
  <c r="B259" i="3"/>
  <c r="E258" i="3"/>
  <c r="D258" i="3"/>
  <c r="C258" i="3"/>
  <c r="B258" i="3"/>
  <c r="E257" i="3"/>
  <c r="D257" i="3"/>
  <c r="C257" i="3"/>
  <c r="B257" i="3"/>
  <c r="E256" i="3"/>
  <c r="D256" i="3"/>
  <c r="C256" i="3"/>
  <c r="B256" i="3"/>
  <c r="E255" i="3"/>
  <c r="D255" i="3"/>
  <c r="C255" i="3"/>
  <c r="B255" i="3"/>
  <c r="E254" i="3"/>
  <c r="D254" i="3"/>
  <c r="C254" i="3"/>
  <c r="B254" i="3"/>
  <c r="E253" i="3"/>
  <c r="D253" i="3"/>
  <c r="C253" i="3"/>
  <c r="B253" i="3"/>
  <c r="E252" i="3"/>
  <c r="D252" i="3"/>
  <c r="C252" i="3"/>
  <c r="B252" i="3"/>
  <c r="E251" i="3"/>
  <c r="D251" i="3"/>
  <c r="C251" i="3"/>
  <c r="B251" i="3"/>
  <c r="E250" i="3"/>
  <c r="D250" i="3"/>
  <c r="C250" i="3"/>
  <c r="B250" i="3"/>
  <c r="E249" i="3"/>
  <c r="D249" i="3"/>
  <c r="C249" i="3"/>
  <c r="B249" i="3"/>
  <c r="E248" i="3"/>
  <c r="D248" i="3"/>
  <c r="C248" i="3"/>
  <c r="B248" i="3"/>
  <c r="E247" i="3"/>
  <c r="D247" i="3"/>
  <c r="C247" i="3"/>
  <c r="B247" i="3"/>
  <c r="E246" i="3"/>
  <c r="D246" i="3"/>
  <c r="C246" i="3"/>
  <c r="B246" i="3"/>
  <c r="E245" i="3"/>
  <c r="D245" i="3"/>
  <c r="C245" i="3"/>
  <c r="B245" i="3"/>
  <c r="E244" i="3"/>
  <c r="D244" i="3"/>
  <c r="C244" i="3"/>
  <c r="B244" i="3"/>
  <c r="E243" i="3"/>
  <c r="D243" i="3"/>
  <c r="C243" i="3"/>
  <c r="B243" i="3"/>
  <c r="E242" i="3"/>
  <c r="D242" i="3"/>
  <c r="C242" i="3"/>
  <c r="B242" i="3"/>
  <c r="E241" i="3"/>
  <c r="D241" i="3"/>
  <c r="C241" i="3"/>
  <c r="B241" i="3"/>
  <c r="E240" i="3"/>
  <c r="D240" i="3"/>
  <c r="C240" i="3"/>
  <c r="B240" i="3"/>
  <c r="E239" i="3"/>
  <c r="D239" i="3"/>
  <c r="C239" i="3"/>
  <c r="B239" i="3"/>
  <c r="E238" i="3"/>
  <c r="D238" i="3"/>
  <c r="C238" i="3"/>
  <c r="B238" i="3"/>
  <c r="E237" i="3"/>
  <c r="D237" i="3"/>
  <c r="C237" i="3"/>
  <c r="B237" i="3"/>
  <c r="E236" i="3"/>
  <c r="D236" i="3"/>
  <c r="C236" i="3"/>
  <c r="B236" i="3"/>
  <c r="E235" i="3"/>
  <c r="D235" i="3"/>
  <c r="C235" i="3"/>
  <c r="B235" i="3"/>
  <c r="E234" i="3"/>
  <c r="D234" i="3"/>
  <c r="C234" i="3"/>
  <c r="B234" i="3"/>
  <c r="E233" i="3"/>
  <c r="D233" i="3"/>
  <c r="C233" i="3"/>
  <c r="B233" i="3"/>
  <c r="E232" i="3"/>
  <c r="D232" i="3"/>
  <c r="C232" i="3"/>
  <c r="B232" i="3"/>
  <c r="E231" i="3"/>
  <c r="D231" i="3"/>
  <c r="C231" i="3"/>
  <c r="B231" i="3"/>
  <c r="E230" i="3"/>
  <c r="D230" i="3"/>
  <c r="C230" i="3"/>
  <c r="B230" i="3"/>
  <c r="E229" i="3"/>
  <c r="D229" i="3"/>
  <c r="C229" i="3"/>
  <c r="B229" i="3"/>
  <c r="E228" i="3"/>
  <c r="D228" i="3"/>
  <c r="C228" i="3"/>
  <c r="B228" i="3"/>
  <c r="E227" i="3"/>
  <c r="D227" i="3"/>
  <c r="C227" i="3"/>
  <c r="B227" i="3"/>
  <c r="E226" i="3"/>
  <c r="D226" i="3"/>
  <c r="C226" i="3"/>
  <c r="B226" i="3"/>
  <c r="E225" i="3"/>
  <c r="D225" i="3"/>
  <c r="C225" i="3"/>
  <c r="B225" i="3"/>
  <c r="E224" i="3"/>
  <c r="D224" i="3"/>
  <c r="C224" i="3"/>
  <c r="B224" i="3"/>
  <c r="E223" i="3"/>
  <c r="D223" i="3"/>
  <c r="C223" i="3"/>
  <c r="B223" i="3"/>
  <c r="E222" i="3"/>
  <c r="D222" i="3"/>
  <c r="C222" i="3"/>
  <c r="B222" i="3"/>
  <c r="E221" i="3"/>
  <c r="D221" i="3"/>
  <c r="C221" i="3"/>
  <c r="B221" i="3"/>
  <c r="E220" i="3"/>
  <c r="D220" i="3"/>
  <c r="C220" i="3"/>
  <c r="B220" i="3"/>
  <c r="E219" i="3"/>
  <c r="D219" i="3"/>
  <c r="C219" i="3"/>
  <c r="B219" i="3"/>
  <c r="E218" i="3"/>
  <c r="D218" i="3"/>
  <c r="C218" i="3"/>
  <c r="B218" i="3"/>
  <c r="E217" i="3"/>
  <c r="D217" i="3"/>
  <c r="C217" i="3"/>
  <c r="B217" i="3"/>
  <c r="E216" i="3"/>
  <c r="D216" i="3"/>
  <c r="C216" i="3"/>
  <c r="B216" i="3"/>
  <c r="E215" i="3"/>
  <c r="D215" i="3"/>
  <c r="C215" i="3"/>
  <c r="B215" i="3"/>
  <c r="E214" i="3"/>
  <c r="D214" i="3"/>
  <c r="C214" i="3"/>
  <c r="B214" i="3"/>
  <c r="E213" i="3"/>
  <c r="D213" i="3"/>
  <c r="C213" i="3"/>
  <c r="B213" i="3"/>
  <c r="E212" i="3"/>
  <c r="D212" i="3"/>
  <c r="C212" i="3"/>
  <c r="B212" i="3"/>
  <c r="E211" i="3"/>
  <c r="D211" i="3"/>
  <c r="C211" i="3"/>
  <c r="B211" i="3"/>
  <c r="E210" i="3"/>
  <c r="D210" i="3"/>
  <c r="C210" i="3"/>
  <c r="B210" i="3"/>
  <c r="E209" i="3"/>
  <c r="D209" i="3"/>
  <c r="C209" i="3"/>
  <c r="B209" i="3"/>
  <c r="E208" i="3"/>
  <c r="D208" i="3"/>
  <c r="C208" i="3"/>
  <c r="B208" i="3"/>
  <c r="E207" i="3"/>
  <c r="D207" i="3"/>
  <c r="C207" i="3"/>
  <c r="B207" i="3"/>
  <c r="E206" i="3"/>
  <c r="D206" i="3"/>
  <c r="C206" i="3"/>
  <c r="B206" i="3"/>
  <c r="E205" i="3"/>
  <c r="D205" i="3"/>
  <c r="C205" i="3"/>
  <c r="B205" i="3"/>
  <c r="E204" i="3"/>
  <c r="D204" i="3"/>
  <c r="C204" i="3"/>
  <c r="B204" i="3"/>
  <c r="E203" i="3"/>
  <c r="D203" i="3"/>
  <c r="C203" i="3"/>
  <c r="B203" i="3"/>
  <c r="E202" i="3"/>
  <c r="D202" i="3"/>
  <c r="C202" i="3"/>
  <c r="B202" i="3"/>
  <c r="E201" i="3"/>
  <c r="D201" i="3"/>
  <c r="C201" i="3"/>
  <c r="B201" i="3"/>
  <c r="E200" i="3"/>
  <c r="D200" i="3"/>
  <c r="C200" i="3"/>
  <c r="B200" i="3"/>
  <c r="E199" i="3"/>
  <c r="D199" i="3"/>
  <c r="C199" i="3"/>
  <c r="B199" i="3"/>
  <c r="E198" i="3"/>
  <c r="D198" i="3"/>
  <c r="C198" i="3"/>
  <c r="B198" i="3"/>
  <c r="E197" i="3"/>
  <c r="D197" i="3"/>
  <c r="C197" i="3"/>
  <c r="B197" i="3"/>
  <c r="E196" i="3"/>
  <c r="D196" i="3"/>
  <c r="C196" i="3"/>
  <c r="B196" i="3"/>
  <c r="E195" i="3"/>
  <c r="D195" i="3"/>
  <c r="C195" i="3"/>
  <c r="B195" i="3"/>
  <c r="E194" i="3"/>
  <c r="D194" i="3"/>
  <c r="C194" i="3"/>
  <c r="B194" i="3"/>
  <c r="E193" i="3"/>
  <c r="D193" i="3"/>
  <c r="C193" i="3"/>
  <c r="B193" i="3"/>
  <c r="E192" i="3"/>
  <c r="D192" i="3"/>
  <c r="C192" i="3"/>
  <c r="B192" i="3"/>
  <c r="E191" i="3"/>
  <c r="D191" i="3"/>
  <c r="C191" i="3"/>
  <c r="B191" i="3"/>
  <c r="E190" i="3"/>
  <c r="D190" i="3"/>
  <c r="C190" i="3"/>
  <c r="B190" i="3"/>
  <c r="E189" i="3"/>
  <c r="D189" i="3"/>
  <c r="C189" i="3"/>
  <c r="B189" i="3"/>
  <c r="E188" i="3"/>
  <c r="D188" i="3"/>
  <c r="C188" i="3"/>
  <c r="B188" i="3"/>
  <c r="E187" i="3"/>
  <c r="D187" i="3"/>
  <c r="C187" i="3"/>
  <c r="B187" i="3"/>
  <c r="E186" i="3"/>
  <c r="D186" i="3"/>
  <c r="C186" i="3"/>
  <c r="B186" i="3"/>
  <c r="E185" i="3"/>
  <c r="D185" i="3"/>
  <c r="C185" i="3"/>
  <c r="B185" i="3"/>
  <c r="E184" i="3"/>
  <c r="D184" i="3"/>
  <c r="C184" i="3"/>
  <c r="B184" i="3"/>
  <c r="E183" i="3"/>
  <c r="D183" i="3"/>
  <c r="C183" i="3"/>
  <c r="B183" i="3"/>
  <c r="E182" i="3"/>
  <c r="D182" i="3"/>
  <c r="C182" i="3"/>
  <c r="B182" i="3"/>
  <c r="E181" i="3"/>
  <c r="D181" i="3"/>
  <c r="C181" i="3"/>
  <c r="B181" i="3"/>
  <c r="E180" i="3"/>
  <c r="D180" i="3"/>
  <c r="C180" i="3"/>
  <c r="B180" i="3"/>
  <c r="E179" i="3"/>
  <c r="D179" i="3"/>
  <c r="C179" i="3"/>
  <c r="B179" i="3"/>
  <c r="E178" i="3"/>
  <c r="D178" i="3"/>
  <c r="C178" i="3"/>
  <c r="B178" i="3"/>
  <c r="E177" i="3"/>
  <c r="D177" i="3"/>
  <c r="C177" i="3"/>
  <c r="B177" i="3"/>
  <c r="E176" i="3"/>
  <c r="D176" i="3"/>
  <c r="C176" i="3"/>
  <c r="B176" i="3"/>
  <c r="E175" i="3"/>
  <c r="D175" i="3"/>
  <c r="C175" i="3"/>
  <c r="B175" i="3"/>
  <c r="E174" i="3"/>
  <c r="D174" i="3"/>
  <c r="C174" i="3"/>
  <c r="B174" i="3"/>
  <c r="E173" i="3"/>
  <c r="D173" i="3"/>
  <c r="C173" i="3"/>
  <c r="B173" i="3"/>
  <c r="E172" i="3"/>
  <c r="D172" i="3"/>
  <c r="C172" i="3"/>
  <c r="B172" i="3"/>
  <c r="E171" i="3"/>
  <c r="D171" i="3"/>
  <c r="C171" i="3"/>
  <c r="B171" i="3"/>
  <c r="E170" i="3"/>
  <c r="D170" i="3"/>
  <c r="C170" i="3"/>
  <c r="B170" i="3"/>
  <c r="E169" i="3"/>
  <c r="D169" i="3"/>
  <c r="C169" i="3"/>
  <c r="B169" i="3"/>
  <c r="E168" i="3"/>
  <c r="D168" i="3"/>
  <c r="C168" i="3"/>
  <c r="B168" i="3"/>
  <c r="E167" i="3"/>
  <c r="D167" i="3"/>
  <c r="C167" i="3"/>
  <c r="B167" i="3"/>
  <c r="E166" i="3"/>
  <c r="D166" i="3"/>
  <c r="C166" i="3"/>
  <c r="B166" i="3"/>
  <c r="E165" i="3"/>
  <c r="D165" i="3"/>
  <c r="C165" i="3"/>
  <c r="B165" i="3"/>
  <c r="E164" i="3"/>
  <c r="D164" i="3"/>
  <c r="C164" i="3"/>
  <c r="B164" i="3"/>
  <c r="E163" i="3"/>
  <c r="D163" i="3"/>
  <c r="C163" i="3"/>
  <c r="B163" i="3"/>
  <c r="E162" i="3"/>
  <c r="D162" i="3"/>
  <c r="C162" i="3"/>
  <c r="B162" i="3"/>
  <c r="E161" i="3"/>
  <c r="D161" i="3"/>
  <c r="C161" i="3"/>
  <c r="B161" i="3"/>
  <c r="E160" i="3"/>
  <c r="D160" i="3"/>
  <c r="C160" i="3"/>
  <c r="B160" i="3"/>
  <c r="E159" i="3"/>
  <c r="D159" i="3"/>
  <c r="C159" i="3"/>
  <c r="B159" i="3"/>
  <c r="E158" i="3"/>
  <c r="D158" i="3"/>
  <c r="C158" i="3"/>
  <c r="B158" i="3"/>
  <c r="E157" i="3"/>
  <c r="D157" i="3"/>
  <c r="C157" i="3"/>
  <c r="B157" i="3"/>
  <c r="E156" i="3"/>
  <c r="D156" i="3"/>
  <c r="C156" i="3"/>
  <c r="B156" i="3"/>
  <c r="E155" i="3"/>
  <c r="D155" i="3"/>
  <c r="C155" i="3"/>
  <c r="B155" i="3"/>
  <c r="E154" i="3"/>
  <c r="D154" i="3"/>
  <c r="C154" i="3"/>
  <c r="B154" i="3"/>
  <c r="E153" i="3"/>
  <c r="D153" i="3"/>
  <c r="C153" i="3"/>
  <c r="B153" i="3"/>
  <c r="E152" i="3"/>
  <c r="D152" i="3"/>
  <c r="C152" i="3"/>
  <c r="B152" i="3"/>
  <c r="E151" i="3"/>
  <c r="D151" i="3"/>
  <c r="C151" i="3"/>
  <c r="B151" i="3"/>
  <c r="E150" i="3"/>
  <c r="D150" i="3"/>
  <c r="C150" i="3"/>
  <c r="B150" i="3"/>
  <c r="E149" i="3"/>
  <c r="D149" i="3"/>
  <c r="C149" i="3"/>
  <c r="B149" i="3"/>
  <c r="E148" i="3"/>
  <c r="D148" i="3"/>
  <c r="C148" i="3"/>
  <c r="B148" i="3"/>
  <c r="E147" i="3"/>
  <c r="D147" i="3"/>
  <c r="C147" i="3"/>
  <c r="B147" i="3"/>
  <c r="E146" i="3"/>
  <c r="D146" i="3"/>
  <c r="C146" i="3"/>
  <c r="B146" i="3"/>
  <c r="E145" i="3"/>
  <c r="D145" i="3"/>
  <c r="C145" i="3"/>
  <c r="B145" i="3"/>
  <c r="E144" i="3"/>
  <c r="D144" i="3"/>
  <c r="C144" i="3"/>
  <c r="B144" i="3"/>
  <c r="E143" i="3"/>
  <c r="D143" i="3"/>
  <c r="C143" i="3"/>
  <c r="B143" i="3"/>
  <c r="E142" i="3"/>
  <c r="D142" i="3"/>
  <c r="C142" i="3"/>
  <c r="B142" i="3"/>
  <c r="E141" i="3"/>
  <c r="D141" i="3"/>
  <c r="C141" i="3"/>
  <c r="B141" i="3"/>
  <c r="E140" i="3"/>
  <c r="D140" i="3"/>
  <c r="C140" i="3"/>
  <c r="B140" i="3"/>
  <c r="E139" i="3"/>
  <c r="D139" i="3"/>
  <c r="C139" i="3"/>
  <c r="B139" i="3"/>
  <c r="E138" i="3"/>
  <c r="D138" i="3"/>
  <c r="C138" i="3"/>
  <c r="B138" i="3"/>
  <c r="E137" i="3"/>
  <c r="D137" i="3"/>
  <c r="C137" i="3"/>
  <c r="B137" i="3"/>
  <c r="E136" i="3"/>
  <c r="D136" i="3"/>
  <c r="C136" i="3"/>
  <c r="B136" i="3"/>
  <c r="E135" i="3"/>
  <c r="D135" i="3"/>
  <c r="C135" i="3"/>
  <c r="B135" i="3"/>
  <c r="E134" i="3"/>
  <c r="D134" i="3"/>
  <c r="C134" i="3"/>
  <c r="B134" i="3"/>
  <c r="E133" i="3"/>
  <c r="D133" i="3"/>
  <c r="C133" i="3"/>
  <c r="B133" i="3"/>
  <c r="E132" i="3"/>
  <c r="D132" i="3"/>
  <c r="C132" i="3"/>
  <c r="B132" i="3"/>
  <c r="E131" i="3"/>
  <c r="D131" i="3"/>
  <c r="C131" i="3"/>
  <c r="B131" i="3"/>
  <c r="E130" i="3"/>
  <c r="D130" i="3"/>
  <c r="C130" i="3"/>
  <c r="B130" i="3"/>
  <c r="E129" i="3"/>
  <c r="D129" i="3"/>
  <c r="C129" i="3"/>
  <c r="B129" i="3"/>
  <c r="E128" i="3"/>
  <c r="D128" i="3"/>
  <c r="C128" i="3"/>
  <c r="B128" i="3"/>
  <c r="E127" i="3"/>
  <c r="D127" i="3"/>
  <c r="C127" i="3"/>
  <c r="B127" i="3"/>
  <c r="E126" i="3"/>
  <c r="D126" i="3"/>
  <c r="C126" i="3"/>
  <c r="B126" i="3"/>
  <c r="E125" i="3"/>
  <c r="D125" i="3"/>
  <c r="C125" i="3"/>
  <c r="B125" i="3"/>
  <c r="E124" i="3"/>
  <c r="D124" i="3"/>
  <c r="C124" i="3"/>
  <c r="B124" i="3"/>
  <c r="E123" i="3"/>
  <c r="D123" i="3"/>
  <c r="C123" i="3"/>
  <c r="B123" i="3"/>
  <c r="E122" i="3"/>
  <c r="D122" i="3"/>
  <c r="C122" i="3"/>
  <c r="B122" i="3"/>
  <c r="E121" i="3"/>
  <c r="D121" i="3"/>
  <c r="C121" i="3"/>
  <c r="B121" i="3"/>
  <c r="E120" i="3"/>
  <c r="D120" i="3"/>
  <c r="C120" i="3"/>
  <c r="B120" i="3"/>
  <c r="E119" i="3"/>
  <c r="D119" i="3"/>
  <c r="C119" i="3"/>
  <c r="B119" i="3"/>
  <c r="E118" i="3"/>
  <c r="D118" i="3"/>
  <c r="C118" i="3"/>
  <c r="B118" i="3"/>
  <c r="E117" i="3"/>
  <c r="D117" i="3"/>
  <c r="C117" i="3"/>
  <c r="B117" i="3"/>
  <c r="E116" i="3"/>
  <c r="D116" i="3"/>
  <c r="C116" i="3"/>
  <c r="B116" i="3"/>
  <c r="E115" i="3"/>
  <c r="D115" i="3"/>
  <c r="C115" i="3"/>
  <c r="B115" i="3"/>
  <c r="E114" i="3"/>
  <c r="D114" i="3"/>
  <c r="C114" i="3"/>
  <c r="B114" i="3"/>
  <c r="E113" i="3"/>
  <c r="D113" i="3"/>
  <c r="C113" i="3"/>
  <c r="B113" i="3"/>
  <c r="E112" i="3"/>
  <c r="D112" i="3"/>
  <c r="C112" i="3"/>
  <c r="B112" i="3"/>
  <c r="E111" i="3"/>
  <c r="D111" i="3"/>
  <c r="C111" i="3"/>
  <c r="B111" i="3"/>
  <c r="E110" i="3"/>
  <c r="D110" i="3"/>
  <c r="C110" i="3"/>
  <c r="B110" i="3"/>
  <c r="E109" i="3"/>
  <c r="D109" i="3"/>
  <c r="C109" i="3"/>
  <c r="B109" i="3"/>
  <c r="E108" i="3"/>
  <c r="D108" i="3"/>
  <c r="C108" i="3"/>
  <c r="B108" i="3"/>
  <c r="E107" i="3"/>
  <c r="D107" i="3"/>
  <c r="C107" i="3"/>
  <c r="B107" i="3"/>
  <c r="E106" i="3"/>
  <c r="D106" i="3"/>
  <c r="C106" i="3"/>
  <c r="B106" i="3"/>
  <c r="E105" i="3"/>
  <c r="D105" i="3"/>
  <c r="C105" i="3"/>
  <c r="B105" i="3"/>
  <c r="E104" i="3"/>
  <c r="D104" i="3"/>
  <c r="C104" i="3"/>
  <c r="B104" i="3"/>
  <c r="E103" i="3"/>
  <c r="D103" i="3"/>
  <c r="C103" i="3"/>
  <c r="B103" i="3"/>
  <c r="E102" i="3"/>
  <c r="D102" i="3"/>
  <c r="C102" i="3"/>
  <c r="B102" i="3"/>
  <c r="E101" i="3"/>
  <c r="D101" i="3"/>
  <c r="C101" i="3"/>
  <c r="B101" i="3"/>
  <c r="E100" i="3"/>
  <c r="D100" i="3"/>
  <c r="C100" i="3"/>
  <c r="B100" i="3"/>
  <c r="E99" i="3"/>
  <c r="D99" i="3"/>
  <c r="C99" i="3"/>
  <c r="B99" i="3"/>
  <c r="E98" i="3"/>
  <c r="D98" i="3"/>
  <c r="C98" i="3"/>
  <c r="B98" i="3"/>
  <c r="E97" i="3"/>
  <c r="D97" i="3"/>
  <c r="C97" i="3"/>
  <c r="B97" i="3"/>
  <c r="E96" i="3"/>
  <c r="D96" i="3"/>
  <c r="C96" i="3"/>
  <c r="B96" i="3"/>
  <c r="E95" i="3"/>
  <c r="D95" i="3"/>
  <c r="C95" i="3"/>
  <c r="B95" i="3"/>
  <c r="E94" i="3"/>
  <c r="D94" i="3"/>
  <c r="C94" i="3"/>
  <c r="B94" i="3"/>
  <c r="E93" i="3"/>
  <c r="D93" i="3"/>
  <c r="C93" i="3"/>
  <c r="B93" i="3"/>
  <c r="E92" i="3"/>
  <c r="D92" i="3"/>
  <c r="C92" i="3"/>
  <c r="B92" i="3"/>
  <c r="E91" i="3"/>
  <c r="D91" i="3"/>
  <c r="C91" i="3"/>
  <c r="B91" i="3"/>
  <c r="E90" i="3"/>
  <c r="D90" i="3"/>
  <c r="C90" i="3"/>
  <c r="B90" i="3"/>
  <c r="E89" i="3"/>
  <c r="D89" i="3"/>
  <c r="C89" i="3"/>
  <c r="B89" i="3"/>
  <c r="E88" i="3"/>
  <c r="D88" i="3"/>
  <c r="C88" i="3"/>
  <c r="B88" i="3"/>
  <c r="E87" i="3"/>
  <c r="D87" i="3"/>
  <c r="C87" i="3"/>
  <c r="B87" i="3"/>
  <c r="E86" i="3"/>
  <c r="D86" i="3"/>
  <c r="C86" i="3"/>
  <c r="B86" i="3"/>
  <c r="E85" i="3"/>
  <c r="D85" i="3"/>
  <c r="C85" i="3"/>
  <c r="B85" i="3"/>
  <c r="E84" i="3"/>
  <c r="D84" i="3"/>
  <c r="C84" i="3"/>
  <c r="B84" i="3"/>
  <c r="E83" i="3"/>
  <c r="D83" i="3"/>
  <c r="C83" i="3"/>
  <c r="B83" i="3"/>
  <c r="E82" i="3"/>
  <c r="D82" i="3"/>
  <c r="C82" i="3"/>
  <c r="B82" i="3"/>
  <c r="E81" i="3"/>
  <c r="D81" i="3"/>
  <c r="C81" i="3"/>
  <c r="B81" i="3"/>
  <c r="E80" i="3"/>
  <c r="D80" i="3"/>
  <c r="C80" i="3"/>
  <c r="B80" i="3"/>
  <c r="E79" i="3"/>
  <c r="D79" i="3"/>
  <c r="C79" i="3"/>
  <c r="B79" i="3"/>
  <c r="E78" i="3"/>
  <c r="D78" i="3"/>
  <c r="C78" i="3"/>
  <c r="B78" i="3"/>
  <c r="E77" i="3"/>
  <c r="D77" i="3"/>
  <c r="C77" i="3"/>
  <c r="B77" i="3"/>
  <c r="E76" i="3"/>
  <c r="D76" i="3"/>
  <c r="C76" i="3"/>
  <c r="B76" i="3"/>
  <c r="E75" i="3"/>
  <c r="D75" i="3"/>
  <c r="C75" i="3"/>
  <c r="B75" i="3"/>
  <c r="E74" i="3"/>
  <c r="D74" i="3"/>
  <c r="C74" i="3"/>
  <c r="B74" i="3"/>
  <c r="E73" i="3"/>
  <c r="D73" i="3"/>
  <c r="C73" i="3"/>
  <c r="B73" i="3"/>
  <c r="E72" i="3"/>
  <c r="D72" i="3"/>
  <c r="C72" i="3"/>
  <c r="B72" i="3"/>
  <c r="E71" i="3"/>
  <c r="D71" i="3"/>
  <c r="C71" i="3"/>
  <c r="B71" i="3"/>
  <c r="E70" i="3"/>
  <c r="D70" i="3"/>
  <c r="C70" i="3"/>
  <c r="B70" i="3"/>
  <c r="E69" i="3"/>
  <c r="D69" i="3"/>
  <c r="C69" i="3"/>
  <c r="B69" i="3"/>
  <c r="E68" i="3"/>
  <c r="D68" i="3"/>
  <c r="C68" i="3"/>
  <c r="B68" i="3"/>
  <c r="E67" i="3"/>
  <c r="D67" i="3"/>
  <c r="C67" i="3"/>
  <c r="B67" i="3"/>
  <c r="E66" i="3"/>
  <c r="D66" i="3"/>
  <c r="C66" i="3"/>
  <c r="B66" i="3"/>
  <c r="E65" i="3"/>
  <c r="D65" i="3"/>
  <c r="C65" i="3"/>
  <c r="B65" i="3"/>
  <c r="E64" i="3"/>
  <c r="D64" i="3"/>
  <c r="C64" i="3"/>
  <c r="B64" i="3"/>
  <c r="E63" i="3"/>
  <c r="D63" i="3"/>
  <c r="C63" i="3"/>
  <c r="B63" i="3"/>
  <c r="E62" i="3"/>
  <c r="D62" i="3"/>
  <c r="C62" i="3"/>
  <c r="B62" i="3"/>
  <c r="E61" i="3"/>
  <c r="D61" i="3"/>
  <c r="C61" i="3"/>
  <c r="B61" i="3"/>
  <c r="E60" i="3"/>
  <c r="D60" i="3"/>
  <c r="C60" i="3"/>
  <c r="B60" i="3"/>
  <c r="A17" i="3"/>
  <c r="D14" i="1"/>
  <c r="D17" i="1"/>
  <c r="I17" i="1"/>
  <c r="D12" i="1"/>
  <c r="G12" i="1"/>
  <c r="D1017" i="1"/>
  <c r="A1017" i="1" s="1"/>
  <c r="D1016" i="1"/>
  <c r="A1016" i="1" s="1"/>
  <c r="D1015" i="1"/>
  <c r="A1015" i="1" s="1"/>
  <c r="D1014" i="1"/>
  <c r="A1014" i="1" s="1"/>
  <c r="D1013" i="1"/>
  <c r="A1013" i="1" s="1"/>
  <c r="D1012" i="1"/>
  <c r="A1012" i="1" s="1"/>
  <c r="D1011" i="1"/>
  <c r="A1011" i="1" s="1"/>
  <c r="D1010" i="1"/>
  <c r="A1010" i="1" s="1"/>
  <c r="D1009" i="1"/>
  <c r="A1009" i="1" s="1"/>
  <c r="D1008" i="1"/>
  <c r="A1008" i="1" s="1"/>
  <c r="D1007" i="1"/>
  <c r="A1007" i="1" s="1"/>
  <c r="D1006" i="1"/>
  <c r="A1006" i="1" s="1"/>
  <c r="D1005" i="1"/>
  <c r="A1005" i="1" s="1"/>
  <c r="D1004" i="1"/>
  <c r="A1004" i="1" s="1"/>
  <c r="D1003" i="1"/>
  <c r="A1003" i="1" s="1"/>
  <c r="D1002" i="1"/>
  <c r="A1002" i="1" s="1"/>
  <c r="D1001" i="1"/>
  <c r="A1001" i="1" s="1"/>
  <c r="D1000" i="1"/>
  <c r="A1000" i="1" s="1"/>
  <c r="D999" i="1"/>
  <c r="A999" i="1" s="1"/>
  <c r="D998" i="1"/>
  <c r="A998" i="1" s="1"/>
  <c r="D997" i="1"/>
  <c r="A997" i="1" s="1"/>
  <c r="D996" i="1"/>
  <c r="A996" i="1" s="1"/>
  <c r="D995" i="1"/>
  <c r="A995" i="1" s="1"/>
  <c r="D994" i="1"/>
  <c r="A994" i="1" s="1"/>
  <c r="D993" i="1"/>
  <c r="A993" i="1" s="1"/>
  <c r="D992" i="1"/>
  <c r="A992" i="1" s="1"/>
  <c r="D991" i="1"/>
  <c r="A991" i="1" s="1"/>
  <c r="D990" i="1"/>
  <c r="A990" i="1" s="1"/>
  <c r="D989" i="1"/>
  <c r="A989" i="1" s="1"/>
  <c r="D988" i="1"/>
  <c r="A988" i="1" s="1"/>
  <c r="D987" i="1"/>
  <c r="A987" i="1" s="1"/>
  <c r="D986" i="1"/>
  <c r="A986" i="1" s="1"/>
  <c r="D985" i="1"/>
  <c r="A985" i="1" s="1"/>
  <c r="D984" i="1"/>
  <c r="A984" i="1" s="1"/>
  <c r="D983" i="1"/>
  <c r="A983" i="1" s="1"/>
  <c r="D982" i="1"/>
  <c r="A982" i="1" s="1"/>
  <c r="D981" i="1"/>
  <c r="A981" i="1" s="1"/>
  <c r="D980" i="1"/>
  <c r="A980" i="1" s="1"/>
  <c r="D979" i="1"/>
  <c r="A979" i="1" s="1"/>
  <c r="D978" i="1"/>
  <c r="A978" i="1" s="1"/>
  <c r="D977" i="1"/>
  <c r="A977" i="1" s="1"/>
  <c r="D976" i="1"/>
  <c r="A976" i="1" s="1"/>
  <c r="D975" i="1"/>
  <c r="A975" i="1" s="1"/>
  <c r="D974" i="1"/>
  <c r="A974" i="1" s="1"/>
  <c r="D973" i="1"/>
  <c r="A973" i="1" s="1"/>
  <c r="D972" i="1"/>
  <c r="A972" i="1" s="1"/>
  <c r="D971" i="1"/>
  <c r="A971" i="1" s="1"/>
  <c r="D970" i="1"/>
  <c r="A970" i="1" s="1"/>
  <c r="D969" i="1"/>
  <c r="A969" i="1" s="1"/>
  <c r="D968" i="1"/>
  <c r="A968" i="1" s="1"/>
  <c r="D967" i="1"/>
  <c r="A967" i="1" s="1"/>
  <c r="D966" i="1"/>
  <c r="A966" i="1" s="1"/>
  <c r="D965" i="1"/>
  <c r="A965" i="1" s="1"/>
  <c r="D964" i="1"/>
  <c r="A964" i="1" s="1"/>
  <c r="D963" i="1"/>
  <c r="A963" i="1" s="1"/>
  <c r="D962" i="1"/>
  <c r="A962" i="1" s="1"/>
  <c r="D961" i="1"/>
  <c r="A961" i="1" s="1"/>
  <c r="D960" i="1"/>
  <c r="A960" i="1" s="1"/>
  <c r="D959" i="1"/>
  <c r="A959" i="1" s="1"/>
  <c r="D958" i="1"/>
  <c r="A958" i="1" s="1"/>
  <c r="D957" i="1"/>
  <c r="A957" i="1" s="1"/>
  <c r="D956" i="1"/>
  <c r="A956" i="1" s="1"/>
  <c r="D955" i="1"/>
  <c r="A955" i="1" s="1"/>
  <c r="D954" i="1"/>
  <c r="A954" i="1" s="1"/>
  <c r="D953" i="1"/>
  <c r="A953" i="1" s="1"/>
  <c r="D952" i="1"/>
  <c r="A952" i="1" s="1"/>
  <c r="D951" i="1"/>
  <c r="A951" i="1" s="1"/>
  <c r="D950" i="1"/>
  <c r="A950" i="1" s="1"/>
  <c r="D949" i="1"/>
  <c r="A949" i="1" s="1"/>
  <c r="D948" i="1"/>
  <c r="A948" i="1" s="1"/>
  <c r="D947" i="1"/>
  <c r="A947" i="1" s="1"/>
  <c r="D946" i="1"/>
  <c r="A946" i="1" s="1"/>
  <c r="D945" i="1"/>
  <c r="A945" i="1" s="1"/>
  <c r="D944" i="1"/>
  <c r="A944" i="1" s="1"/>
  <c r="D943" i="1"/>
  <c r="A943" i="1" s="1"/>
  <c r="D942" i="1"/>
  <c r="A942" i="1" s="1"/>
  <c r="D941" i="1"/>
  <c r="A941" i="1" s="1"/>
  <c r="D940" i="1"/>
  <c r="A940" i="1" s="1"/>
  <c r="D939" i="1"/>
  <c r="A939" i="1" s="1"/>
  <c r="D938" i="1"/>
  <c r="A938" i="1" s="1"/>
  <c r="D937" i="1"/>
  <c r="A937" i="1" s="1"/>
  <c r="D936" i="1"/>
  <c r="A936" i="1" s="1"/>
  <c r="D935" i="1"/>
  <c r="A935" i="1" s="1"/>
  <c r="D934" i="1"/>
  <c r="A934" i="1" s="1"/>
  <c r="D933" i="1"/>
  <c r="A933" i="1" s="1"/>
  <c r="D932" i="1"/>
  <c r="A932" i="1" s="1"/>
  <c r="D931" i="1"/>
  <c r="A931" i="1" s="1"/>
  <c r="D930" i="1"/>
  <c r="A930" i="1" s="1"/>
  <c r="D929" i="1"/>
  <c r="A929" i="1" s="1"/>
  <c r="D928" i="1"/>
  <c r="A928" i="1" s="1"/>
  <c r="D927" i="1"/>
  <c r="A927" i="1" s="1"/>
  <c r="D926" i="1"/>
  <c r="A926" i="1" s="1"/>
  <c r="D925" i="1"/>
  <c r="A925" i="1" s="1"/>
  <c r="D924" i="1"/>
  <c r="A924" i="1" s="1"/>
  <c r="D923" i="1"/>
  <c r="A923" i="1" s="1"/>
  <c r="D922" i="1"/>
  <c r="A922" i="1" s="1"/>
  <c r="D921" i="1"/>
  <c r="A921" i="1" s="1"/>
  <c r="D920" i="1"/>
  <c r="A920" i="1" s="1"/>
  <c r="D919" i="1"/>
  <c r="A919" i="1" s="1"/>
  <c r="D918" i="1"/>
  <c r="A918" i="1" s="1"/>
  <c r="D917" i="1"/>
  <c r="A917" i="1" s="1"/>
  <c r="D916" i="1"/>
  <c r="A916" i="1" s="1"/>
  <c r="D915" i="1"/>
  <c r="A915" i="1" s="1"/>
  <c r="D914" i="1"/>
  <c r="A914" i="1" s="1"/>
  <c r="D913" i="1"/>
  <c r="A913" i="1" s="1"/>
  <c r="D912" i="1"/>
  <c r="A912" i="1" s="1"/>
  <c r="D911" i="1"/>
  <c r="A911" i="1" s="1"/>
  <c r="D910" i="1"/>
  <c r="A910" i="1" s="1"/>
  <c r="D909" i="1"/>
  <c r="A909" i="1" s="1"/>
  <c r="D908" i="1"/>
  <c r="A908" i="1" s="1"/>
  <c r="D907" i="1"/>
  <c r="A907" i="1" s="1"/>
  <c r="D906" i="1"/>
  <c r="A906" i="1" s="1"/>
  <c r="D905" i="1"/>
  <c r="A905" i="1" s="1"/>
  <c r="D904" i="1"/>
  <c r="A904" i="1" s="1"/>
  <c r="D903" i="1"/>
  <c r="A903" i="1" s="1"/>
  <c r="D902" i="1"/>
  <c r="A902" i="1" s="1"/>
  <c r="D901" i="1"/>
  <c r="A901" i="1" s="1"/>
  <c r="D900" i="1"/>
  <c r="A900" i="1" s="1"/>
  <c r="D899" i="1"/>
  <c r="A899" i="1" s="1"/>
  <c r="D898" i="1"/>
  <c r="A898" i="1" s="1"/>
  <c r="D897" i="1"/>
  <c r="A897" i="1" s="1"/>
  <c r="D896" i="1"/>
  <c r="A896" i="1" s="1"/>
  <c r="D895" i="1"/>
  <c r="A895" i="1" s="1"/>
  <c r="D894" i="1"/>
  <c r="A894" i="1" s="1"/>
  <c r="D893" i="1"/>
  <c r="A893" i="1" s="1"/>
  <c r="D892" i="1"/>
  <c r="A892" i="1" s="1"/>
  <c r="D891" i="1"/>
  <c r="A891" i="1" s="1"/>
  <c r="D890" i="1"/>
  <c r="A890" i="1" s="1"/>
  <c r="D889" i="1"/>
  <c r="A889" i="1" s="1"/>
  <c r="D888" i="1"/>
  <c r="A888" i="1" s="1"/>
  <c r="D887" i="1"/>
  <c r="A887" i="1" s="1"/>
  <c r="D886" i="1"/>
  <c r="A886" i="1" s="1"/>
  <c r="D885" i="1"/>
  <c r="A885" i="1" s="1"/>
  <c r="D884" i="1"/>
  <c r="A884" i="1" s="1"/>
  <c r="D883" i="1"/>
  <c r="A883" i="1" s="1"/>
  <c r="D882" i="1"/>
  <c r="A882" i="1" s="1"/>
  <c r="D881" i="1"/>
  <c r="A881" i="1" s="1"/>
  <c r="D880" i="1"/>
  <c r="A880" i="1" s="1"/>
  <c r="D879" i="1"/>
  <c r="A879" i="1" s="1"/>
  <c r="D878" i="1"/>
  <c r="A878" i="1" s="1"/>
  <c r="D877" i="1"/>
  <c r="A877" i="1" s="1"/>
  <c r="D876" i="1"/>
  <c r="A876" i="1" s="1"/>
  <c r="D875" i="1"/>
  <c r="A875" i="1" s="1"/>
  <c r="D874" i="1"/>
  <c r="A874" i="1" s="1"/>
  <c r="D873" i="1"/>
  <c r="A873" i="1" s="1"/>
  <c r="D872" i="1"/>
  <c r="A872" i="1" s="1"/>
  <c r="D871" i="1"/>
  <c r="A871" i="1" s="1"/>
  <c r="D870" i="1"/>
  <c r="A870" i="1" s="1"/>
  <c r="D869" i="1"/>
  <c r="A869" i="1" s="1"/>
  <c r="D868" i="1"/>
  <c r="A868" i="1" s="1"/>
  <c r="D867" i="1"/>
  <c r="A867" i="1" s="1"/>
  <c r="D866" i="1"/>
  <c r="A866" i="1" s="1"/>
  <c r="D865" i="1"/>
  <c r="A865" i="1" s="1"/>
  <c r="D864" i="1"/>
  <c r="A864" i="1" s="1"/>
  <c r="D863" i="1"/>
  <c r="A863" i="1" s="1"/>
  <c r="D862" i="1"/>
  <c r="A862" i="1" s="1"/>
  <c r="D861" i="1"/>
  <c r="A861" i="1" s="1"/>
  <c r="D860" i="1"/>
  <c r="A860" i="1" s="1"/>
  <c r="D859" i="1"/>
  <c r="A859" i="1" s="1"/>
  <c r="D858" i="1"/>
  <c r="A858" i="1" s="1"/>
  <c r="D857" i="1"/>
  <c r="A857" i="1" s="1"/>
  <c r="D856" i="1"/>
  <c r="A856" i="1" s="1"/>
  <c r="D855" i="1"/>
  <c r="A855" i="1" s="1"/>
  <c r="D854" i="1"/>
  <c r="A854" i="1" s="1"/>
  <c r="D853" i="1"/>
  <c r="A853" i="1" s="1"/>
  <c r="D852" i="1"/>
  <c r="A852" i="1" s="1"/>
  <c r="D851" i="1"/>
  <c r="A851" i="1" s="1"/>
  <c r="D850" i="1"/>
  <c r="A850" i="1" s="1"/>
  <c r="D849" i="1"/>
  <c r="A849" i="1" s="1"/>
  <c r="D848" i="1"/>
  <c r="A848" i="1" s="1"/>
  <c r="D847" i="1"/>
  <c r="A847" i="1" s="1"/>
  <c r="D846" i="1"/>
  <c r="A846" i="1" s="1"/>
  <c r="D845" i="1"/>
  <c r="A845" i="1" s="1"/>
  <c r="D844" i="1"/>
  <c r="A844" i="1" s="1"/>
  <c r="D843" i="1"/>
  <c r="A843" i="1" s="1"/>
  <c r="D842" i="1"/>
  <c r="A842" i="1" s="1"/>
  <c r="D841" i="1"/>
  <c r="A841" i="1" s="1"/>
  <c r="D840" i="1"/>
  <c r="A840" i="1" s="1"/>
  <c r="D839" i="1"/>
  <c r="A839" i="1" s="1"/>
  <c r="D838" i="1"/>
  <c r="A838" i="1" s="1"/>
  <c r="D837" i="1"/>
  <c r="A837" i="1" s="1"/>
  <c r="D836" i="1"/>
  <c r="A836" i="1" s="1"/>
  <c r="D835" i="1"/>
  <c r="A835" i="1" s="1"/>
  <c r="D834" i="1"/>
  <c r="A834" i="1" s="1"/>
  <c r="D833" i="1"/>
  <c r="A833" i="1" s="1"/>
  <c r="D832" i="1"/>
  <c r="A832" i="1" s="1"/>
  <c r="D831" i="1"/>
  <c r="A831" i="1" s="1"/>
  <c r="D830" i="1"/>
  <c r="A830" i="1" s="1"/>
  <c r="D829" i="1"/>
  <c r="A829" i="1" s="1"/>
  <c r="D828" i="1"/>
  <c r="A828" i="1" s="1"/>
  <c r="D827" i="1"/>
  <c r="A827" i="1" s="1"/>
  <c r="D826" i="1"/>
  <c r="A826" i="1" s="1"/>
  <c r="D825" i="1"/>
  <c r="A825" i="1" s="1"/>
  <c r="D824" i="1"/>
  <c r="A824" i="1" s="1"/>
  <c r="D823" i="1"/>
  <c r="A823" i="1" s="1"/>
  <c r="D822" i="1"/>
  <c r="A822" i="1" s="1"/>
  <c r="D821" i="1"/>
  <c r="A821" i="1" s="1"/>
  <c r="D820" i="1"/>
  <c r="A820" i="1" s="1"/>
  <c r="D819" i="1"/>
  <c r="A819" i="1" s="1"/>
  <c r="D818" i="1"/>
  <c r="A818" i="1" s="1"/>
  <c r="D817" i="1"/>
  <c r="A817" i="1" s="1"/>
  <c r="D816" i="1"/>
  <c r="A816" i="1" s="1"/>
  <c r="D815" i="1"/>
  <c r="A815" i="1" s="1"/>
  <c r="D814" i="1"/>
  <c r="A814" i="1" s="1"/>
  <c r="D813" i="1"/>
  <c r="A813" i="1" s="1"/>
  <c r="D812" i="1"/>
  <c r="A812" i="1" s="1"/>
  <c r="D811" i="1"/>
  <c r="A811" i="1" s="1"/>
  <c r="D810" i="1"/>
  <c r="A810" i="1" s="1"/>
  <c r="D809" i="1"/>
  <c r="A809" i="1" s="1"/>
  <c r="D808" i="1"/>
  <c r="A808" i="1" s="1"/>
  <c r="D807" i="1"/>
  <c r="A807" i="1" s="1"/>
  <c r="D806" i="1"/>
  <c r="A806" i="1" s="1"/>
  <c r="D805" i="1"/>
  <c r="A805" i="1" s="1"/>
  <c r="D804" i="1"/>
  <c r="A804" i="1" s="1"/>
  <c r="D803" i="1"/>
  <c r="A803" i="1" s="1"/>
  <c r="D802" i="1"/>
  <c r="A802" i="1" s="1"/>
  <c r="D801" i="1"/>
  <c r="A801" i="1" s="1"/>
  <c r="D800" i="1"/>
  <c r="A800" i="1" s="1"/>
  <c r="D799" i="1"/>
  <c r="A799" i="1" s="1"/>
  <c r="D798" i="1"/>
  <c r="A798" i="1" s="1"/>
  <c r="D797" i="1"/>
  <c r="A797" i="1" s="1"/>
  <c r="D796" i="1"/>
  <c r="A796" i="1" s="1"/>
  <c r="D795" i="1"/>
  <c r="A795" i="1" s="1"/>
  <c r="D794" i="1"/>
  <c r="A794" i="1" s="1"/>
  <c r="D793" i="1"/>
  <c r="A793" i="1" s="1"/>
  <c r="D792" i="1"/>
  <c r="A792" i="1" s="1"/>
  <c r="D791" i="1"/>
  <c r="A791" i="1" s="1"/>
  <c r="D790" i="1"/>
  <c r="A790" i="1" s="1"/>
  <c r="D789" i="1"/>
  <c r="A789" i="1" s="1"/>
  <c r="D788" i="1"/>
  <c r="A788" i="1" s="1"/>
  <c r="D787" i="1"/>
  <c r="A787" i="1" s="1"/>
  <c r="D786" i="1"/>
  <c r="A786" i="1" s="1"/>
  <c r="D785" i="1"/>
  <c r="A785" i="1" s="1"/>
  <c r="D784" i="1"/>
  <c r="A784" i="1" s="1"/>
  <c r="D783" i="1"/>
  <c r="A783" i="1" s="1"/>
  <c r="D782" i="1"/>
  <c r="A782" i="1" s="1"/>
  <c r="D781" i="1"/>
  <c r="A781" i="1" s="1"/>
  <c r="D780" i="1"/>
  <c r="A780" i="1" s="1"/>
  <c r="D779" i="1"/>
  <c r="A779" i="1" s="1"/>
  <c r="D778" i="1"/>
  <c r="A778" i="1" s="1"/>
  <c r="D777" i="1"/>
  <c r="A777" i="1" s="1"/>
  <c r="D776" i="1"/>
  <c r="A776" i="1" s="1"/>
  <c r="D775" i="1"/>
  <c r="A775" i="1" s="1"/>
  <c r="D774" i="1"/>
  <c r="A774" i="1" s="1"/>
  <c r="D773" i="1"/>
  <c r="A773" i="1" s="1"/>
  <c r="D772" i="1"/>
  <c r="A772" i="1" s="1"/>
  <c r="D771" i="1"/>
  <c r="A771" i="1" s="1"/>
  <c r="D770" i="1"/>
  <c r="A770" i="1" s="1"/>
  <c r="D769" i="1"/>
  <c r="A769" i="1" s="1"/>
  <c r="D768" i="1"/>
  <c r="A768" i="1" s="1"/>
  <c r="D767" i="1"/>
  <c r="A767" i="1" s="1"/>
  <c r="D766" i="1"/>
  <c r="A766" i="1" s="1"/>
  <c r="D765" i="1"/>
  <c r="A765" i="1" s="1"/>
  <c r="D764" i="1"/>
  <c r="A764" i="1" s="1"/>
  <c r="D763" i="1"/>
  <c r="A763" i="1" s="1"/>
  <c r="D762" i="1"/>
  <c r="A762" i="1" s="1"/>
  <c r="D761" i="1"/>
  <c r="A761" i="1" s="1"/>
  <c r="D760" i="1"/>
  <c r="A760" i="1" s="1"/>
  <c r="D759" i="1"/>
  <c r="A759" i="1" s="1"/>
  <c r="D758" i="1"/>
  <c r="A758" i="1" s="1"/>
  <c r="D757" i="1"/>
  <c r="A757" i="1" s="1"/>
  <c r="D756" i="1"/>
  <c r="A756" i="1" s="1"/>
  <c r="D755" i="1"/>
  <c r="A755" i="1" s="1"/>
  <c r="D754" i="1"/>
  <c r="A754" i="1" s="1"/>
  <c r="D753" i="1"/>
  <c r="A753" i="1" s="1"/>
  <c r="D752" i="1"/>
  <c r="A752" i="1" s="1"/>
  <c r="D751" i="1"/>
  <c r="A751" i="1" s="1"/>
  <c r="D750" i="1"/>
  <c r="A750" i="1" s="1"/>
  <c r="D749" i="1"/>
  <c r="A749" i="1" s="1"/>
  <c r="D748" i="1"/>
  <c r="A748" i="1" s="1"/>
  <c r="D747" i="1"/>
  <c r="A747" i="1" s="1"/>
  <c r="D746" i="1"/>
  <c r="A746" i="1" s="1"/>
  <c r="D745" i="1"/>
  <c r="A745" i="1" s="1"/>
  <c r="D744" i="1"/>
  <c r="A744" i="1" s="1"/>
  <c r="D743" i="1"/>
  <c r="A743" i="1" s="1"/>
  <c r="D742" i="1"/>
  <c r="A742" i="1" s="1"/>
  <c r="D741" i="1"/>
  <c r="A741" i="1" s="1"/>
  <c r="D740" i="1"/>
  <c r="A740" i="1" s="1"/>
  <c r="D739" i="1"/>
  <c r="A739" i="1" s="1"/>
  <c r="D738" i="1"/>
  <c r="A738" i="1" s="1"/>
  <c r="D737" i="1"/>
  <c r="A737" i="1" s="1"/>
  <c r="D736" i="1"/>
  <c r="A736" i="1" s="1"/>
  <c r="D735" i="1"/>
  <c r="A735" i="1" s="1"/>
  <c r="D734" i="1"/>
  <c r="A734" i="1" s="1"/>
  <c r="D733" i="1"/>
  <c r="A733" i="1" s="1"/>
  <c r="D732" i="1"/>
  <c r="A732" i="1" s="1"/>
  <c r="D731" i="1"/>
  <c r="A731" i="1" s="1"/>
  <c r="D730" i="1"/>
  <c r="A730" i="1" s="1"/>
  <c r="D729" i="1"/>
  <c r="A729" i="1" s="1"/>
  <c r="D728" i="1"/>
  <c r="A728" i="1" s="1"/>
  <c r="D727" i="1"/>
  <c r="A727" i="1" s="1"/>
  <c r="D726" i="1"/>
  <c r="A726" i="1" s="1"/>
  <c r="D725" i="1"/>
  <c r="A725" i="1" s="1"/>
  <c r="D724" i="1"/>
  <c r="A724" i="1" s="1"/>
  <c r="D723" i="1"/>
  <c r="A723" i="1" s="1"/>
  <c r="D722" i="1"/>
  <c r="A722" i="1" s="1"/>
  <c r="D721" i="1"/>
  <c r="A721" i="1" s="1"/>
  <c r="D720" i="1"/>
  <c r="A720" i="1" s="1"/>
  <c r="D719" i="1"/>
  <c r="A719" i="1" s="1"/>
  <c r="D718" i="1"/>
  <c r="A718" i="1" s="1"/>
  <c r="D717" i="1"/>
  <c r="A717" i="1" s="1"/>
  <c r="D716" i="1"/>
  <c r="A716" i="1" s="1"/>
  <c r="D715" i="1"/>
  <c r="A715" i="1" s="1"/>
  <c r="D714" i="1"/>
  <c r="A714" i="1" s="1"/>
  <c r="D713" i="1"/>
  <c r="A713" i="1" s="1"/>
  <c r="D712" i="1"/>
  <c r="A712" i="1" s="1"/>
  <c r="D711" i="1"/>
  <c r="A711" i="1" s="1"/>
  <c r="D710" i="1"/>
  <c r="A710" i="1" s="1"/>
  <c r="D709" i="1"/>
  <c r="A709" i="1" s="1"/>
  <c r="D708" i="1"/>
  <c r="A708" i="1" s="1"/>
  <c r="D707" i="1"/>
  <c r="A707" i="1" s="1"/>
  <c r="D706" i="1"/>
  <c r="A706" i="1" s="1"/>
  <c r="D705" i="1"/>
  <c r="A705" i="1" s="1"/>
  <c r="D704" i="1"/>
  <c r="A704" i="1" s="1"/>
  <c r="D703" i="1"/>
  <c r="A703" i="1" s="1"/>
  <c r="D702" i="1"/>
  <c r="A702" i="1" s="1"/>
  <c r="D701" i="1"/>
  <c r="A701" i="1" s="1"/>
  <c r="D700" i="1"/>
  <c r="A700" i="1" s="1"/>
  <c r="D699" i="1"/>
  <c r="A699" i="1" s="1"/>
  <c r="D698" i="1"/>
  <c r="A698" i="1" s="1"/>
  <c r="D697" i="1"/>
  <c r="A697" i="1" s="1"/>
  <c r="D696" i="1"/>
  <c r="A696" i="1" s="1"/>
  <c r="D695" i="1"/>
  <c r="A695" i="1" s="1"/>
  <c r="D694" i="1"/>
  <c r="A694" i="1" s="1"/>
  <c r="D693" i="1"/>
  <c r="A693" i="1" s="1"/>
  <c r="D692" i="1"/>
  <c r="A692" i="1" s="1"/>
  <c r="D691" i="1"/>
  <c r="A691" i="1" s="1"/>
  <c r="D690" i="1"/>
  <c r="A690" i="1" s="1"/>
  <c r="D689" i="1"/>
  <c r="A689" i="1" s="1"/>
  <c r="D688" i="1"/>
  <c r="A688" i="1" s="1"/>
  <c r="D687" i="1"/>
  <c r="A687" i="1" s="1"/>
  <c r="D686" i="1"/>
  <c r="A686" i="1" s="1"/>
  <c r="D685" i="1"/>
  <c r="A685" i="1" s="1"/>
  <c r="D684" i="1"/>
  <c r="A684" i="1" s="1"/>
  <c r="D683" i="1"/>
  <c r="A683" i="1" s="1"/>
  <c r="D682" i="1"/>
  <c r="A682" i="1" s="1"/>
  <c r="D681" i="1"/>
  <c r="A681" i="1" s="1"/>
  <c r="D680" i="1"/>
  <c r="A680" i="1" s="1"/>
  <c r="D679" i="1"/>
  <c r="A679" i="1" s="1"/>
  <c r="D678" i="1"/>
  <c r="A678" i="1" s="1"/>
  <c r="D677" i="1"/>
  <c r="A677" i="1" s="1"/>
  <c r="D676" i="1"/>
  <c r="A676" i="1" s="1"/>
  <c r="D675" i="1"/>
  <c r="A675" i="1" s="1"/>
  <c r="D674" i="1"/>
  <c r="A674" i="1" s="1"/>
  <c r="D673" i="1"/>
  <c r="A673" i="1" s="1"/>
  <c r="D672" i="1"/>
  <c r="A672" i="1" s="1"/>
  <c r="D671" i="1"/>
  <c r="A671" i="1" s="1"/>
  <c r="D670" i="1"/>
  <c r="A670" i="1" s="1"/>
  <c r="D669" i="1"/>
  <c r="A669" i="1" s="1"/>
  <c r="D668" i="1"/>
  <c r="A668" i="1" s="1"/>
  <c r="D667" i="1"/>
  <c r="A667" i="1" s="1"/>
  <c r="D666" i="1"/>
  <c r="A666" i="1" s="1"/>
  <c r="D665" i="1"/>
  <c r="A665" i="1" s="1"/>
  <c r="D664" i="1"/>
  <c r="A664" i="1" s="1"/>
  <c r="D663" i="1"/>
  <c r="A663" i="1" s="1"/>
  <c r="D662" i="1"/>
  <c r="A662" i="1" s="1"/>
  <c r="D661" i="1"/>
  <c r="A661" i="1" s="1"/>
  <c r="D660" i="1"/>
  <c r="A660" i="1" s="1"/>
  <c r="D659" i="1"/>
  <c r="A659" i="1" s="1"/>
  <c r="D658" i="1"/>
  <c r="A658" i="1" s="1"/>
  <c r="D657" i="1"/>
  <c r="A657" i="1" s="1"/>
  <c r="D656" i="1"/>
  <c r="A656" i="1" s="1"/>
  <c r="D655" i="1"/>
  <c r="A655" i="1" s="1"/>
  <c r="D654" i="1"/>
  <c r="A654" i="1" s="1"/>
  <c r="D653" i="1"/>
  <c r="A653" i="1" s="1"/>
  <c r="D652" i="1"/>
  <c r="A652" i="1" s="1"/>
  <c r="D651" i="1"/>
  <c r="A651" i="1" s="1"/>
  <c r="D650" i="1"/>
  <c r="A650" i="1" s="1"/>
  <c r="D649" i="1"/>
  <c r="A649" i="1" s="1"/>
  <c r="D648" i="1"/>
  <c r="A648" i="1" s="1"/>
  <c r="D647" i="1"/>
  <c r="A647" i="1" s="1"/>
  <c r="D646" i="1"/>
  <c r="A646" i="1" s="1"/>
  <c r="D645" i="1"/>
  <c r="A645" i="1" s="1"/>
  <c r="D644" i="1"/>
  <c r="A644" i="1" s="1"/>
  <c r="D643" i="1"/>
  <c r="A643" i="1" s="1"/>
  <c r="D642" i="1"/>
  <c r="A642" i="1" s="1"/>
  <c r="D641" i="1"/>
  <c r="A641" i="1" s="1"/>
  <c r="D640" i="1"/>
  <c r="A640" i="1" s="1"/>
  <c r="D639" i="1"/>
  <c r="A639" i="1" s="1"/>
  <c r="D638" i="1"/>
  <c r="A638" i="1" s="1"/>
  <c r="D637" i="1"/>
  <c r="A637" i="1" s="1"/>
  <c r="D636" i="1"/>
  <c r="A636" i="1" s="1"/>
  <c r="D635" i="1"/>
  <c r="A635" i="1" s="1"/>
  <c r="D634" i="1"/>
  <c r="A634" i="1" s="1"/>
  <c r="D633" i="1"/>
  <c r="A633" i="1" s="1"/>
  <c r="D632" i="1"/>
  <c r="A632" i="1" s="1"/>
  <c r="D631" i="1"/>
  <c r="A631" i="1" s="1"/>
  <c r="D630" i="1"/>
  <c r="A630" i="1" s="1"/>
  <c r="D629" i="1"/>
  <c r="A629" i="1" s="1"/>
  <c r="D628" i="1"/>
  <c r="A628" i="1" s="1"/>
  <c r="D627" i="1"/>
  <c r="A627" i="1" s="1"/>
  <c r="D626" i="1"/>
  <c r="A626" i="1" s="1"/>
  <c r="D625" i="1"/>
  <c r="A625" i="1" s="1"/>
  <c r="D624" i="1"/>
  <c r="A624" i="1" s="1"/>
  <c r="D623" i="1"/>
  <c r="A623" i="1" s="1"/>
  <c r="D622" i="1"/>
  <c r="A622" i="1" s="1"/>
  <c r="D621" i="1"/>
  <c r="A621" i="1" s="1"/>
  <c r="D620" i="1"/>
  <c r="A620" i="1" s="1"/>
  <c r="D619" i="1"/>
  <c r="A619" i="1" s="1"/>
  <c r="D618" i="1"/>
  <c r="A618" i="1" s="1"/>
  <c r="D617" i="1"/>
  <c r="A617" i="1" s="1"/>
  <c r="D616" i="1"/>
  <c r="A616" i="1" s="1"/>
  <c r="D615" i="1"/>
  <c r="A615" i="1" s="1"/>
  <c r="D614" i="1"/>
  <c r="A614" i="1" s="1"/>
  <c r="D613" i="1"/>
  <c r="A613" i="1" s="1"/>
  <c r="D612" i="1"/>
  <c r="A612" i="1" s="1"/>
  <c r="D611" i="1"/>
  <c r="A611" i="1" s="1"/>
  <c r="D610" i="1"/>
  <c r="A610" i="1" s="1"/>
  <c r="D609" i="1"/>
  <c r="A609" i="1" s="1"/>
  <c r="D608" i="1"/>
  <c r="A608" i="1" s="1"/>
  <c r="D607" i="1"/>
  <c r="A607" i="1" s="1"/>
  <c r="D606" i="1"/>
  <c r="A606" i="1" s="1"/>
  <c r="D605" i="1"/>
  <c r="A605" i="1" s="1"/>
  <c r="D604" i="1"/>
  <c r="A604" i="1" s="1"/>
  <c r="D603" i="1"/>
  <c r="A603" i="1" s="1"/>
  <c r="D602" i="1"/>
  <c r="A602" i="1" s="1"/>
  <c r="D601" i="1"/>
  <c r="A601" i="1" s="1"/>
  <c r="D600" i="1"/>
  <c r="A600" i="1" s="1"/>
  <c r="D599" i="1"/>
  <c r="A599" i="1" s="1"/>
  <c r="D598" i="1"/>
  <c r="A598" i="1" s="1"/>
  <c r="D597" i="1"/>
  <c r="A597" i="1" s="1"/>
  <c r="D596" i="1"/>
  <c r="A596" i="1" s="1"/>
  <c r="D595" i="1"/>
  <c r="A595" i="1" s="1"/>
  <c r="D594" i="1"/>
  <c r="A594" i="1" s="1"/>
  <c r="D593" i="1"/>
  <c r="A593" i="1" s="1"/>
  <c r="D592" i="1"/>
  <c r="A592" i="1" s="1"/>
  <c r="D591" i="1"/>
  <c r="A591" i="1" s="1"/>
  <c r="D590" i="1"/>
  <c r="A590" i="1" s="1"/>
  <c r="D589" i="1"/>
  <c r="A589" i="1" s="1"/>
  <c r="D588" i="1"/>
  <c r="A588" i="1" s="1"/>
  <c r="D587" i="1"/>
  <c r="A587" i="1" s="1"/>
  <c r="D586" i="1"/>
  <c r="A586" i="1" s="1"/>
  <c r="D585" i="1"/>
  <c r="A585" i="1" s="1"/>
  <c r="D584" i="1"/>
  <c r="A584" i="1" s="1"/>
  <c r="D583" i="1"/>
  <c r="A583" i="1" s="1"/>
  <c r="D582" i="1"/>
  <c r="A582" i="1" s="1"/>
  <c r="D581" i="1"/>
  <c r="A581" i="1" s="1"/>
  <c r="D580" i="1"/>
  <c r="A580" i="1" s="1"/>
  <c r="D579" i="1"/>
  <c r="A579" i="1" s="1"/>
  <c r="D578" i="1"/>
  <c r="A578" i="1" s="1"/>
  <c r="D577" i="1"/>
  <c r="A577" i="1" s="1"/>
  <c r="D576" i="1"/>
  <c r="A576" i="1" s="1"/>
  <c r="D575" i="1"/>
  <c r="A575" i="1" s="1"/>
  <c r="D574" i="1"/>
  <c r="A574" i="1" s="1"/>
  <c r="D573" i="1"/>
  <c r="A573" i="1" s="1"/>
  <c r="D572" i="1"/>
  <c r="A572" i="1" s="1"/>
  <c r="D571" i="1"/>
  <c r="A571" i="1" s="1"/>
  <c r="D570" i="1"/>
  <c r="A570" i="1" s="1"/>
  <c r="D569" i="1"/>
  <c r="A569" i="1" s="1"/>
  <c r="D568" i="1"/>
  <c r="A568" i="1" s="1"/>
  <c r="D567" i="1"/>
  <c r="A567" i="1" s="1"/>
  <c r="D566" i="1"/>
  <c r="A566" i="1" s="1"/>
  <c r="D565" i="1"/>
  <c r="A565" i="1" s="1"/>
  <c r="D564" i="1"/>
  <c r="A564" i="1" s="1"/>
  <c r="D563" i="1"/>
  <c r="A563" i="1" s="1"/>
  <c r="D562" i="1"/>
  <c r="A562" i="1" s="1"/>
  <c r="D561" i="1"/>
  <c r="A561" i="1" s="1"/>
  <c r="D560" i="1"/>
  <c r="A560" i="1" s="1"/>
  <c r="D559" i="1"/>
  <c r="A559" i="1" s="1"/>
  <c r="D558" i="1"/>
  <c r="A558" i="1" s="1"/>
  <c r="D557" i="1"/>
  <c r="A557" i="1" s="1"/>
  <c r="D556" i="1"/>
  <c r="A556" i="1" s="1"/>
  <c r="D555" i="1"/>
  <c r="A555" i="1" s="1"/>
  <c r="D554" i="1"/>
  <c r="A554" i="1" s="1"/>
  <c r="D553" i="1"/>
  <c r="A553" i="1" s="1"/>
  <c r="D552" i="1"/>
  <c r="A552" i="1" s="1"/>
  <c r="D551" i="1"/>
  <c r="A551" i="1" s="1"/>
  <c r="D550" i="1"/>
  <c r="A550" i="1" s="1"/>
  <c r="D549" i="1"/>
  <c r="A549" i="1" s="1"/>
  <c r="D548" i="1"/>
  <c r="A548" i="1" s="1"/>
  <c r="D547" i="1"/>
  <c r="A547" i="1" s="1"/>
  <c r="D546" i="1"/>
  <c r="A546" i="1" s="1"/>
  <c r="D545" i="1"/>
  <c r="A545" i="1" s="1"/>
  <c r="D544" i="1"/>
  <c r="A544" i="1" s="1"/>
  <c r="D543" i="1"/>
  <c r="A543" i="1" s="1"/>
  <c r="D542" i="1"/>
  <c r="A542" i="1" s="1"/>
  <c r="D541" i="1"/>
  <c r="A541" i="1" s="1"/>
  <c r="D540" i="1"/>
  <c r="A540" i="1" s="1"/>
  <c r="D539" i="1"/>
  <c r="A539" i="1" s="1"/>
  <c r="D538" i="1"/>
  <c r="A538" i="1" s="1"/>
  <c r="D537" i="1"/>
  <c r="A537" i="1" s="1"/>
  <c r="D536" i="1"/>
  <c r="A536" i="1" s="1"/>
  <c r="D535" i="1"/>
  <c r="A535" i="1" s="1"/>
  <c r="D534" i="1"/>
  <c r="A534" i="1" s="1"/>
  <c r="D533" i="1"/>
  <c r="A533" i="1" s="1"/>
  <c r="D532" i="1"/>
  <c r="A532" i="1" s="1"/>
  <c r="D531" i="1"/>
  <c r="A531" i="1" s="1"/>
  <c r="D530" i="1"/>
  <c r="A530" i="1" s="1"/>
  <c r="D529" i="1"/>
  <c r="A529" i="1" s="1"/>
  <c r="D528" i="1"/>
  <c r="A528" i="1" s="1"/>
  <c r="D527" i="1"/>
  <c r="A527" i="1" s="1"/>
  <c r="D526" i="1"/>
  <c r="A526" i="1" s="1"/>
  <c r="D525" i="1"/>
  <c r="A525" i="1" s="1"/>
  <c r="D524" i="1"/>
  <c r="A524" i="1" s="1"/>
  <c r="D523" i="1"/>
  <c r="A523" i="1" s="1"/>
  <c r="D522" i="1"/>
  <c r="A522" i="1" s="1"/>
  <c r="D521" i="1"/>
  <c r="A521" i="1" s="1"/>
  <c r="D520" i="1"/>
  <c r="A520" i="1" s="1"/>
  <c r="D519" i="1"/>
  <c r="A519" i="1" s="1"/>
  <c r="C18" i="1" a="1"/>
  <c r="B2" i="5" l="1"/>
  <c r="B3" i="5"/>
  <c r="C2" i="5"/>
  <c r="C3" i="5"/>
  <c r="A17" i="1"/>
  <c r="A18" i="1"/>
  <c r="E50" i="1"/>
  <c r="G56" i="1"/>
  <c r="E62" i="1"/>
  <c r="G68" i="1"/>
  <c r="F75" i="1"/>
  <c r="G81" i="1"/>
  <c r="G88" i="1"/>
  <c r="E94" i="1"/>
  <c r="F100" i="1"/>
  <c r="F107" i="1"/>
  <c r="G113" i="1"/>
  <c r="E119" i="1"/>
  <c r="E126" i="1"/>
  <c r="F132" i="1"/>
  <c r="E138" i="1"/>
  <c r="G145" i="1"/>
  <c r="E151" i="1"/>
  <c r="G156" i="1"/>
  <c r="F162" i="1"/>
  <c r="F165" i="1"/>
  <c r="E168" i="1"/>
  <c r="G171" i="1"/>
  <c r="G174" i="1"/>
  <c r="E178" i="1"/>
  <c r="F181" i="1"/>
  <c r="E184" i="1"/>
  <c r="F187" i="1"/>
  <c r="G190" i="1"/>
  <c r="E194" i="1"/>
  <c r="G196" i="1"/>
  <c r="E200" i="1"/>
  <c r="F203" i="1"/>
  <c r="F206" i="1"/>
  <c r="E210" i="1"/>
  <c r="G212" i="1"/>
  <c r="G215" i="1"/>
  <c r="F219" i="1"/>
  <c r="F222" i="1"/>
  <c r="E225" i="1"/>
  <c r="G228" i="1"/>
  <c r="G231" i="1"/>
  <c r="G234" i="1"/>
  <c r="F238" i="1"/>
  <c r="E241" i="1"/>
  <c r="E244" i="1"/>
  <c r="G247" i="1"/>
  <c r="G250" i="1"/>
  <c r="F253" i="1"/>
  <c r="E257" i="1"/>
  <c r="E260" i="1"/>
  <c r="F263" i="1"/>
  <c r="G266" i="1"/>
  <c r="F269" i="1"/>
  <c r="G272" i="1"/>
  <c r="E276" i="1"/>
  <c r="F279" i="1"/>
  <c r="E282" i="1"/>
  <c r="F285" i="1"/>
  <c r="G288" i="1"/>
  <c r="G291" i="1"/>
  <c r="F295" i="1"/>
  <c r="E298" i="1"/>
  <c r="E301" i="1"/>
  <c r="G304" i="1"/>
  <c r="G307" i="1"/>
  <c r="F310" i="1"/>
  <c r="E314" i="1"/>
  <c r="E317" i="1"/>
  <c r="E320" i="1"/>
  <c r="G323" i="1"/>
  <c r="F326" i="1"/>
  <c r="F329" i="1"/>
  <c r="F332" i="1"/>
  <c r="G334" i="1"/>
  <c r="G336" i="1"/>
  <c r="F339" i="1"/>
  <c r="G341" i="1"/>
  <c r="E344" i="1"/>
  <c r="G346" i="1"/>
  <c r="G348" i="1"/>
  <c r="E351" i="1"/>
  <c r="G353" i="1"/>
  <c r="E356" i="1"/>
  <c r="E358" i="1"/>
  <c r="G360" i="1"/>
  <c r="F51" i="1"/>
  <c r="G57" i="1"/>
  <c r="G64" i="1"/>
  <c r="E71" i="1"/>
  <c r="F76" i="1"/>
  <c r="F83" i="1"/>
  <c r="G89" i="1"/>
  <c r="F95" i="1"/>
  <c r="E103" i="1"/>
  <c r="F108" i="1"/>
  <c r="E114" i="1"/>
  <c r="G121" i="1"/>
  <c r="F127" i="1"/>
  <c r="G132" i="1"/>
  <c r="F140" i="1"/>
  <c r="E146" i="1"/>
  <c r="G152" i="1"/>
  <c r="F159" i="1"/>
  <c r="G162" i="1"/>
  <c r="E166" i="1"/>
  <c r="F169" i="1"/>
  <c r="G172" i="1"/>
  <c r="F175" i="1"/>
  <c r="G178" i="1"/>
  <c r="E182" i="1"/>
  <c r="E185" i="1"/>
  <c r="G188" i="1"/>
  <c r="F191" i="1"/>
  <c r="F194" i="1"/>
  <c r="E198" i="1"/>
  <c r="E201" i="1"/>
  <c r="G203" i="1"/>
  <c r="F207" i="1"/>
  <c r="F210" i="1"/>
  <c r="F213" i="1"/>
  <c r="E217" i="1"/>
  <c r="G219" i="1"/>
  <c r="G222" i="1"/>
  <c r="F226" i="1"/>
  <c r="F229" i="1"/>
  <c r="E232" i="1"/>
  <c r="G235" i="1"/>
  <c r="G238" i="1"/>
  <c r="E242" i="1"/>
  <c r="F245" i="1"/>
  <c r="E248" i="1"/>
  <c r="F251" i="1"/>
  <c r="G254" i="1"/>
  <c r="E258" i="1"/>
  <c r="G260" i="1"/>
  <c r="E264" i="1"/>
  <c r="F267" i="1"/>
  <c r="F270" i="1"/>
  <c r="E274" i="1"/>
  <c r="G276" i="1"/>
  <c r="G279" i="1"/>
  <c r="F283" i="1"/>
  <c r="F286" i="1"/>
  <c r="E289" i="1"/>
  <c r="G292" i="1"/>
  <c r="G295" i="1"/>
  <c r="G298" i="1"/>
  <c r="F302" i="1"/>
  <c r="E305" i="1"/>
  <c r="E308" i="1"/>
  <c r="G311" i="1"/>
  <c r="G314" i="1"/>
  <c r="F317" i="1"/>
  <c r="E321" i="1"/>
  <c r="E324" i="1"/>
  <c r="F327" i="1"/>
  <c r="G330" i="1"/>
  <c r="G332" i="1"/>
  <c r="E335" i="1"/>
  <c r="G337" i="1"/>
  <c r="E340" i="1"/>
  <c r="E342" i="1"/>
  <c r="G344" i="1"/>
  <c r="E347" i="1"/>
  <c r="F349" i="1"/>
  <c r="E352" i="1"/>
  <c r="E354" i="1"/>
  <c r="F356" i="1"/>
  <c r="E359" i="1"/>
  <c r="F361" i="1"/>
  <c r="G52" i="1"/>
  <c r="F60" i="1"/>
  <c r="G65" i="1"/>
  <c r="F71" i="1"/>
  <c r="E79" i="1"/>
  <c r="G84" i="1"/>
  <c r="E90" i="1"/>
  <c r="G97" i="1"/>
  <c r="F103" i="1"/>
  <c r="E110" i="1"/>
  <c r="G116" i="1"/>
  <c r="E122" i="1"/>
  <c r="G128" i="1"/>
  <c r="F135" i="1"/>
  <c r="E142" i="1"/>
  <c r="F147" i="1"/>
  <c r="E154" i="1"/>
  <c r="G160" i="1"/>
  <c r="G163" i="1"/>
  <c r="F167" i="1"/>
  <c r="E170" i="1"/>
  <c r="E173" i="1"/>
  <c r="G176" i="1"/>
  <c r="G179" i="1"/>
  <c r="F182" i="1"/>
  <c r="E186" i="1"/>
  <c r="E189" i="1"/>
  <c r="E192" i="1"/>
  <c r="G195" i="1"/>
  <c r="F198" i="1"/>
  <c r="F201" i="1"/>
  <c r="E205" i="1"/>
  <c r="E208" i="1"/>
  <c r="G210" i="1"/>
  <c r="F214" i="1"/>
  <c r="F217" i="1"/>
  <c r="G220" i="1"/>
  <c r="E224" i="1"/>
  <c r="G226" i="1"/>
  <c r="E230" i="1"/>
  <c r="F233" i="1"/>
  <c r="G236" i="1"/>
  <c r="F239" i="1"/>
  <c r="G242" i="1"/>
  <c r="E246" i="1"/>
  <c r="E249" i="1"/>
  <c r="G252" i="1"/>
  <c r="F255" i="1"/>
  <c r="F258" i="1"/>
  <c r="E262" i="1"/>
  <c r="E265" i="1"/>
  <c r="G267" i="1"/>
  <c r="F271" i="1"/>
  <c r="F274" i="1"/>
  <c r="F277" i="1"/>
  <c r="E281" i="1"/>
  <c r="G283" i="1"/>
  <c r="G286" i="1"/>
  <c r="F290" i="1"/>
  <c r="F293" i="1"/>
  <c r="E296" i="1"/>
  <c r="G299" i="1"/>
  <c r="G302" i="1"/>
  <c r="E306" i="1"/>
  <c r="F309" i="1"/>
  <c r="E312" i="1"/>
  <c r="F315" i="1"/>
  <c r="G318" i="1"/>
  <c r="E322" i="1"/>
  <c r="G324" i="1"/>
  <c r="E328" i="1"/>
  <c r="E331" i="1"/>
  <c r="F333" i="1"/>
  <c r="E336" i="1"/>
  <c r="E338" i="1"/>
  <c r="F340" i="1"/>
  <c r="E343" i="1"/>
  <c r="F345" i="1"/>
  <c r="F347" i="1"/>
  <c r="E350" i="1"/>
  <c r="F352" i="1"/>
  <c r="G354" i="1"/>
  <c r="F357" i="1"/>
  <c r="F359" i="1"/>
  <c r="G361" i="1"/>
  <c r="E55" i="1"/>
  <c r="F79" i="1"/>
  <c r="G104" i="1"/>
  <c r="F131" i="1"/>
  <c r="F156" i="1"/>
  <c r="G170" i="1"/>
  <c r="G183" i="1"/>
  <c r="E196" i="1"/>
  <c r="G208" i="1"/>
  <c r="F221" i="1"/>
  <c r="E234" i="1"/>
  <c r="F246" i="1"/>
  <c r="G259" i="1"/>
  <c r="E272" i="1"/>
  <c r="G284" i="1"/>
  <c r="F297" i="1"/>
  <c r="E310" i="1"/>
  <c r="F322" i="1"/>
  <c r="E334" i="1"/>
  <c r="F343" i="1"/>
  <c r="G352" i="1"/>
  <c r="G362" i="1"/>
  <c r="G364" i="1"/>
  <c r="E367" i="1"/>
  <c r="G369" i="1"/>
  <c r="E372" i="1"/>
  <c r="E374" i="1"/>
  <c r="G376" i="1"/>
  <c r="E379" i="1"/>
  <c r="F381" i="1"/>
  <c r="E384" i="1"/>
  <c r="E386" i="1"/>
  <c r="F388" i="1"/>
  <c r="E391" i="1"/>
  <c r="F393" i="1"/>
  <c r="F395" i="1"/>
  <c r="E398" i="1"/>
  <c r="F400" i="1"/>
  <c r="G402" i="1"/>
  <c r="F405" i="1"/>
  <c r="F407" i="1"/>
  <c r="G409" i="1"/>
  <c r="F412" i="1"/>
  <c r="G414" i="1"/>
  <c r="G416" i="1"/>
  <c r="F419" i="1"/>
  <c r="G421" i="1"/>
  <c r="E424" i="1"/>
  <c r="G426" i="1"/>
  <c r="G428" i="1"/>
  <c r="E431" i="1"/>
  <c r="G433" i="1"/>
  <c r="E436" i="1"/>
  <c r="E438" i="1"/>
  <c r="G440" i="1"/>
  <c r="E443" i="1"/>
  <c r="F445" i="1"/>
  <c r="E448" i="1"/>
  <c r="E450" i="1"/>
  <c r="F452" i="1"/>
  <c r="E455" i="1"/>
  <c r="F457" i="1"/>
  <c r="F459" i="1"/>
  <c r="E462" i="1"/>
  <c r="F464" i="1"/>
  <c r="G466" i="1"/>
  <c r="F469" i="1"/>
  <c r="F471" i="1"/>
  <c r="G473" i="1"/>
  <c r="F476" i="1"/>
  <c r="G478" i="1"/>
  <c r="G480" i="1"/>
  <c r="F483" i="1"/>
  <c r="G485" i="1"/>
  <c r="E488" i="1"/>
  <c r="G490" i="1"/>
  <c r="G492" i="1"/>
  <c r="E495" i="1"/>
  <c r="G497" i="1"/>
  <c r="E500" i="1"/>
  <c r="E502" i="1"/>
  <c r="G504" i="1"/>
  <c r="E507" i="1"/>
  <c r="F509" i="1"/>
  <c r="E512" i="1"/>
  <c r="E514" i="1"/>
  <c r="F516" i="1"/>
  <c r="E519" i="1"/>
  <c r="F521" i="1"/>
  <c r="F523" i="1"/>
  <c r="E526" i="1"/>
  <c r="F528" i="1"/>
  <c r="G530" i="1"/>
  <c r="F533" i="1"/>
  <c r="F535" i="1"/>
  <c r="G537" i="1"/>
  <c r="F540" i="1"/>
  <c r="G542" i="1"/>
  <c r="G544" i="1"/>
  <c r="F547" i="1"/>
  <c r="G549" i="1"/>
  <c r="E552" i="1"/>
  <c r="G554" i="1"/>
  <c r="G556" i="1"/>
  <c r="E559" i="1"/>
  <c r="G561" i="1"/>
  <c r="E564" i="1"/>
  <c r="E566" i="1"/>
  <c r="G568" i="1"/>
  <c r="E571" i="1"/>
  <c r="F573" i="1"/>
  <c r="E576" i="1"/>
  <c r="E578" i="1"/>
  <c r="F580" i="1"/>
  <c r="E583" i="1"/>
  <c r="F585" i="1"/>
  <c r="F587" i="1"/>
  <c r="E590" i="1"/>
  <c r="F592" i="1"/>
  <c r="G594" i="1"/>
  <c r="F597" i="1"/>
  <c r="F599" i="1"/>
  <c r="G601" i="1"/>
  <c r="F604" i="1"/>
  <c r="G606" i="1"/>
  <c r="G608" i="1"/>
  <c r="F611" i="1"/>
  <c r="G613" i="1"/>
  <c r="G615" i="1"/>
  <c r="G617" i="1"/>
  <c r="F619" i="1"/>
  <c r="E621" i="1"/>
  <c r="E623" i="1"/>
  <c r="G624" i="1"/>
  <c r="F626" i="1"/>
  <c r="F628" i="1"/>
  <c r="E630" i="1"/>
  <c r="G631" i="1"/>
  <c r="G633" i="1"/>
  <c r="F635" i="1"/>
  <c r="E637" i="1"/>
  <c r="E639" i="1"/>
  <c r="G640" i="1"/>
  <c r="F642" i="1"/>
  <c r="F644" i="1"/>
  <c r="E646" i="1"/>
  <c r="G647" i="1"/>
  <c r="G649" i="1"/>
  <c r="F651" i="1"/>
  <c r="E653" i="1"/>
  <c r="E655" i="1"/>
  <c r="G656" i="1"/>
  <c r="F658" i="1"/>
  <c r="F660" i="1"/>
  <c r="E662" i="1"/>
  <c r="G663" i="1"/>
  <c r="G665" i="1"/>
  <c r="F667" i="1"/>
  <c r="E669" i="1"/>
  <c r="E671" i="1"/>
  <c r="G672" i="1"/>
  <c r="F674" i="1"/>
  <c r="F676" i="1"/>
  <c r="E678" i="1"/>
  <c r="G679" i="1"/>
  <c r="G681" i="1"/>
  <c r="F683" i="1"/>
  <c r="E685" i="1"/>
  <c r="E687" i="1"/>
  <c r="G688" i="1"/>
  <c r="F67" i="1"/>
  <c r="G92" i="1"/>
  <c r="E118" i="1"/>
  <c r="E143" i="1"/>
  <c r="G164" i="1"/>
  <c r="E177" i="1"/>
  <c r="F189" i="1"/>
  <c r="G202" i="1"/>
  <c r="F215" i="1"/>
  <c r="G227" i="1"/>
  <c r="G240" i="1"/>
  <c r="E253" i="1"/>
  <c r="F265" i="1"/>
  <c r="F278" i="1"/>
  <c r="G290" i="1"/>
  <c r="F303" i="1"/>
  <c r="G316" i="1"/>
  <c r="E329" i="1"/>
  <c r="G338" i="1"/>
  <c r="F348" i="1"/>
  <c r="G357" i="1"/>
  <c r="F363" i="1"/>
  <c r="E366" i="1"/>
  <c r="F368" i="1"/>
  <c r="G370" i="1"/>
  <c r="F373" i="1"/>
  <c r="F375" i="1"/>
  <c r="G377" i="1"/>
  <c r="F380" i="1"/>
  <c r="G382" i="1"/>
  <c r="G384" i="1"/>
  <c r="F387" i="1"/>
  <c r="G389" i="1"/>
  <c r="E392" i="1"/>
  <c r="G394" i="1"/>
  <c r="G396" i="1"/>
  <c r="E399" i="1"/>
  <c r="G401" i="1"/>
  <c r="E404" i="1"/>
  <c r="E406" i="1"/>
  <c r="G408" i="1"/>
  <c r="E411" i="1"/>
  <c r="F413" i="1"/>
  <c r="E416" i="1"/>
  <c r="E418" i="1"/>
  <c r="F420" i="1"/>
  <c r="E423" i="1"/>
  <c r="F425" i="1"/>
  <c r="F427" i="1"/>
  <c r="E430" i="1"/>
  <c r="F432" i="1"/>
  <c r="G434" i="1"/>
  <c r="F437" i="1"/>
  <c r="F439" i="1"/>
  <c r="G441" i="1"/>
  <c r="F444" i="1"/>
  <c r="G446" i="1"/>
  <c r="G448" i="1"/>
  <c r="F451" i="1"/>
  <c r="G453" i="1"/>
  <c r="E456" i="1"/>
  <c r="G458" i="1"/>
  <c r="G460" i="1"/>
  <c r="E463" i="1"/>
  <c r="G465" i="1"/>
  <c r="E468" i="1"/>
  <c r="E470" i="1"/>
  <c r="G472" i="1"/>
  <c r="E475" i="1"/>
  <c r="F477" i="1"/>
  <c r="E480" i="1"/>
  <c r="E482" i="1"/>
  <c r="F484" i="1"/>
  <c r="E487" i="1"/>
  <c r="F489" i="1"/>
  <c r="F491" i="1"/>
  <c r="E494" i="1"/>
  <c r="F496" i="1"/>
  <c r="G498" i="1"/>
  <c r="F501" i="1"/>
  <c r="F503" i="1"/>
  <c r="G505" i="1"/>
  <c r="F508" i="1"/>
  <c r="G510" i="1"/>
  <c r="G512" i="1"/>
  <c r="F515" i="1"/>
  <c r="G517" i="1"/>
  <c r="E520" i="1"/>
  <c r="G522" i="1"/>
  <c r="G524" i="1"/>
  <c r="E527" i="1"/>
  <c r="G529" i="1"/>
  <c r="E532" i="1"/>
  <c r="E534" i="1"/>
  <c r="G536" i="1"/>
  <c r="E539" i="1"/>
  <c r="F541" i="1"/>
  <c r="E544" i="1"/>
  <c r="E546" i="1"/>
  <c r="F548" i="1"/>
  <c r="E551" i="1"/>
  <c r="F553" i="1"/>
  <c r="F555" i="1"/>
  <c r="E558" i="1"/>
  <c r="F560" i="1"/>
  <c r="G562" i="1"/>
  <c r="F565" i="1"/>
  <c r="F567" i="1"/>
  <c r="G569" i="1"/>
  <c r="F572" i="1"/>
  <c r="G574" i="1"/>
  <c r="G576" i="1"/>
  <c r="F579" i="1"/>
  <c r="G581" i="1"/>
  <c r="E584" i="1"/>
  <c r="G586" i="1"/>
  <c r="G588" i="1"/>
  <c r="E591" i="1"/>
  <c r="G593" i="1"/>
  <c r="E596" i="1"/>
  <c r="E598" i="1"/>
  <c r="G600" i="1"/>
  <c r="E603" i="1"/>
  <c r="F605" i="1"/>
  <c r="E608" i="1"/>
  <c r="E610" i="1"/>
  <c r="F612" i="1"/>
  <c r="E615" i="1"/>
  <c r="G616" i="1"/>
  <c r="F618" i="1"/>
  <c r="F620" i="1"/>
  <c r="E622" i="1"/>
  <c r="G623" i="1"/>
  <c r="G625" i="1"/>
  <c r="F627" i="1"/>
  <c r="E629" i="1"/>
  <c r="E631" i="1"/>
  <c r="G632" i="1"/>
  <c r="F634" i="1"/>
  <c r="F636" i="1"/>
  <c r="E638" i="1"/>
  <c r="G639" i="1"/>
  <c r="G641" i="1"/>
  <c r="F643" i="1"/>
  <c r="E645" i="1"/>
  <c r="E647" i="1"/>
  <c r="G648" i="1"/>
  <c r="F650" i="1"/>
  <c r="F652" i="1"/>
  <c r="E654" i="1"/>
  <c r="G655" i="1"/>
  <c r="G657" i="1"/>
  <c r="F659" i="1"/>
  <c r="E661" i="1"/>
  <c r="E663" i="1"/>
  <c r="G664" i="1"/>
  <c r="F666" i="1"/>
  <c r="F668" i="1"/>
  <c r="E670" i="1"/>
  <c r="G671" i="1"/>
  <c r="G673" i="1"/>
  <c r="F675" i="1"/>
  <c r="E677" i="1"/>
  <c r="E679" i="1"/>
  <c r="G680" i="1"/>
  <c r="F682" i="1"/>
  <c r="F684" i="1"/>
  <c r="E686" i="1"/>
  <c r="G687" i="1"/>
  <c r="G689" i="1"/>
  <c r="G60" i="1"/>
  <c r="F111" i="1"/>
  <c r="E161" i="1"/>
  <c r="G186" i="1"/>
  <c r="E212" i="1"/>
  <c r="E237" i="1"/>
  <c r="F262" i="1"/>
  <c r="E288" i="1"/>
  <c r="E313" i="1"/>
  <c r="F336" i="1"/>
  <c r="F355" i="1"/>
  <c r="F365" i="1"/>
  <c r="E370" i="1"/>
  <c r="E375" i="1"/>
  <c r="F379" i="1"/>
  <c r="F384" i="1"/>
  <c r="F389" i="1"/>
  <c r="G393" i="1"/>
  <c r="G398" i="1"/>
  <c r="F403" i="1"/>
  <c r="E408" i="1"/>
  <c r="G412" i="1"/>
  <c r="G417" i="1"/>
  <c r="E422" i="1"/>
  <c r="E427" i="1"/>
  <c r="E432" i="1"/>
  <c r="F436" i="1"/>
  <c r="F441" i="1"/>
  <c r="E446" i="1"/>
  <c r="G450" i="1"/>
  <c r="F455" i="1"/>
  <c r="F460" i="1"/>
  <c r="G464" i="1"/>
  <c r="G469" i="1"/>
  <c r="G474" i="1"/>
  <c r="E479" i="1"/>
  <c r="E484" i="1"/>
  <c r="G488" i="1"/>
  <c r="F493" i="1"/>
  <c r="E498" i="1"/>
  <c r="E503" i="1"/>
  <c r="F507" i="1"/>
  <c r="F512" i="1"/>
  <c r="F517" i="1"/>
  <c r="G521" i="1"/>
  <c r="G526" i="1"/>
  <c r="F531" i="1"/>
  <c r="E536" i="1"/>
  <c r="G540" i="1"/>
  <c r="G545" i="1"/>
  <c r="E550" i="1"/>
  <c r="E555" i="1"/>
  <c r="E560" i="1"/>
  <c r="F564" i="1"/>
  <c r="F569" i="1"/>
  <c r="E574" i="1"/>
  <c r="G578" i="1"/>
  <c r="F583" i="1"/>
  <c r="F588" i="1"/>
  <c r="G592" i="1"/>
  <c r="G597" i="1"/>
  <c r="G602" i="1"/>
  <c r="E607" i="1"/>
  <c r="E612" i="1"/>
  <c r="F616" i="1"/>
  <c r="G619" i="1"/>
  <c r="F623" i="1"/>
  <c r="E627" i="1"/>
  <c r="F630" i="1"/>
  <c r="E634" i="1"/>
  <c r="G637" i="1"/>
  <c r="E641" i="1"/>
  <c r="G644" i="1"/>
  <c r="F648" i="1"/>
  <c r="G651" i="1"/>
  <c r="F655" i="1"/>
  <c r="E659" i="1"/>
  <c r="F662" i="1"/>
  <c r="E666" i="1"/>
  <c r="G669" i="1"/>
  <c r="E673" i="1"/>
  <c r="G676" i="1"/>
  <c r="F680" i="1"/>
  <c r="G683" i="1"/>
  <c r="F687" i="1"/>
  <c r="F690" i="1"/>
  <c r="F692" i="1"/>
  <c r="E694" i="1"/>
  <c r="G695" i="1"/>
  <c r="G697" i="1"/>
  <c r="F699" i="1"/>
  <c r="E701" i="1"/>
  <c r="E703" i="1"/>
  <c r="G704" i="1"/>
  <c r="F706" i="1"/>
  <c r="F708" i="1"/>
  <c r="E710" i="1"/>
  <c r="G711" i="1"/>
  <c r="G713" i="1"/>
  <c r="F715" i="1"/>
  <c r="E717" i="1"/>
  <c r="E719" i="1"/>
  <c r="G720" i="1"/>
  <c r="F722" i="1"/>
  <c r="F724" i="1"/>
  <c r="E726" i="1"/>
  <c r="G727" i="1"/>
  <c r="G729" i="1"/>
  <c r="F731" i="1"/>
  <c r="E733" i="1"/>
  <c r="E735" i="1"/>
  <c r="G736" i="1"/>
  <c r="F738" i="1"/>
  <c r="F740" i="1"/>
  <c r="E742" i="1"/>
  <c r="G743" i="1"/>
  <c r="G745" i="1"/>
  <c r="F747" i="1"/>
  <c r="E749" i="1"/>
  <c r="E751" i="1"/>
  <c r="G752" i="1"/>
  <c r="F754" i="1"/>
  <c r="F756" i="1"/>
  <c r="E758" i="1"/>
  <c r="G759" i="1"/>
  <c r="G761" i="1"/>
  <c r="F763" i="1"/>
  <c r="E765" i="1"/>
  <c r="E767" i="1"/>
  <c r="G768" i="1"/>
  <c r="F770" i="1"/>
  <c r="F772" i="1"/>
  <c r="E774" i="1"/>
  <c r="G775" i="1"/>
  <c r="G777" i="1"/>
  <c r="F779" i="1"/>
  <c r="E781" i="1"/>
  <c r="E783" i="1"/>
  <c r="G784" i="1"/>
  <c r="F786" i="1"/>
  <c r="F788" i="1"/>
  <c r="E790" i="1"/>
  <c r="G791" i="1"/>
  <c r="G793" i="1"/>
  <c r="F795" i="1"/>
  <c r="E797" i="1"/>
  <c r="E799" i="1"/>
  <c r="G800" i="1"/>
  <c r="F802" i="1"/>
  <c r="F804" i="1"/>
  <c r="E806" i="1"/>
  <c r="G807" i="1"/>
  <c r="G809" i="1"/>
  <c r="F811" i="1"/>
  <c r="E813" i="1"/>
  <c r="E815" i="1"/>
  <c r="G816" i="1"/>
  <c r="F818" i="1"/>
  <c r="F820" i="1"/>
  <c r="E822" i="1"/>
  <c r="G823" i="1"/>
  <c r="G825" i="1"/>
  <c r="F827" i="1"/>
  <c r="E829" i="1"/>
  <c r="E831" i="1"/>
  <c r="G832" i="1"/>
  <c r="F834" i="1"/>
  <c r="F836" i="1"/>
  <c r="E838" i="1"/>
  <c r="G839" i="1"/>
  <c r="G841" i="1"/>
  <c r="F843" i="1"/>
  <c r="E845" i="1"/>
  <c r="E847" i="1"/>
  <c r="G848" i="1"/>
  <c r="F850" i="1"/>
  <c r="F852" i="1"/>
  <c r="E854" i="1"/>
  <c r="G855" i="1"/>
  <c r="G857" i="1"/>
  <c r="F859" i="1"/>
  <c r="E861" i="1"/>
  <c r="E863" i="1"/>
  <c r="G864" i="1"/>
  <c r="F866" i="1"/>
  <c r="F868" i="1"/>
  <c r="E870" i="1"/>
  <c r="E74" i="1"/>
  <c r="F124" i="1"/>
  <c r="G167" i="1"/>
  <c r="E193" i="1"/>
  <c r="E218" i="1"/>
  <c r="G243" i="1"/>
  <c r="E269" i="1"/>
  <c r="E294" i="1"/>
  <c r="F319" i="1"/>
  <c r="F341" i="1"/>
  <c r="E360" i="1"/>
  <c r="G366" i="1"/>
  <c r="F371" i="1"/>
  <c r="E376" i="1"/>
  <c r="G380" i="1"/>
  <c r="G385" i="1"/>
  <c r="E390" i="1"/>
  <c r="E395" i="1"/>
  <c r="E400" i="1"/>
  <c r="F404" i="1"/>
  <c r="F409" i="1"/>
  <c r="E414" i="1"/>
  <c r="G418" i="1"/>
  <c r="F423" i="1"/>
  <c r="F428" i="1"/>
  <c r="G432" i="1"/>
  <c r="G437" i="1"/>
  <c r="G442" i="1"/>
  <c r="E447" i="1"/>
  <c r="E452" i="1"/>
  <c r="G456" i="1"/>
  <c r="F461" i="1"/>
  <c r="E466" i="1"/>
  <c r="E471" i="1"/>
  <c r="F475" i="1"/>
  <c r="F480" i="1"/>
  <c r="F485" i="1"/>
  <c r="G489" i="1"/>
  <c r="G494" i="1"/>
  <c r="F499" i="1"/>
  <c r="E504" i="1"/>
  <c r="G508" i="1"/>
  <c r="G513" i="1"/>
  <c r="E518" i="1"/>
  <c r="E523" i="1"/>
  <c r="E528" i="1"/>
  <c r="F532" i="1"/>
  <c r="F537" i="1"/>
  <c r="E542" i="1"/>
  <c r="G546" i="1"/>
  <c r="F551" i="1"/>
  <c r="F556" i="1"/>
  <c r="G560" i="1"/>
  <c r="G565" i="1"/>
  <c r="G570" i="1"/>
  <c r="E575" i="1"/>
  <c r="E580" i="1"/>
  <c r="G584" i="1"/>
  <c r="F589" i="1"/>
  <c r="E594" i="1"/>
  <c r="E599" i="1"/>
  <c r="F603" i="1"/>
  <c r="F608" i="1"/>
  <c r="F613" i="1"/>
  <c r="E617" i="1"/>
  <c r="G620" i="1"/>
  <c r="F624" i="1"/>
  <c r="G627" i="1"/>
  <c r="F631" i="1"/>
  <c r="E635" i="1"/>
  <c r="F638" i="1"/>
  <c r="E642" i="1"/>
  <c r="G645" i="1"/>
  <c r="E649" i="1"/>
  <c r="G652" i="1"/>
  <c r="F656" i="1"/>
  <c r="G659" i="1"/>
  <c r="F663" i="1"/>
  <c r="E667" i="1"/>
  <c r="F670" i="1"/>
  <c r="E674" i="1"/>
  <c r="G677" i="1"/>
  <c r="E681" i="1"/>
  <c r="G684" i="1"/>
  <c r="F688" i="1"/>
  <c r="E691" i="1"/>
  <c r="G692" i="1"/>
  <c r="F694" i="1"/>
  <c r="F696" i="1"/>
  <c r="E698" i="1"/>
  <c r="G699" i="1"/>
  <c r="G701" i="1"/>
  <c r="F703" i="1"/>
  <c r="E705" i="1"/>
  <c r="E707" i="1"/>
  <c r="G708" i="1"/>
  <c r="F710" i="1"/>
  <c r="F712" i="1"/>
  <c r="E714" i="1"/>
  <c r="G715" i="1"/>
  <c r="G717" i="1"/>
  <c r="F719" i="1"/>
  <c r="E721" i="1"/>
  <c r="E723" i="1"/>
  <c r="G724" i="1"/>
  <c r="F726" i="1"/>
  <c r="F728" i="1"/>
  <c r="E730" i="1"/>
  <c r="G731" i="1"/>
  <c r="G733" i="1"/>
  <c r="F735" i="1"/>
  <c r="E737" i="1"/>
  <c r="E739" i="1"/>
  <c r="G740" i="1"/>
  <c r="F742" i="1"/>
  <c r="F744" i="1"/>
  <c r="E746" i="1"/>
  <c r="G747" i="1"/>
  <c r="G749" i="1"/>
  <c r="F751" i="1"/>
  <c r="E753" i="1"/>
  <c r="E755" i="1"/>
  <c r="G756" i="1"/>
  <c r="F758" i="1"/>
  <c r="F760" i="1"/>
  <c r="E762" i="1"/>
  <c r="G763" i="1"/>
  <c r="G765" i="1"/>
  <c r="F767" i="1"/>
  <c r="E769" i="1"/>
  <c r="E771" i="1"/>
  <c r="G772" i="1"/>
  <c r="F774" i="1"/>
  <c r="F776" i="1"/>
  <c r="E778" i="1"/>
  <c r="G779" i="1"/>
  <c r="G781" i="1"/>
  <c r="F783" i="1"/>
  <c r="E785" i="1"/>
  <c r="E787" i="1"/>
  <c r="G788" i="1"/>
  <c r="F790" i="1"/>
  <c r="F792" i="1"/>
  <c r="E794" i="1"/>
  <c r="G795" i="1"/>
  <c r="G797" i="1"/>
  <c r="F799" i="1"/>
  <c r="E801" i="1"/>
  <c r="E803" i="1"/>
  <c r="G804" i="1"/>
  <c r="F806" i="1"/>
  <c r="F808" i="1"/>
  <c r="E810" i="1"/>
  <c r="G811" i="1"/>
  <c r="G813" i="1"/>
  <c r="F815" i="1"/>
  <c r="E817" i="1"/>
  <c r="E819" i="1"/>
  <c r="G820" i="1"/>
  <c r="F822" i="1"/>
  <c r="F824" i="1"/>
  <c r="E826" i="1"/>
  <c r="G827" i="1"/>
  <c r="G829" i="1"/>
  <c r="F831" i="1"/>
  <c r="E833" i="1"/>
  <c r="E835" i="1"/>
  <c r="G836" i="1"/>
  <c r="F838" i="1"/>
  <c r="F840" i="1"/>
  <c r="E86" i="1"/>
  <c r="G136" i="1"/>
  <c r="F174" i="1"/>
  <c r="F199" i="1"/>
  <c r="G224" i="1"/>
  <c r="E250" i="1"/>
  <c r="G274" i="1"/>
  <c r="G300" i="1"/>
  <c r="E326" i="1"/>
  <c r="G345" i="1"/>
  <c r="E363" i="1"/>
  <c r="E368" i="1"/>
  <c r="F372" i="1"/>
  <c r="F377" i="1"/>
  <c r="E382" i="1"/>
  <c r="G386" i="1"/>
  <c r="F391" i="1"/>
  <c r="F396" i="1"/>
  <c r="G400" i="1"/>
  <c r="G405" i="1"/>
  <c r="G410" i="1"/>
  <c r="E415" i="1"/>
  <c r="E420" i="1"/>
  <c r="G424" i="1"/>
  <c r="F429" i="1"/>
  <c r="E434" i="1"/>
  <c r="E439" i="1"/>
  <c r="F443" i="1"/>
  <c r="F448" i="1"/>
  <c r="F453" i="1"/>
  <c r="G457" i="1"/>
  <c r="G462" i="1"/>
  <c r="F467" i="1"/>
  <c r="E472" i="1"/>
  <c r="G476" i="1"/>
  <c r="G481" i="1"/>
  <c r="E486" i="1"/>
  <c r="E491" i="1"/>
  <c r="E496" i="1"/>
  <c r="F500" i="1"/>
  <c r="F505" i="1"/>
  <c r="E510" i="1"/>
  <c r="G514" i="1"/>
  <c r="F519" i="1"/>
  <c r="F524" i="1"/>
  <c r="G528" i="1"/>
  <c r="G533" i="1"/>
  <c r="G538" i="1"/>
  <c r="E543" i="1"/>
  <c r="E548" i="1"/>
  <c r="G552" i="1"/>
  <c r="F557" i="1"/>
  <c r="E562" i="1"/>
  <c r="E567" i="1"/>
  <c r="F571" i="1"/>
  <c r="F576" i="1"/>
  <c r="F581" i="1"/>
  <c r="G585" i="1"/>
  <c r="G590" i="1"/>
  <c r="F595" i="1"/>
  <c r="E600" i="1"/>
  <c r="G604" i="1"/>
  <c r="G609" i="1"/>
  <c r="E614" i="1"/>
  <c r="E618" i="1"/>
  <c r="G621" i="1"/>
  <c r="E625" i="1"/>
  <c r="G628" i="1"/>
  <c r="F632" i="1"/>
  <c r="G635" i="1"/>
  <c r="F639" i="1"/>
  <c r="E643" i="1"/>
  <c r="F646" i="1"/>
  <c r="E650" i="1"/>
  <c r="G653" i="1"/>
  <c r="E657" i="1"/>
  <c r="G660" i="1"/>
  <c r="F664" i="1"/>
  <c r="G667" i="1"/>
  <c r="F671" i="1"/>
  <c r="E675" i="1"/>
  <c r="F678" i="1"/>
  <c r="E682" i="1"/>
  <c r="G685" i="1"/>
  <c r="E689" i="1"/>
  <c r="F691" i="1"/>
  <c r="E693" i="1"/>
  <c r="E695" i="1"/>
  <c r="G696" i="1"/>
  <c r="F698" i="1"/>
  <c r="F700" i="1"/>
  <c r="E702" i="1"/>
  <c r="G703" i="1"/>
  <c r="G705" i="1"/>
  <c r="F707" i="1"/>
  <c r="E709" i="1"/>
  <c r="E711" i="1"/>
  <c r="G712" i="1"/>
  <c r="F714" i="1"/>
  <c r="F716" i="1"/>
  <c r="E718" i="1"/>
  <c r="G719" i="1"/>
  <c r="G721" i="1"/>
  <c r="F723" i="1"/>
  <c r="E725" i="1"/>
  <c r="E727" i="1"/>
  <c r="G728" i="1"/>
  <c r="F730" i="1"/>
  <c r="F732" i="1"/>
  <c r="E734" i="1"/>
  <c r="G735" i="1"/>
  <c r="G737" i="1"/>
  <c r="F739" i="1"/>
  <c r="E741" i="1"/>
  <c r="E743" i="1"/>
  <c r="G744" i="1"/>
  <c r="F746" i="1"/>
  <c r="F748" i="1"/>
  <c r="E750" i="1"/>
  <c r="G751" i="1"/>
  <c r="G753" i="1"/>
  <c r="F755" i="1"/>
  <c r="E757" i="1"/>
  <c r="E759" i="1"/>
  <c r="G760" i="1"/>
  <c r="F762" i="1"/>
  <c r="F764" i="1"/>
  <c r="E766" i="1"/>
  <c r="G767" i="1"/>
  <c r="G769" i="1"/>
  <c r="F771" i="1"/>
  <c r="E773" i="1"/>
  <c r="E775" i="1"/>
  <c r="G776" i="1"/>
  <c r="F778" i="1"/>
  <c r="F780" i="1"/>
  <c r="E782" i="1"/>
  <c r="G783" i="1"/>
  <c r="G785" i="1"/>
  <c r="F787" i="1"/>
  <c r="E789" i="1"/>
  <c r="E791" i="1"/>
  <c r="G792" i="1"/>
  <c r="F794" i="1"/>
  <c r="F796" i="1"/>
  <c r="E798" i="1"/>
  <c r="G799" i="1"/>
  <c r="G801" i="1"/>
  <c r="F803" i="1"/>
  <c r="E805" i="1"/>
  <c r="E807" i="1"/>
  <c r="G808" i="1"/>
  <c r="F810" i="1"/>
  <c r="F812" i="1"/>
  <c r="E814" i="1"/>
  <c r="G815" i="1"/>
  <c r="G817" i="1"/>
  <c r="F819" i="1"/>
  <c r="E821" i="1"/>
  <c r="E823" i="1"/>
  <c r="G824" i="1"/>
  <c r="F826" i="1"/>
  <c r="F828" i="1"/>
  <c r="E830" i="1"/>
  <c r="G831" i="1"/>
  <c r="G833" i="1"/>
  <c r="F835" i="1"/>
  <c r="E837" i="1"/>
  <c r="E839" i="1"/>
  <c r="G840" i="1"/>
  <c r="F842" i="1"/>
  <c r="F844" i="1"/>
  <c r="E846" i="1"/>
  <c r="G847" i="1"/>
  <c r="G849" i="1"/>
  <c r="F851" i="1"/>
  <c r="E853" i="1"/>
  <c r="E855" i="1"/>
  <c r="G856" i="1"/>
  <c r="F858" i="1"/>
  <c r="F860" i="1"/>
  <c r="E862" i="1"/>
  <c r="G863" i="1"/>
  <c r="G865" i="1"/>
  <c r="F867" i="1"/>
  <c r="E869" i="1"/>
  <c r="F46" i="1"/>
  <c r="G44" i="1"/>
  <c r="E43" i="1"/>
  <c r="E41" i="1"/>
  <c r="F39" i="1"/>
  <c r="F37" i="1"/>
  <c r="G1016" i="1"/>
  <c r="E1015" i="1"/>
  <c r="E1013" i="1"/>
  <c r="F1011" i="1"/>
  <c r="G1009" i="1"/>
  <c r="G1007" i="1"/>
  <c r="E1006" i="1"/>
  <c r="F1004" i="1"/>
  <c r="F1002" i="1"/>
  <c r="G1000" i="1"/>
  <c r="E999" i="1"/>
  <c r="E997" i="1"/>
  <c r="F995" i="1"/>
  <c r="G993" i="1"/>
  <c r="G991" i="1"/>
  <c r="E990" i="1"/>
  <c r="F988" i="1"/>
  <c r="F986" i="1"/>
  <c r="G984" i="1"/>
  <c r="E983" i="1"/>
  <c r="E981" i="1"/>
  <c r="F979" i="1"/>
  <c r="G977" i="1"/>
  <c r="G975" i="1"/>
  <c r="E974" i="1"/>
  <c r="F972" i="1"/>
  <c r="F970" i="1"/>
  <c r="G968" i="1"/>
  <c r="E967" i="1"/>
  <c r="E965" i="1"/>
  <c r="F963" i="1"/>
  <c r="G961" i="1"/>
  <c r="G959" i="1"/>
  <c r="E958" i="1"/>
  <c r="F956" i="1"/>
  <c r="F954" i="1"/>
  <c r="G952" i="1"/>
  <c r="E951" i="1"/>
  <c r="E949" i="1"/>
  <c r="F947" i="1"/>
  <c r="G945" i="1"/>
  <c r="G943" i="1"/>
  <c r="E942" i="1"/>
  <c r="F940" i="1"/>
  <c r="F938" i="1"/>
  <c r="G936" i="1"/>
  <c r="E935" i="1"/>
  <c r="E933" i="1"/>
  <c r="F931" i="1"/>
  <c r="G929" i="1"/>
  <c r="G927" i="1"/>
  <c r="E926" i="1"/>
  <c r="F924" i="1"/>
  <c r="F922" i="1"/>
  <c r="G920" i="1"/>
  <c r="E919" i="1"/>
  <c r="E917" i="1"/>
  <c r="F915" i="1"/>
  <c r="G913" i="1"/>
  <c r="G911" i="1"/>
  <c r="E910" i="1"/>
  <c r="F908" i="1"/>
  <c r="F906" i="1"/>
  <c r="G904" i="1"/>
  <c r="E903" i="1"/>
  <c r="E901" i="1"/>
  <c r="F899" i="1"/>
  <c r="G897" i="1"/>
  <c r="G895" i="1"/>
  <c r="E894" i="1"/>
  <c r="F892" i="1"/>
  <c r="F890" i="1"/>
  <c r="G888" i="1"/>
  <c r="E887" i="1"/>
  <c r="E885" i="1"/>
  <c r="F883" i="1"/>
  <c r="G881" i="1"/>
  <c r="G879" i="1"/>
  <c r="E878" i="1"/>
  <c r="F876" i="1"/>
  <c r="F874" i="1"/>
  <c r="G872" i="1"/>
  <c r="E871" i="1"/>
  <c r="G867" i="1"/>
  <c r="F864" i="1"/>
  <c r="G860" i="1"/>
  <c r="E857" i="1"/>
  <c r="G853" i="1"/>
  <c r="E850" i="1"/>
  <c r="F846" i="1"/>
  <c r="E843" i="1"/>
  <c r="G837" i="1"/>
  <c r="F830" i="1"/>
  <c r="F823" i="1"/>
  <c r="F816" i="1"/>
  <c r="E809" i="1"/>
  <c r="E802" i="1"/>
  <c r="E795" i="1"/>
  <c r="G787" i="1"/>
  <c r="G780" i="1"/>
  <c r="G773" i="1"/>
  <c r="F766" i="1"/>
  <c r="F759" i="1"/>
  <c r="F752" i="1"/>
  <c r="E745" i="1"/>
  <c r="E738" i="1"/>
  <c r="E731" i="1"/>
  <c r="G723" i="1"/>
  <c r="G716" i="1"/>
  <c r="G709" i="1"/>
  <c r="F702" i="1"/>
  <c r="F695" i="1"/>
  <c r="F686" i="1"/>
  <c r="F672" i="1"/>
  <c r="E658" i="1"/>
  <c r="G643" i="1"/>
  <c r="G629" i="1"/>
  <c r="F615" i="1"/>
  <c r="F596" i="1"/>
  <c r="G577" i="1"/>
  <c r="G558" i="1"/>
  <c r="F539" i="1"/>
  <c r="G520" i="1"/>
  <c r="G501" i="1"/>
  <c r="G482" i="1"/>
  <c r="E464" i="1"/>
  <c r="G444" i="1"/>
  <c r="G425" i="1"/>
  <c r="E407" i="1"/>
  <c r="E388" i="1"/>
  <c r="G368" i="1"/>
  <c r="G306" i="1"/>
  <c r="F205" i="1"/>
  <c r="G47" i="1"/>
  <c r="E46" i="1"/>
  <c r="F44" i="1"/>
  <c r="F42" i="1"/>
  <c r="G40" i="1"/>
  <c r="E39" i="1"/>
  <c r="E37" i="1"/>
  <c r="F1016" i="1"/>
  <c r="F1014" i="1"/>
  <c r="G1012" i="1"/>
  <c r="E1011" i="1"/>
  <c r="E1009" i="1"/>
  <c r="F1007" i="1"/>
  <c r="G1005" i="1"/>
  <c r="G1003" i="1"/>
  <c r="E1002" i="1"/>
  <c r="F1000" i="1"/>
  <c r="F998" i="1"/>
  <c r="G996" i="1"/>
  <c r="E995" i="1"/>
  <c r="E993" i="1"/>
  <c r="F991" i="1"/>
  <c r="G989" i="1"/>
  <c r="G987" i="1"/>
  <c r="E986" i="1"/>
  <c r="F984" i="1"/>
  <c r="F982" i="1"/>
  <c r="G980" i="1"/>
  <c r="E979" i="1"/>
  <c r="E977" i="1"/>
  <c r="F975" i="1"/>
  <c r="G973" i="1"/>
  <c r="G971" i="1"/>
  <c r="E970" i="1"/>
  <c r="F968" i="1"/>
  <c r="F966" i="1"/>
  <c r="G964" i="1"/>
  <c r="E963" i="1"/>
  <c r="E961" i="1"/>
  <c r="F959" i="1"/>
  <c r="G957" i="1"/>
  <c r="G955" i="1"/>
  <c r="E954" i="1"/>
  <c r="F952" i="1"/>
  <c r="F950" i="1"/>
  <c r="G948" i="1"/>
  <c r="E947" i="1"/>
  <c r="E945" i="1"/>
  <c r="F943" i="1"/>
  <c r="G941" i="1"/>
  <c r="G939" i="1"/>
  <c r="E938" i="1"/>
  <c r="F936" i="1"/>
  <c r="F934" i="1"/>
  <c r="G932" i="1"/>
  <c r="E931" i="1"/>
  <c r="E929" i="1"/>
  <c r="F927" i="1"/>
  <c r="G925" i="1"/>
  <c r="G923" i="1"/>
  <c r="E922" i="1"/>
  <c r="F920" i="1"/>
  <c r="F918" i="1"/>
  <c r="G916" i="1"/>
  <c r="E915" i="1"/>
  <c r="E913" i="1"/>
  <c r="F911" i="1"/>
  <c r="G909" i="1"/>
  <c r="G907" i="1"/>
  <c r="E906" i="1"/>
  <c r="F904" i="1"/>
  <c r="F902" i="1"/>
  <c r="G900" i="1"/>
  <c r="E899" i="1"/>
  <c r="E897" i="1"/>
  <c r="F895" i="1"/>
  <c r="G893" i="1"/>
  <c r="G891" i="1"/>
  <c r="E890" i="1"/>
  <c r="F888" i="1"/>
  <c r="F886" i="1"/>
  <c r="G884" i="1"/>
  <c r="E883" i="1"/>
  <c r="E881" i="1"/>
  <c r="F879" i="1"/>
  <c r="G877" i="1"/>
  <c r="G875" i="1"/>
  <c r="E874" i="1"/>
  <c r="F872" i="1"/>
  <c r="F870" i="1"/>
  <c r="E867" i="1"/>
  <c r="F863" i="1"/>
  <c r="G859" i="1"/>
  <c r="F856" i="1"/>
  <c r="G852" i="1"/>
  <c r="E849" i="1"/>
  <c r="G845" i="1"/>
  <c r="E842" i="1"/>
  <c r="G835" i="1"/>
  <c r="G828" i="1"/>
  <c r="G821" i="1"/>
  <c r="F814" i="1"/>
  <c r="F807" i="1"/>
  <c r="F800" i="1"/>
  <c r="E793" i="1"/>
  <c r="E786" i="1"/>
  <c r="E779" i="1"/>
  <c r="G771" i="1"/>
  <c r="G764" i="1"/>
  <c r="G757" i="1"/>
  <c r="F750" i="1"/>
  <c r="F743" i="1"/>
  <c r="F736" i="1"/>
  <c r="E729" i="1"/>
  <c r="E722" i="1"/>
  <c r="E715" i="1"/>
  <c r="G707" i="1"/>
  <c r="G700" i="1"/>
  <c r="G693" i="1"/>
  <c r="E683" i="1"/>
  <c r="G668" i="1"/>
  <c r="F654" i="1"/>
  <c r="F640" i="1"/>
  <c r="E626" i="1"/>
  <c r="G610" i="1"/>
  <c r="E592" i="1"/>
  <c r="G572" i="1"/>
  <c r="G553" i="1"/>
  <c r="E535" i="1"/>
  <c r="E516" i="1"/>
  <c r="G496" i="1"/>
  <c r="E478" i="1"/>
  <c r="E459" i="1"/>
  <c r="E440" i="1"/>
  <c r="F421" i="1"/>
  <c r="E402" i="1"/>
  <c r="E383" i="1"/>
  <c r="F364" i="1"/>
  <c r="F281" i="1"/>
  <c r="E180" i="1"/>
  <c r="E911" i="1"/>
  <c r="E909" i="1"/>
  <c r="F907" i="1"/>
  <c r="G905" i="1"/>
  <c r="G903" i="1"/>
  <c r="E902" i="1"/>
  <c r="F900" i="1"/>
  <c r="F898" i="1"/>
  <c r="G896" i="1"/>
  <c r="E895" i="1"/>
  <c r="E893" i="1"/>
  <c r="F891" i="1"/>
  <c r="G889" i="1"/>
  <c r="G887" i="1"/>
  <c r="E886" i="1"/>
  <c r="F884" i="1"/>
  <c r="F882" i="1"/>
  <c r="G880" i="1"/>
  <c r="E879" i="1"/>
  <c r="E877" i="1"/>
  <c r="F875" i="1"/>
  <c r="G873" i="1"/>
  <c r="G871" i="1"/>
  <c r="G869" i="1"/>
  <c r="E866" i="1"/>
  <c r="F862" i="1"/>
  <c r="E859" i="1"/>
  <c r="F855" i="1"/>
  <c r="G851" i="1"/>
  <c r="F848" i="1"/>
  <c r="G844" i="1"/>
  <c r="E841" i="1"/>
  <c r="E834" i="1"/>
  <c r="E827" i="1"/>
  <c r="G819" i="1"/>
  <c r="G812" i="1"/>
  <c r="G805" i="1"/>
  <c r="F798" i="1"/>
  <c r="F791" i="1"/>
  <c r="F784" i="1"/>
  <c r="E777" i="1"/>
  <c r="E770" i="1"/>
  <c r="E763" i="1"/>
  <c r="G755" i="1"/>
  <c r="G748" i="1"/>
  <c r="G741" i="1"/>
  <c r="F734" i="1"/>
  <c r="F727" i="1"/>
  <c r="F720" i="1"/>
  <c r="E713" i="1"/>
  <c r="E706" i="1"/>
  <c r="E699" i="1"/>
  <c r="G691" i="1"/>
  <c r="F679" i="1"/>
  <c r="E665" i="1"/>
  <c r="E651" i="1"/>
  <c r="G636" i="1"/>
  <c r="F622" i="1"/>
  <c r="E606" i="1"/>
  <c r="E587" i="1"/>
  <c r="E568" i="1"/>
  <c r="F549" i="1"/>
  <c r="E530" i="1"/>
  <c r="E511" i="1"/>
  <c r="F492" i="1"/>
  <c r="F473" i="1"/>
  <c r="E454" i="1"/>
  <c r="F435" i="1"/>
  <c r="F416" i="1"/>
  <c r="F397" i="1"/>
  <c r="G378" i="1"/>
  <c r="G350" i="1"/>
  <c r="E256" i="1"/>
  <c r="E150" i="1"/>
  <c r="F47" i="1"/>
  <c r="G45" i="1"/>
  <c r="G43" i="1"/>
  <c r="E42" i="1"/>
  <c r="F40" i="1"/>
  <c r="F38" i="1"/>
  <c r="G1017" i="1"/>
  <c r="G1015" i="1"/>
  <c r="E1014" i="1"/>
  <c r="F1012" i="1"/>
  <c r="F1010" i="1"/>
  <c r="G1008" i="1"/>
  <c r="E1007" i="1"/>
  <c r="E1005" i="1"/>
  <c r="F1003" i="1"/>
  <c r="G1001" i="1"/>
  <c r="G999" i="1"/>
  <c r="E998" i="1"/>
  <c r="F996" i="1"/>
  <c r="F994" i="1"/>
  <c r="G992" i="1"/>
  <c r="E991" i="1"/>
  <c r="E989" i="1"/>
  <c r="F987" i="1"/>
  <c r="G985" i="1"/>
  <c r="G983" i="1"/>
  <c r="E982" i="1"/>
  <c r="F980" i="1"/>
  <c r="F978" i="1"/>
  <c r="G976" i="1"/>
  <c r="E975" i="1"/>
  <c r="E973" i="1"/>
  <c r="F971" i="1"/>
  <c r="G969" i="1"/>
  <c r="G967" i="1"/>
  <c r="E966" i="1"/>
  <c r="F964" i="1"/>
  <c r="F962" i="1"/>
  <c r="G960" i="1"/>
  <c r="E959" i="1"/>
  <c r="E957" i="1"/>
  <c r="F955" i="1"/>
  <c r="G953" i="1"/>
  <c r="G951" i="1"/>
  <c r="E950" i="1"/>
  <c r="F948" i="1"/>
  <c r="F946" i="1"/>
  <c r="G944" i="1"/>
  <c r="E943" i="1"/>
  <c r="E941" i="1"/>
  <c r="F939" i="1"/>
  <c r="G937" i="1"/>
  <c r="G935" i="1"/>
  <c r="E934" i="1"/>
  <c r="F932" i="1"/>
  <c r="F930" i="1"/>
  <c r="G928" i="1"/>
  <c r="E927" i="1"/>
  <c r="E925" i="1"/>
  <c r="F923" i="1"/>
  <c r="G921" i="1"/>
  <c r="G919" i="1"/>
  <c r="E918" i="1"/>
  <c r="F916" i="1"/>
  <c r="F914" i="1"/>
  <c r="G912" i="1"/>
  <c r="E47" i="1"/>
  <c r="E45" i="1"/>
  <c r="F43" i="1"/>
  <c r="G41" i="1"/>
  <c r="G39" i="1"/>
  <c r="E38" i="1"/>
  <c r="E1017" i="1"/>
  <c r="F1015" i="1"/>
  <c r="G1013" i="1"/>
  <c r="G1011" i="1"/>
  <c r="E1010" i="1"/>
  <c r="F1008" i="1"/>
  <c r="F1006" i="1"/>
  <c r="G1004" i="1"/>
  <c r="E1003" i="1"/>
  <c r="E1001" i="1"/>
  <c r="F999" i="1"/>
  <c r="G997" i="1"/>
  <c r="G995" i="1"/>
  <c r="E994" i="1"/>
  <c r="F992" i="1"/>
  <c r="F990" i="1"/>
  <c r="G988" i="1"/>
  <c r="E987" i="1"/>
  <c r="E985" i="1"/>
  <c r="F983" i="1"/>
  <c r="G981" i="1"/>
  <c r="G979" i="1"/>
  <c r="E978" i="1"/>
  <c r="F976" i="1"/>
  <c r="F974" i="1"/>
  <c r="G972" i="1"/>
  <c r="E971" i="1"/>
  <c r="E969" i="1"/>
  <c r="F967" i="1"/>
  <c r="G965" i="1"/>
  <c r="G963" i="1"/>
  <c r="E962" i="1"/>
  <c r="F960" i="1"/>
  <c r="F958" i="1"/>
  <c r="G956" i="1"/>
  <c r="E955" i="1"/>
  <c r="E953" i="1"/>
  <c r="F951" i="1"/>
  <c r="G949" i="1"/>
  <c r="G947" i="1"/>
  <c r="E946" i="1"/>
  <c r="F944" i="1"/>
  <c r="F942" i="1"/>
  <c r="G940" i="1"/>
  <c r="E939" i="1"/>
  <c r="E937" i="1"/>
  <c r="F935" i="1"/>
  <c r="G933" i="1"/>
  <c r="G931" i="1"/>
  <c r="E930" i="1"/>
  <c r="F928" i="1"/>
  <c r="F926" i="1"/>
  <c r="G924" i="1"/>
  <c r="E923" i="1"/>
  <c r="E921" i="1"/>
  <c r="F919" i="1"/>
  <c r="G917" i="1"/>
  <c r="G915" i="1"/>
  <c r="E914" i="1"/>
  <c r="F912" i="1"/>
  <c r="F910" i="1"/>
  <c r="G908" i="1"/>
  <c r="E907" i="1"/>
  <c r="E905" i="1"/>
  <c r="F903" i="1"/>
  <c r="G901" i="1"/>
  <c r="G899" i="1"/>
  <c r="E898" i="1"/>
  <c r="F896" i="1"/>
  <c r="F894" i="1"/>
  <c r="G892" i="1"/>
  <c r="E891" i="1"/>
  <c r="E889" i="1"/>
  <c r="F887" i="1"/>
  <c r="G885" i="1"/>
  <c r="G883" i="1"/>
  <c r="E882" i="1"/>
  <c r="F880" i="1"/>
  <c r="F878" i="1"/>
  <c r="G876" i="1"/>
  <c r="E875" i="1"/>
  <c r="E873" i="1"/>
  <c r="F871" i="1"/>
  <c r="G868" i="1"/>
  <c r="E865" i="1"/>
  <c r="G861" i="1"/>
  <c r="E858" i="1"/>
  <c r="F854" i="1"/>
  <c r="E851" i="1"/>
  <c r="F847" i="1"/>
  <c r="G843" i="1"/>
  <c r="F839" i="1"/>
  <c r="F832" i="1"/>
  <c r="E825" i="1"/>
  <c r="E818" i="1"/>
  <c r="E811" i="1"/>
  <c r="G803" i="1"/>
  <c r="G796" i="1"/>
  <c r="G789" i="1"/>
  <c r="F782" i="1"/>
  <c r="F775" i="1"/>
  <c r="F768" i="1"/>
  <c r="E761" i="1"/>
  <c r="E754" i="1"/>
  <c r="E747" i="1"/>
  <c r="G739" i="1"/>
  <c r="G732" i="1"/>
  <c r="G725" i="1"/>
  <c r="F718" i="1"/>
  <c r="F711" i="1"/>
  <c r="F704" i="1"/>
  <c r="E697" i="1"/>
  <c r="E690" i="1"/>
  <c r="G675" i="1"/>
  <c r="G661" i="1"/>
  <c r="F647" i="1"/>
  <c r="E633" i="1"/>
  <c r="E619" i="1"/>
  <c r="F601" i="1"/>
  <c r="E582" i="1"/>
  <c r="F563" i="1"/>
  <c r="F544" i="1"/>
  <c r="F525" i="1"/>
  <c r="G506" i="1"/>
  <c r="F487" i="1"/>
  <c r="F468" i="1"/>
  <c r="G449" i="1"/>
  <c r="G430" i="1"/>
  <c r="F411" i="1"/>
  <c r="G392" i="1"/>
  <c r="G373" i="1"/>
  <c r="F331" i="1"/>
  <c r="F231" i="1"/>
  <c r="F99" i="1"/>
  <c r="E48" i="1"/>
  <c r="E49" i="1"/>
  <c r="F50" i="1"/>
  <c r="G51" i="1"/>
  <c r="E53" i="1"/>
  <c r="F54" i="1"/>
  <c r="G55" i="1"/>
  <c r="E57" i="1"/>
  <c r="F58" i="1"/>
  <c r="G59" i="1"/>
  <c r="E61" i="1"/>
  <c r="F62" i="1"/>
  <c r="G63" i="1"/>
  <c r="E65" i="1"/>
  <c r="F66" i="1"/>
  <c r="G67" i="1"/>
  <c r="E69" i="1"/>
  <c r="F70" i="1"/>
  <c r="G71" i="1"/>
  <c r="E73" i="1"/>
  <c r="F74" i="1"/>
  <c r="G75" i="1"/>
  <c r="E77" i="1"/>
  <c r="F78" i="1"/>
  <c r="G79" i="1"/>
  <c r="E81" i="1"/>
  <c r="F82" i="1"/>
  <c r="G83" i="1"/>
  <c r="E85" i="1"/>
  <c r="F86" i="1"/>
  <c r="G87" i="1"/>
  <c r="E89" i="1"/>
  <c r="F90" i="1"/>
  <c r="G91" i="1"/>
  <c r="E93" i="1"/>
  <c r="F94" i="1"/>
  <c r="G95" i="1"/>
  <c r="E97" i="1"/>
  <c r="F98" i="1"/>
  <c r="G99" i="1"/>
  <c r="E101" i="1"/>
  <c r="F102" i="1"/>
  <c r="G103" i="1"/>
  <c r="E105" i="1"/>
  <c r="F106" i="1"/>
  <c r="G107" i="1"/>
  <c r="E109" i="1"/>
  <c r="F110" i="1"/>
  <c r="G111" i="1"/>
  <c r="E113" i="1"/>
  <c r="F114" i="1"/>
  <c r="G115" i="1"/>
  <c r="E117" i="1"/>
  <c r="F118" i="1"/>
  <c r="G119" i="1"/>
  <c r="E121" i="1"/>
  <c r="F122" i="1"/>
  <c r="G123" i="1"/>
  <c r="E125" i="1"/>
  <c r="F126" i="1"/>
  <c r="G127" i="1"/>
  <c r="E129" i="1"/>
  <c r="F130" i="1"/>
  <c r="G131" i="1"/>
  <c r="E133" i="1"/>
  <c r="F134" i="1"/>
  <c r="G135" i="1"/>
  <c r="E137" i="1"/>
  <c r="F138" i="1"/>
  <c r="G139" i="1"/>
  <c r="E141" i="1"/>
  <c r="F142" i="1"/>
  <c r="G143" i="1"/>
  <c r="E145" i="1"/>
  <c r="F146" i="1"/>
  <c r="G147" i="1"/>
  <c r="E149" i="1"/>
  <c r="F150" i="1"/>
  <c r="G151" i="1"/>
  <c r="E153" i="1"/>
  <c r="F154" i="1"/>
  <c r="G155" i="1"/>
  <c r="E157" i="1"/>
  <c r="F158" i="1"/>
  <c r="G159" i="1"/>
  <c r="F48" i="1"/>
  <c r="F49" i="1"/>
  <c r="G50" i="1"/>
  <c r="E52" i="1"/>
  <c r="F53" i="1"/>
  <c r="G54" i="1"/>
  <c r="E56" i="1"/>
  <c r="F57" i="1"/>
  <c r="G58" i="1"/>
  <c r="E60" i="1"/>
  <c r="F61" i="1"/>
  <c r="G62" i="1"/>
  <c r="E64" i="1"/>
  <c r="F65" i="1"/>
  <c r="G66" i="1"/>
  <c r="E68" i="1"/>
  <c r="F69" i="1"/>
  <c r="G70" i="1"/>
  <c r="E72" i="1"/>
  <c r="F73" i="1"/>
  <c r="G74" i="1"/>
  <c r="E76" i="1"/>
  <c r="F77" i="1"/>
  <c r="G78" i="1"/>
  <c r="E80" i="1"/>
  <c r="F81" i="1"/>
  <c r="G82" i="1"/>
  <c r="E84" i="1"/>
  <c r="F85" i="1"/>
  <c r="G86" i="1"/>
  <c r="E88" i="1"/>
  <c r="F89" i="1"/>
  <c r="G90" i="1"/>
  <c r="E92" i="1"/>
  <c r="F93" i="1"/>
  <c r="G94" i="1"/>
  <c r="E96" i="1"/>
  <c r="F97" i="1"/>
  <c r="G98" i="1"/>
  <c r="E100" i="1"/>
  <c r="F101" i="1"/>
  <c r="G102" i="1"/>
  <c r="E104" i="1"/>
  <c r="F105" i="1"/>
  <c r="G106" i="1"/>
  <c r="E108" i="1"/>
  <c r="F109" i="1"/>
  <c r="G110" i="1"/>
  <c r="E112" i="1"/>
  <c r="F113" i="1"/>
  <c r="G114" i="1"/>
  <c r="E116" i="1"/>
  <c r="F117" i="1"/>
  <c r="G118" i="1"/>
  <c r="E120" i="1"/>
  <c r="F121" i="1"/>
  <c r="G122" i="1"/>
  <c r="E124" i="1"/>
  <c r="F125" i="1"/>
  <c r="G126" i="1"/>
  <c r="E128" i="1"/>
  <c r="F129" i="1"/>
  <c r="G130" i="1"/>
  <c r="E132" i="1"/>
  <c r="F133" i="1"/>
  <c r="G134" i="1"/>
  <c r="E136" i="1"/>
  <c r="F137" i="1"/>
  <c r="G138" i="1"/>
  <c r="E140" i="1"/>
  <c r="F141" i="1"/>
  <c r="G142" i="1"/>
  <c r="E144" i="1"/>
  <c r="F145" i="1"/>
  <c r="G146" i="1"/>
  <c r="E148" i="1"/>
  <c r="F149" i="1"/>
  <c r="G150" i="1"/>
  <c r="E152" i="1"/>
  <c r="F153" i="1"/>
  <c r="G154" i="1"/>
  <c r="E156" i="1"/>
  <c r="F157" i="1"/>
  <c r="G158" i="1"/>
  <c r="E160" i="1"/>
  <c r="G48" i="1"/>
  <c r="E51" i="1"/>
  <c r="G53" i="1"/>
  <c r="F56" i="1"/>
  <c r="E59" i="1"/>
  <c r="G61" i="1"/>
  <c r="F64" i="1"/>
  <c r="E67" i="1"/>
  <c r="G69" i="1"/>
  <c r="F72" i="1"/>
  <c r="E75" i="1"/>
  <c r="G77" i="1"/>
  <c r="F80" i="1"/>
  <c r="E83" i="1"/>
  <c r="G85" i="1"/>
  <c r="F88" i="1"/>
  <c r="E91" i="1"/>
  <c r="G93" i="1"/>
  <c r="F96" i="1"/>
  <c r="E99" i="1"/>
  <c r="G101" i="1"/>
  <c r="F104" i="1"/>
  <c r="E107" i="1"/>
  <c r="G109" i="1"/>
  <c r="F112" i="1"/>
  <c r="E115" i="1"/>
  <c r="G117" i="1"/>
  <c r="F120" i="1"/>
  <c r="E123" i="1"/>
  <c r="G125" i="1"/>
  <c r="F128" i="1"/>
  <c r="E131" i="1"/>
  <c r="G133" i="1"/>
  <c r="F136" i="1"/>
  <c r="E139" i="1"/>
  <c r="G141" i="1"/>
  <c r="F144" i="1"/>
  <c r="E147" i="1"/>
  <c r="G149" i="1"/>
  <c r="F152" i="1"/>
  <c r="E155" i="1"/>
  <c r="G157" i="1"/>
  <c r="F160" i="1"/>
  <c r="G161" i="1"/>
  <c r="E163" i="1"/>
  <c r="F164" i="1"/>
  <c r="G165" i="1"/>
  <c r="E167" i="1"/>
  <c r="F168" i="1"/>
  <c r="G169" i="1"/>
  <c r="E171" i="1"/>
  <c r="F172" i="1"/>
  <c r="G173" i="1"/>
  <c r="E175" i="1"/>
  <c r="F176" i="1"/>
  <c r="G177" i="1"/>
  <c r="E179" i="1"/>
  <c r="F180" i="1"/>
  <c r="G181" i="1"/>
  <c r="E183" i="1"/>
  <c r="F184" i="1"/>
  <c r="G185" i="1"/>
  <c r="E187" i="1"/>
  <c r="F188" i="1"/>
  <c r="G189" i="1"/>
  <c r="E191" i="1"/>
  <c r="F192" i="1"/>
  <c r="G193" i="1"/>
  <c r="E195" i="1"/>
  <c r="F196" i="1"/>
  <c r="G197" i="1"/>
  <c r="E199" i="1"/>
  <c r="F200" i="1"/>
  <c r="G201" i="1"/>
  <c r="E203" i="1"/>
  <c r="F204" i="1"/>
  <c r="G205" i="1"/>
  <c r="E207" i="1"/>
  <c r="F208" i="1"/>
  <c r="G209" i="1"/>
  <c r="E211" i="1"/>
  <c r="F212" i="1"/>
  <c r="G213" i="1"/>
  <c r="E215" i="1"/>
  <c r="F216" i="1"/>
  <c r="G217" i="1"/>
  <c r="E219" i="1"/>
  <c r="F220" i="1"/>
  <c r="G221" i="1"/>
  <c r="E223" i="1"/>
  <c r="F224" i="1"/>
  <c r="G225" i="1"/>
  <c r="E227" i="1"/>
  <c r="F228" i="1"/>
  <c r="G229" i="1"/>
  <c r="E231" i="1"/>
  <c r="F232" i="1"/>
  <c r="G233" i="1"/>
  <c r="E235" i="1"/>
  <c r="F236" i="1"/>
  <c r="G237" i="1"/>
  <c r="E239" i="1"/>
  <c r="F240" i="1"/>
  <c r="G241" i="1"/>
  <c r="E243" i="1"/>
  <c r="F244" i="1"/>
  <c r="G245" i="1"/>
  <c r="E247" i="1"/>
  <c r="F248" i="1"/>
  <c r="G249" i="1"/>
  <c r="E251" i="1"/>
  <c r="F252" i="1"/>
  <c r="G253" i="1"/>
  <c r="E255" i="1"/>
  <c r="F256" i="1"/>
  <c r="G257" i="1"/>
  <c r="E259" i="1"/>
  <c r="F260" i="1"/>
  <c r="G261" i="1"/>
  <c r="E263" i="1"/>
  <c r="F264" i="1"/>
  <c r="G265" i="1"/>
  <c r="E267" i="1"/>
  <c r="F268" i="1"/>
  <c r="G269" i="1"/>
  <c r="E271" i="1"/>
  <c r="F272" i="1"/>
  <c r="G273" i="1"/>
  <c r="E275" i="1"/>
  <c r="F276" i="1"/>
  <c r="G277" i="1"/>
  <c r="E279" i="1"/>
  <c r="F280" i="1"/>
  <c r="G281" i="1"/>
  <c r="E283" i="1"/>
  <c r="F284" i="1"/>
  <c r="G285" i="1"/>
  <c r="E287" i="1"/>
  <c r="F288" i="1"/>
  <c r="G289" i="1"/>
  <c r="E291" i="1"/>
  <c r="F292" i="1"/>
  <c r="G293" i="1"/>
  <c r="E295" i="1"/>
  <c r="F296" i="1"/>
  <c r="G297" i="1"/>
  <c r="E299" i="1"/>
  <c r="F300" i="1"/>
  <c r="G301" i="1"/>
  <c r="E303" i="1"/>
  <c r="F304" i="1"/>
  <c r="G305" i="1"/>
  <c r="E307" i="1"/>
  <c r="F308" i="1"/>
  <c r="G309" i="1"/>
  <c r="E311" i="1"/>
  <c r="F312" i="1"/>
  <c r="G313" i="1"/>
  <c r="E315" i="1"/>
  <c r="F316" i="1"/>
  <c r="G317" i="1"/>
  <c r="E319" i="1"/>
  <c r="F320" i="1"/>
  <c r="G321" i="1"/>
  <c r="E323" i="1"/>
  <c r="F324" i="1"/>
  <c r="G325" i="1"/>
  <c r="E327" i="1"/>
  <c r="F328" i="1"/>
  <c r="G329" i="1"/>
  <c r="F52" i="1"/>
  <c r="F55" i="1"/>
  <c r="F59" i="1"/>
  <c r="E63" i="1"/>
  <c r="E66" i="1"/>
  <c r="E70" i="1"/>
  <c r="G73" i="1"/>
  <c r="G76" i="1"/>
  <c r="G80" i="1"/>
  <c r="F84" i="1"/>
  <c r="F87" i="1"/>
  <c r="F91" i="1"/>
  <c r="E95" i="1"/>
  <c r="E98" i="1"/>
  <c r="E102" i="1"/>
  <c r="G105" i="1"/>
  <c r="G108" i="1"/>
  <c r="G112" i="1"/>
  <c r="F116" i="1"/>
  <c r="F119" i="1"/>
  <c r="F123" i="1"/>
  <c r="E127" i="1"/>
  <c r="E130" i="1"/>
  <c r="E134" i="1"/>
  <c r="G137" i="1"/>
  <c r="G140" i="1"/>
  <c r="G144" i="1"/>
  <c r="F148" i="1"/>
  <c r="F151" i="1"/>
  <c r="F155" i="1"/>
  <c r="E159" i="1"/>
  <c r="F161" i="1"/>
  <c r="F163" i="1"/>
  <c r="E165" i="1"/>
  <c r="G166" i="1"/>
  <c r="G168" i="1"/>
  <c r="F170" i="1"/>
  <c r="E172" i="1"/>
  <c r="E174" i="1"/>
  <c r="G175" i="1"/>
  <c r="F177" i="1"/>
  <c r="F179" i="1"/>
  <c r="E181" i="1"/>
  <c r="G182" i="1"/>
  <c r="G184" i="1"/>
  <c r="F186" i="1"/>
  <c r="E188" i="1"/>
  <c r="E190" i="1"/>
  <c r="G191" i="1"/>
  <c r="F193" i="1"/>
  <c r="F195" i="1"/>
  <c r="E197" i="1"/>
  <c r="G198" i="1"/>
  <c r="G200" i="1"/>
  <c r="F202" i="1"/>
  <c r="E204" i="1"/>
  <c r="E206" i="1"/>
  <c r="G207" i="1"/>
  <c r="F209" i="1"/>
  <c r="F211" i="1"/>
  <c r="E213" i="1"/>
  <c r="G214" i="1"/>
  <c r="G216" i="1"/>
  <c r="F218" i="1"/>
  <c r="E220" i="1"/>
  <c r="E222" i="1"/>
  <c r="G223" i="1"/>
  <c r="F225" i="1"/>
  <c r="F227" i="1"/>
  <c r="E229" i="1"/>
  <c r="G230" i="1"/>
  <c r="G232" i="1"/>
  <c r="F234" i="1"/>
  <c r="E236" i="1"/>
  <c r="E238" i="1"/>
  <c r="G239" i="1"/>
  <c r="F241" i="1"/>
  <c r="F243" i="1"/>
  <c r="E245" i="1"/>
  <c r="G246" i="1"/>
  <c r="G248" i="1"/>
  <c r="F250" i="1"/>
  <c r="E252" i="1"/>
  <c r="E254" i="1"/>
  <c r="G255" i="1"/>
  <c r="F257" i="1"/>
  <c r="F259" i="1"/>
  <c r="E261" i="1"/>
  <c r="G262" i="1"/>
  <c r="G264" i="1"/>
  <c r="F266" i="1"/>
  <c r="E268" i="1"/>
  <c r="E270" i="1"/>
  <c r="G271" i="1"/>
  <c r="F273" i="1"/>
  <c r="F275" i="1"/>
  <c r="E277" i="1"/>
  <c r="G278" i="1"/>
  <c r="G280" i="1"/>
  <c r="F282" i="1"/>
  <c r="E284" i="1"/>
  <c r="E286" i="1"/>
  <c r="G287" i="1"/>
  <c r="F289" i="1"/>
  <c r="F291" i="1"/>
  <c r="E293" i="1"/>
  <c r="G294" i="1"/>
  <c r="G296" i="1"/>
  <c r="F298" i="1"/>
  <c r="E300" i="1"/>
  <c r="E302" i="1"/>
  <c r="G303" i="1"/>
  <c r="F305" i="1"/>
  <c r="F307" i="1"/>
  <c r="E309" i="1"/>
  <c r="G310" i="1"/>
  <c r="G312" i="1"/>
  <c r="F314" i="1"/>
  <c r="E316" i="1"/>
  <c r="E318" i="1"/>
  <c r="G319" i="1"/>
  <c r="F321" i="1"/>
  <c r="F323" i="1"/>
  <c r="E325" i="1"/>
  <c r="G326" i="1"/>
  <c r="G328" i="1"/>
  <c r="F330" i="1"/>
  <c r="G331" i="1"/>
  <c r="E333" i="1"/>
  <c r="F334" i="1"/>
  <c r="G335" i="1"/>
  <c r="E337" i="1"/>
  <c r="F338" i="1"/>
  <c r="G339" i="1"/>
  <c r="E341" i="1"/>
  <c r="F342" i="1"/>
  <c r="G343" i="1"/>
  <c r="E345" i="1"/>
  <c r="F346" i="1"/>
  <c r="G347" i="1"/>
  <c r="E349" i="1"/>
  <c r="F350" i="1"/>
  <c r="G351" i="1"/>
  <c r="E353" i="1"/>
  <c r="F354" i="1"/>
  <c r="G355" i="1"/>
  <c r="E357" i="1"/>
  <c r="F358" i="1"/>
  <c r="G359" i="1"/>
  <c r="E361" i="1"/>
  <c r="F362" i="1"/>
  <c r="G363" i="1"/>
  <c r="E365" i="1"/>
  <c r="F366" i="1"/>
  <c r="G367" i="1"/>
  <c r="E369" i="1"/>
  <c r="F370" i="1"/>
  <c r="G371" i="1"/>
  <c r="E373" i="1"/>
  <c r="F374" i="1"/>
  <c r="G375" i="1"/>
  <c r="E377" i="1"/>
  <c r="F378" i="1"/>
  <c r="G379" i="1"/>
  <c r="E381" i="1"/>
  <c r="F382" i="1"/>
  <c r="G383" i="1"/>
  <c r="E385" i="1"/>
  <c r="F386" i="1"/>
  <c r="G387" i="1"/>
  <c r="E389" i="1"/>
  <c r="F390" i="1"/>
  <c r="G391" i="1"/>
  <c r="E393" i="1"/>
  <c r="F394" i="1"/>
  <c r="G395" i="1"/>
  <c r="E397" i="1"/>
  <c r="F398" i="1"/>
  <c r="G399" i="1"/>
  <c r="E401" i="1"/>
  <c r="F402" i="1"/>
  <c r="G403" i="1"/>
  <c r="E405" i="1"/>
  <c r="F406" i="1"/>
  <c r="G407" i="1"/>
  <c r="E409" i="1"/>
  <c r="F410" i="1"/>
  <c r="G411" i="1"/>
  <c r="E413" i="1"/>
  <c r="F414" i="1"/>
  <c r="G415" i="1"/>
  <c r="E417" i="1"/>
  <c r="F418" i="1"/>
  <c r="G419" i="1"/>
  <c r="E421" i="1"/>
  <c r="F422" i="1"/>
  <c r="G423" i="1"/>
  <c r="E425" i="1"/>
  <c r="F426" i="1"/>
  <c r="G427" i="1"/>
  <c r="E429" i="1"/>
  <c r="F430" i="1"/>
  <c r="G431" i="1"/>
  <c r="E433" i="1"/>
  <c r="F434" i="1"/>
  <c r="G435" i="1"/>
  <c r="E437" i="1"/>
  <c r="F438" i="1"/>
  <c r="G439" i="1"/>
  <c r="E441" i="1"/>
  <c r="F442" i="1"/>
  <c r="G443" i="1"/>
  <c r="E445" i="1"/>
  <c r="F446" i="1"/>
  <c r="G447" i="1"/>
  <c r="E449" i="1"/>
  <c r="F450" i="1"/>
  <c r="G451" i="1"/>
  <c r="E453" i="1"/>
  <c r="F454" i="1"/>
  <c r="G455" i="1"/>
  <c r="E457" i="1"/>
  <c r="F458" i="1"/>
  <c r="G459" i="1"/>
  <c r="E461" i="1"/>
  <c r="F462" i="1"/>
  <c r="G463" i="1"/>
  <c r="E465" i="1"/>
  <c r="F466" i="1"/>
  <c r="G467" i="1"/>
  <c r="E469" i="1"/>
  <c r="F470" i="1"/>
  <c r="G471" i="1"/>
  <c r="E473" i="1"/>
  <c r="F474" i="1"/>
  <c r="G475" i="1"/>
  <c r="E477" i="1"/>
  <c r="F478" i="1"/>
  <c r="G479" i="1"/>
  <c r="E481" i="1"/>
  <c r="F482" i="1"/>
  <c r="G483" i="1"/>
  <c r="E485" i="1"/>
  <c r="F486" i="1"/>
  <c r="G487" i="1"/>
  <c r="E489" i="1"/>
  <c r="F490" i="1"/>
  <c r="G491" i="1"/>
  <c r="E493" i="1"/>
  <c r="F494" i="1"/>
  <c r="G495" i="1"/>
  <c r="E497" i="1"/>
  <c r="F498" i="1"/>
  <c r="G499" i="1"/>
  <c r="E501" i="1"/>
  <c r="F502" i="1"/>
  <c r="G503" i="1"/>
  <c r="E505" i="1"/>
  <c r="F506" i="1"/>
  <c r="G507" i="1"/>
  <c r="E509" i="1"/>
  <c r="F510" i="1"/>
  <c r="G511" i="1"/>
  <c r="E513" i="1"/>
  <c r="F514" i="1"/>
  <c r="G515" i="1"/>
  <c r="E517" i="1"/>
  <c r="F518" i="1"/>
  <c r="G519" i="1"/>
  <c r="E521" i="1"/>
  <c r="F522" i="1"/>
  <c r="G523" i="1"/>
  <c r="E525" i="1"/>
  <c r="F526" i="1"/>
  <c r="G527" i="1"/>
  <c r="E529" i="1"/>
  <c r="F530" i="1"/>
  <c r="G531" i="1"/>
  <c r="E533" i="1"/>
  <c r="F534" i="1"/>
  <c r="G535" i="1"/>
  <c r="E537" i="1"/>
  <c r="F538" i="1"/>
  <c r="G539" i="1"/>
  <c r="E541" i="1"/>
  <c r="F542" i="1"/>
  <c r="G543" i="1"/>
  <c r="E545" i="1"/>
  <c r="F546" i="1"/>
  <c r="G547" i="1"/>
  <c r="E549" i="1"/>
  <c r="F550" i="1"/>
  <c r="G551" i="1"/>
  <c r="E553" i="1"/>
  <c r="F554" i="1"/>
  <c r="G555" i="1"/>
  <c r="E557" i="1"/>
  <c r="F558" i="1"/>
  <c r="G559" i="1"/>
  <c r="E561" i="1"/>
  <c r="F562" i="1"/>
  <c r="G563" i="1"/>
  <c r="E565" i="1"/>
  <c r="F566" i="1"/>
  <c r="G567" i="1"/>
  <c r="E569" i="1"/>
  <c r="F570" i="1"/>
  <c r="G571" i="1"/>
  <c r="E573" i="1"/>
  <c r="F574" i="1"/>
  <c r="G575" i="1"/>
  <c r="E577" i="1"/>
  <c r="F578" i="1"/>
  <c r="G579" i="1"/>
  <c r="E581" i="1"/>
  <c r="F582" i="1"/>
  <c r="G583" i="1"/>
  <c r="E585" i="1"/>
  <c r="F586" i="1"/>
  <c r="G587" i="1"/>
  <c r="E589" i="1"/>
  <c r="F590" i="1"/>
  <c r="G591" i="1"/>
  <c r="E593" i="1"/>
  <c r="F594" i="1"/>
  <c r="G595" i="1"/>
  <c r="E597" i="1"/>
  <c r="F598" i="1"/>
  <c r="G599" i="1"/>
  <c r="E601" i="1"/>
  <c r="F602" i="1"/>
  <c r="G603" i="1"/>
  <c r="E605" i="1"/>
  <c r="F606" i="1"/>
  <c r="G607" i="1"/>
  <c r="E609" i="1"/>
  <c r="F610" i="1"/>
  <c r="G611" i="1"/>
  <c r="E613" i="1"/>
  <c r="F614" i="1"/>
  <c r="G46" i="1"/>
  <c r="F45" i="1"/>
  <c r="E44" i="1"/>
  <c r="G42" i="1"/>
  <c r="F41" i="1"/>
  <c r="E40" i="1"/>
  <c r="G38" i="1"/>
  <c r="G37" i="1"/>
  <c r="F1017" i="1"/>
  <c r="E1016" i="1"/>
  <c r="G1014" i="1"/>
  <c r="F1013" i="1"/>
  <c r="E1012" i="1"/>
  <c r="G1010" i="1"/>
  <c r="F1009" i="1"/>
  <c r="E1008" i="1"/>
  <c r="G1006" i="1"/>
  <c r="F1005" i="1"/>
  <c r="E1004" i="1"/>
  <c r="G1002" i="1"/>
  <c r="F1001" i="1"/>
  <c r="E1000" i="1"/>
  <c r="G998" i="1"/>
  <c r="F997" i="1"/>
  <c r="E996" i="1"/>
  <c r="G994" i="1"/>
  <c r="F993" i="1"/>
  <c r="E992" i="1"/>
  <c r="G990" i="1"/>
  <c r="F989" i="1"/>
  <c r="E988" i="1"/>
  <c r="G986" i="1"/>
  <c r="F985" i="1"/>
  <c r="E984" i="1"/>
  <c r="G982" i="1"/>
  <c r="F981" i="1"/>
  <c r="E980" i="1"/>
  <c r="G978" i="1"/>
  <c r="F977" i="1"/>
  <c r="E976" i="1"/>
  <c r="G974" i="1"/>
  <c r="F973" i="1"/>
  <c r="E972" i="1"/>
  <c r="G970" i="1"/>
  <c r="F969" i="1"/>
  <c r="E968" i="1"/>
  <c r="G966" i="1"/>
  <c r="F965" i="1"/>
  <c r="E964" i="1"/>
  <c r="G962" i="1"/>
  <c r="F961" i="1"/>
  <c r="E960" i="1"/>
  <c r="G958" i="1"/>
  <c r="F957" i="1"/>
  <c r="E956" i="1"/>
  <c r="G954" i="1"/>
  <c r="F953" i="1"/>
  <c r="E952" i="1"/>
  <c r="G950" i="1"/>
  <c r="F949" i="1"/>
  <c r="E948" i="1"/>
  <c r="G946" i="1"/>
  <c r="F945" i="1"/>
  <c r="E944" i="1"/>
  <c r="G942" i="1"/>
  <c r="F941" i="1"/>
  <c r="E940" i="1"/>
  <c r="G938" i="1"/>
  <c r="F937" i="1"/>
  <c r="E936" i="1"/>
  <c r="G934" i="1"/>
  <c r="F933" i="1"/>
  <c r="E932" i="1"/>
  <c r="G930" i="1"/>
  <c r="F929" i="1"/>
  <c r="E928" i="1"/>
  <c r="G926" i="1"/>
  <c r="F925" i="1"/>
  <c r="E924" i="1"/>
  <c r="G922" i="1"/>
  <c r="F921" i="1"/>
  <c r="E920" i="1"/>
  <c r="G918" i="1"/>
  <c r="F917" i="1"/>
  <c r="E916" i="1"/>
  <c r="G914" i="1"/>
  <c r="F913" i="1"/>
  <c r="E912" i="1"/>
  <c r="G910" i="1"/>
  <c r="F909" i="1"/>
  <c r="E908" i="1"/>
  <c r="G906" i="1"/>
  <c r="F905" i="1"/>
  <c r="E904" i="1"/>
  <c r="G902" i="1"/>
  <c r="F901" i="1"/>
  <c r="E900" i="1"/>
  <c r="G898" i="1"/>
  <c r="F897" i="1"/>
  <c r="E896" i="1"/>
  <c r="G894" i="1"/>
  <c r="F893" i="1"/>
  <c r="E892" i="1"/>
  <c r="G890" i="1"/>
  <c r="F889" i="1"/>
  <c r="E888" i="1"/>
  <c r="G886" i="1"/>
  <c r="F885" i="1"/>
  <c r="E884" i="1"/>
  <c r="G882" i="1"/>
  <c r="F881" i="1"/>
  <c r="E880" i="1"/>
  <c r="G878" i="1"/>
  <c r="F877" i="1"/>
  <c r="E876" i="1"/>
  <c r="G874" i="1"/>
  <c r="F873" i="1"/>
  <c r="E872" i="1"/>
  <c r="G870" i="1"/>
  <c r="F869" i="1"/>
  <c r="E868" i="1"/>
  <c r="G866" i="1"/>
  <c r="F865" i="1"/>
  <c r="E864" i="1"/>
  <c r="G862" i="1"/>
  <c r="F861" i="1"/>
  <c r="E860" i="1"/>
  <c r="G858" i="1"/>
  <c r="F857" i="1"/>
  <c r="E856" i="1"/>
  <c r="G854" i="1"/>
  <c r="F853" i="1"/>
  <c r="E852" i="1"/>
  <c r="G850" i="1"/>
  <c r="F849" i="1"/>
  <c r="E848" i="1"/>
  <c r="G846" i="1"/>
  <c r="F845" i="1"/>
  <c r="E844" i="1"/>
  <c r="G842" i="1"/>
  <c r="F841" i="1"/>
  <c r="E840" i="1"/>
  <c r="G838" i="1"/>
  <c r="F837" i="1"/>
  <c r="E836" i="1"/>
  <c r="G834" i="1"/>
  <c r="F833" i="1"/>
  <c r="E832" i="1"/>
  <c r="G830" i="1"/>
  <c r="F829" i="1"/>
  <c r="E828" i="1"/>
  <c r="G826" i="1"/>
  <c r="F825" i="1"/>
  <c r="E824" i="1"/>
  <c r="G822" i="1"/>
  <c r="F821" i="1"/>
  <c r="E820" i="1"/>
  <c r="G818" i="1"/>
  <c r="F817" i="1"/>
  <c r="E816" i="1"/>
  <c r="G814" i="1"/>
  <c r="F813" i="1"/>
  <c r="E812" i="1"/>
  <c r="G810" i="1"/>
  <c r="F809" i="1"/>
  <c r="E808" i="1"/>
  <c r="G806" i="1"/>
  <c r="F805" i="1"/>
  <c r="E804" i="1"/>
  <c r="G802" i="1"/>
  <c r="F801" i="1"/>
  <c r="E800" i="1"/>
  <c r="G798" i="1"/>
  <c r="F797" i="1"/>
  <c r="E796" i="1"/>
  <c r="G794" i="1"/>
  <c r="F793" i="1"/>
  <c r="E792" i="1"/>
  <c r="G790" i="1"/>
  <c r="F789" i="1"/>
  <c r="E788" i="1"/>
  <c r="G786" i="1"/>
  <c r="F785" i="1"/>
  <c r="E784" i="1"/>
  <c r="G782" i="1"/>
  <c r="F781" i="1"/>
  <c r="E780" i="1"/>
  <c r="G778" i="1"/>
  <c r="F777" i="1"/>
  <c r="E776" i="1"/>
  <c r="G774" i="1"/>
  <c r="F773" i="1"/>
  <c r="E772" i="1"/>
  <c r="G770" i="1"/>
  <c r="F769" i="1"/>
  <c r="E768" i="1"/>
  <c r="G766" i="1"/>
  <c r="F765" i="1"/>
  <c r="E764" i="1"/>
  <c r="G762" i="1"/>
  <c r="F761" i="1"/>
  <c r="E760" i="1"/>
  <c r="G758" i="1"/>
  <c r="F757" i="1"/>
  <c r="E756" i="1"/>
  <c r="G754" i="1"/>
  <c r="F753" i="1"/>
  <c r="E752" i="1"/>
  <c r="G750" i="1"/>
  <c r="F749" i="1"/>
  <c r="E748" i="1"/>
  <c r="G746" i="1"/>
  <c r="F745" i="1"/>
  <c r="E744" i="1"/>
  <c r="G742" i="1"/>
  <c r="F741" i="1"/>
  <c r="E740" i="1"/>
  <c r="G738" i="1"/>
  <c r="F737" i="1"/>
  <c r="E736" i="1"/>
  <c r="G734" i="1"/>
  <c r="F733" i="1"/>
  <c r="E732" i="1"/>
  <c r="G730" i="1"/>
  <c r="F729" i="1"/>
  <c r="E728" i="1"/>
  <c r="G726" i="1"/>
  <c r="F725" i="1"/>
  <c r="E724" i="1"/>
  <c r="G722" i="1"/>
  <c r="F721" i="1"/>
  <c r="E720" i="1"/>
  <c r="G718" i="1"/>
  <c r="F717" i="1"/>
  <c r="E716" i="1"/>
  <c r="G714" i="1"/>
  <c r="F713" i="1"/>
  <c r="E712" i="1"/>
  <c r="G710" i="1"/>
  <c r="F709" i="1"/>
  <c r="E708" i="1"/>
  <c r="G706" i="1"/>
  <c r="F705" i="1"/>
  <c r="E704" i="1"/>
  <c r="G702" i="1"/>
  <c r="F701" i="1"/>
  <c r="E700" i="1"/>
  <c r="G698" i="1"/>
  <c r="F697" i="1"/>
  <c r="E696" i="1"/>
  <c r="G694" i="1"/>
  <c r="F693" i="1"/>
  <c r="E692" i="1"/>
  <c r="G690" i="1"/>
  <c r="F689" i="1"/>
  <c r="E688" i="1"/>
  <c r="G686" i="1"/>
  <c r="F685" i="1"/>
  <c r="E684" i="1"/>
  <c r="G682" i="1"/>
  <c r="F681" i="1"/>
  <c r="E680" i="1"/>
  <c r="G678" i="1"/>
  <c r="F677" i="1"/>
  <c r="E676" i="1"/>
  <c r="G674" i="1"/>
  <c r="F673" i="1"/>
  <c r="E672" i="1"/>
  <c r="G670" i="1"/>
  <c r="F669" i="1"/>
  <c r="E668" i="1"/>
  <c r="G666" i="1"/>
  <c r="F665" i="1"/>
  <c r="E664" i="1"/>
  <c r="G662" i="1"/>
  <c r="F661" i="1"/>
  <c r="E660" i="1"/>
  <c r="G658" i="1"/>
  <c r="F657" i="1"/>
  <c r="E656" i="1"/>
  <c r="G654" i="1"/>
  <c r="F653" i="1"/>
  <c r="E652" i="1"/>
  <c r="G650" i="1"/>
  <c r="F649" i="1"/>
  <c r="E648" i="1"/>
  <c r="G646" i="1"/>
  <c r="F645" i="1"/>
  <c r="E644" i="1"/>
  <c r="G642" i="1"/>
  <c r="F641" i="1"/>
  <c r="E640" i="1"/>
  <c r="G638" i="1"/>
  <c r="F637" i="1"/>
  <c r="E636" i="1"/>
  <c r="G634" i="1"/>
  <c r="F633" i="1"/>
  <c r="E632" i="1"/>
  <c r="G630" i="1"/>
  <c r="F629" i="1"/>
  <c r="E628" i="1"/>
  <c r="G626" i="1"/>
  <c r="F625" i="1"/>
  <c r="E624" i="1"/>
  <c r="G622" i="1"/>
  <c r="F621" i="1"/>
  <c r="E620" i="1"/>
  <c r="G618" i="1"/>
  <c r="F617" i="1"/>
  <c r="E616" i="1"/>
  <c r="G614" i="1"/>
  <c r="G612" i="1"/>
  <c r="E611" i="1"/>
  <c r="F609" i="1"/>
  <c r="F607" i="1"/>
  <c r="G605" i="1"/>
  <c r="E604" i="1"/>
  <c r="E602" i="1"/>
  <c r="F600" i="1"/>
  <c r="G598" i="1"/>
  <c r="G596" i="1"/>
  <c r="E595" i="1"/>
  <c r="F593" i="1"/>
  <c r="F591" i="1"/>
  <c r="G589" i="1"/>
  <c r="E588" i="1"/>
  <c r="E586" i="1"/>
  <c r="F584" i="1"/>
  <c r="G582" i="1"/>
  <c r="G580" i="1"/>
  <c r="E579" i="1"/>
  <c r="F577" i="1"/>
  <c r="F575" i="1"/>
  <c r="G573" i="1"/>
  <c r="E572" i="1"/>
  <c r="E570" i="1"/>
  <c r="F568" i="1"/>
  <c r="G566" i="1"/>
  <c r="G564" i="1"/>
  <c r="E563" i="1"/>
  <c r="F561" i="1"/>
  <c r="F559" i="1"/>
  <c r="G557" i="1"/>
  <c r="E556" i="1"/>
  <c r="E554" i="1"/>
  <c r="F552" i="1"/>
  <c r="G550" i="1"/>
  <c r="G548" i="1"/>
  <c r="E547" i="1"/>
  <c r="F545" i="1"/>
  <c r="F543" i="1"/>
  <c r="G541" i="1"/>
  <c r="E540" i="1"/>
  <c r="E538" i="1"/>
  <c r="F536" i="1"/>
  <c r="G534" i="1"/>
  <c r="G532" i="1"/>
  <c r="E531" i="1"/>
  <c r="F529" i="1"/>
  <c r="F527" i="1"/>
  <c r="G525" i="1"/>
  <c r="E524" i="1"/>
  <c r="E522" i="1"/>
  <c r="F520" i="1"/>
  <c r="G518" i="1"/>
  <c r="G516" i="1"/>
  <c r="E515" i="1"/>
  <c r="F513" i="1"/>
  <c r="F511" i="1"/>
  <c r="G509" i="1"/>
  <c r="E508" i="1"/>
  <c r="E506" i="1"/>
  <c r="F504" i="1"/>
  <c r="G502" i="1"/>
  <c r="G500" i="1"/>
  <c r="E499" i="1"/>
  <c r="F497" i="1"/>
  <c r="F495" i="1"/>
  <c r="G493" i="1"/>
  <c r="E492" i="1"/>
  <c r="E490" i="1"/>
  <c r="F488" i="1"/>
  <c r="G486" i="1"/>
  <c r="G484" i="1"/>
  <c r="E483" i="1"/>
  <c r="F481" i="1"/>
  <c r="F479" i="1"/>
  <c r="G477" i="1"/>
  <c r="E476" i="1"/>
  <c r="E474" i="1"/>
  <c r="F472" i="1"/>
  <c r="G470" i="1"/>
  <c r="G468" i="1"/>
  <c r="E467" i="1"/>
  <c r="F465" i="1"/>
  <c r="F463" i="1"/>
  <c r="G461" i="1"/>
  <c r="E460" i="1"/>
  <c r="E458" i="1"/>
  <c r="F456" i="1"/>
  <c r="G454" i="1"/>
  <c r="G452" i="1"/>
  <c r="E451" i="1"/>
  <c r="F449" i="1"/>
  <c r="F447" i="1"/>
  <c r="G445" i="1"/>
  <c r="E444" i="1"/>
  <c r="E442" i="1"/>
  <c r="F440" i="1"/>
  <c r="G438" i="1"/>
  <c r="G436" i="1"/>
  <c r="E435" i="1"/>
  <c r="F433" i="1"/>
  <c r="F431" i="1"/>
  <c r="G429" i="1"/>
  <c r="E428" i="1"/>
  <c r="E426" i="1"/>
  <c r="F424" i="1"/>
  <c r="G422" i="1"/>
  <c r="G420" i="1"/>
  <c r="E419" i="1"/>
  <c r="F417" i="1"/>
  <c r="F415" i="1"/>
  <c r="G413" i="1"/>
  <c r="E412" i="1"/>
  <c r="E410" i="1"/>
  <c r="F408" i="1"/>
  <c r="G406" i="1"/>
  <c r="G404" i="1"/>
  <c r="E403" i="1"/>
  <c r="F401" i="1"/>
  <c r="F399" i="1"/>
  <c r="G397" i="1"/>
  <c r="E396" i="1"/>
  <c r="E394" i="1"/>
  <c r="F392" i="1"/>
  <c r="G390" i="1"/>
  <c r="G388" i="1"/>
  <c r="E387" i="1"/>
  <c r="F385" i="1"/>
  <c r="F383" i="1"/>
  <c r="G381" i="1"/>
  <c r="E380" i="1"/>
  <c r="E378" i="1"/>
  <c r="F376" i="1"/>
  <c r="G374" i="1"/>
  <c r="G372" i="1"/>
  <c r="E371" i="1"/>
  <c r="F369" i="1"/>
  <c r="F367" i="1"/>
  <c r="G365" i="1"/>
  <c r="E364" i="1"/>
  <c r="E362" i="1"/>
  <c r="F360" i="1"/>
  <c r="G358" i="1"/>
  <c r="G356" i="1"/>
  <c r="E355" i="1"/>
  <c r="F353" i="1"/>
  <c r="F351" i="1"/>
  <c r="G349" i="1"/>
  <c r="E348" i="1"/>
  <c r="E346" i="1"/>
  <c r="F344" i="1"/>
  <c r="G342" i="1"/>
  <c r="G340" i="1"/>
  <c r="E339" i="1"/>
  <c r="F337" i="1"/>
  <c r="F335" i="1"/>
  <c r="G333" i="1"/>
  <c r="E332" i="1"/>
  <c r="E330" i="1"/>
  <c r="G327" i="1"/>
  <c r="F325" i="1"/>
  <c r="G322" i="1"/>
  <c r="G320" i="1"/>
  <c r="F318" i="1"/>
  <c r="G315" i="1"/>
  <c r="F313" i="1"/>
  <c r="F311" i="1"/>
  <c r="G308" i="1"/>
  <c r="F306" i="1"/>
  <c r="E304" i="1"/>
  <c r="F301" i="1"/>
  <c r="F299" i="1"/>
  <c r="E297" i="1"/>
  <c r="F294" i="1"/>
  <c r="E292" i="1"/>
  <c r="E290" i="1"/>
  <c r="F287" i="1"/>
  <c r="E285" i="1"/>
  <c r="G282" i="1"/>
  <c r="E280" i="1"/>
  <c r="E278" i="1"/>
  <c r="G275" i="1"/>
  <c r="E273" i="1"/>
  <c r="G270" i="1"/>
  <c r="G268" i="1"/>
  <c r="E266" i="1"/>
  <c r="G263" i="1"/>
  <c r="F261" i="1"/>
  <c r="G258" i="1"/>
  <c r="G256" i="1"/>
  <c r="F254" i="1"/>
  <c r="G251" i="1"/>
  <c r="F249" i="1"/>
  <c r="F247" i="1"/>
  <c r="G244" i="1"/>
  <c r="F242" i="1"/>
  <c r="E240" i="1"/>
  <c r="F237" i="1"/>
  <c r="F235" i="1"/>
  <c r="E233" i="1"/>
  <c r="F230" i="1"/>
  <c r="E228" i="1"/>
  <c r="E226" i="1"/>
  <c r="F223" i="1"/>
  <c r="E221" i="1"/>
  <c r="G218" i="1"/>
  <c r="E216" i="1"/>
  <c r="E214" i="1"/>
  <c r="G211" i="1"/>
  <c r="E209" i="1"/>
  <c r="G206" i="1"/>
  <c r="G204" i="1"/>
  <c r="E202" i="1"/>
  <c r="G199" i="1"/>
  <c r="F197" i="1"/>
  <c r="G194" i="1"/>
  <c r="G192" i="1"/>
  <c r="F190" i="1"/>
  <c r="G187" i="1"/>
  <c r="F185" i="1"/>
  <c r="F183" i="1"/>
  <c r="G180" i="1"/>
  <c r="F178" i="1"/>
  <c r="E176" i="1"/>
  <c r="F173" i="1"/>
  <c r="F171" i="1"/>
  <c r="E169" i="1"/>
  <c r="F166" i="1"/>
  <c r="E164" i="1"/>
  <c r="E162" i="1"/>
  <c r="E158" i="1"/>
  <c r="G153" i="1"/>
  <c r="G148" i="1"/>
  <c r="F143" i="1"/>
  <c r="F139" i="1"/>
  <c r="E135" i="1"/>
  <c r="G129" i="1"/>
  <c r="G124" i="1"/>
  <c r="G120" i="1"/>
  <c r="F115" i="1"/>
  <c r="E111" i="1"/>
  <c r="E106" i="1"/>
  <c r="G100" i="1"/>
  <c r="G96" i="1"/>
  <c r="F92" i="1"/>
  <c r="E87" i="1"/>
  <c r="E82" i="1"/>
  <c r="E78" i="1"/>
  <c r="G72" i="1"/>
  <c r="F68" i="1"/>
  <c r="F63" i="1"/>
  <c r="E58" i="1"/>
  <c r="E54" i="1"/>
  <c r="G49" i="1"/>
  <c r="C18" i="1"/>
  <c r="D19" i="1" s="1"/>
  <c r="E33" i="1"/>
  <c r="E34" i="1"/>
  <c r="F35" i="1"/>
  <c r="G36" i="1"/>
  <c r="G19" i="1"/>
  <c r="E21" i="1"/>
  <c r="F22" i="1"/>
  <c r="G23" i="1"/>
  <c r="E25" i="1"/>
  <c r="F26" i="1"/>
  <c r="G27" i="1"/>
  <c r="E29" i="1"/>
  <c r="F30" i="1"/>
  <c r="G31" i="1"/>
  <c r="F33" i="1"/>
  <c r="F34" i="1"/>
  <c r="G35" i="1"/>
  <c r="E20" i="1"/>
  <c r="F21" i="1"/>
  <c r="G22" i="1"/>
  <c r="E24" i="1"/>
  <c r="F25" i="1"/>
  <c r="G26" i="1"/>
  <c r="E28" i="1"/>
  <c r="F29" i="1"/>
  <c r="G30" i="1"/>
  <c r="E32" i="1"/>
  <c r="G33" i="1"/>
  <c r="G34" i="1"/>
  <c r="E36" i="1"/>
  <c r="E19" i="1"/>
  <c r="F20" i="1"/>
  <c r="G21" i="1"/>
  <c r="E23" i="1"/>
  <c r="F24" i="1"/>
  <c r="G25" i="1"/>
  <c r="E27" i="1"/>
  <c r="F28" i="1"/>
  <c r="G29" i="1"/>
  <c r="E31" i="1"/>
  <c r="F32" i="1"/>
  <c r="G32" i="1"/>
  <c r="F31" i="1"/>
  <c r="E30" i="1"/>
  <c r="G28" i="1"/>
  <c r="F27" i="1"/>
  <c r="E26" i="1"/>
  <c r="G24" i="1"/>
  <c r="F23" i="1"/>
  <c r="E22" i="1"/>
  <c r="G20" i="1"/>
  <c r="F19" i="1"/>
  <c r="F36" i="1"/>
  <c r="E35" i="1"/>
  <c r="B9" i="3" l="1"/>
  <c r="E9" i="1"/>
  <c r="D20" i="1"/>
  <c r="A19" i="1"/>
  <c r="F18" i="1"/>
  <c r="E18" i="1"/>
  <c r="E14" i="1" s="1"/>
  <c r="B14" i="3" s="1"/>
  <c r="H18" i="1"/>
  <c r="G18" i="1"/>
  <c r="D21" i="1" l="1"/>
  <c r="A20" i="1"/>
  <c r="I18" i="1"/>
  <c r="H19" i="1" s="1"/>
  <c r="I19" i="1" s="1"/>
  <c r="H20" i="1" s="1"/>
  <c r="I20" i="1" s="1"/>
  <c r="H21" i="1" s="1"/>
  <c r="I21" i="1" s="1"/>
  <c r="H22" i="1" s="1"/>
  <c r="D22" i="1" l="1"/>
  <c r="A21" i="1"/>
  <c r="I22" i="1"/>
  <c r="H23" i="1" s="1"/>
  <c r="D23" i="1" l="1"/>
  <c r="A22" i="1"/>
  <c r="I23" i="1"/>
  <c r="H24" i="1" s="1"/>
  <c r="D24" i="1" l="1"/>
  <c r="A23" i="1"/>
  <c r="I24" i="1"/>
  <c r="H25" i="1" s="1"/>
  <c r="D25" i="1" l="1"/>
  <c r="A24" i="1"/>
  <c r="I25" i="1"/>
  <c r="D26" i="1" l="1"/>
  <c r="A25" i="1"/>
  <c r="H26" i="1"/>
  <c r="I26" i="1" s="1"/>
  <c r="H27" i="1" s="1"/>
  <c r="I27" i="1" s="1"/>
  <c r="H28" i="1" s="1"/>
  <c r="D27" i="1" l="1"/>
  <c r="A26" i="1"/>
  <c r="I28" i="1"/>
  <c r="H29" i="1" s="1"/>
  <c r="D28" i="1" l="1"/>
  <c r="A27" i="1"/>
  <c r="I29" i="1"/>
  <c r="H30" i="1" s="1"/>
  <c r="D29" i="1" l="1"/>
  <c r="A28" i="1"/>
  <c r="I30" i="1"/>
  <c r="H31" i="1" s="1"/>
  <c r="D30" i="1" l="1"/>
  <c r="A29" i="1"/>
  <c r="I31" i="1"/>
  <c r="D31" i="1" l="1"/>
  <c r="A30" i="1"/>
  <c r="H32" i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80" i="1" s="1"/>
  <c r="I80" i="1" s="1"/>
  <c r="H81" i="1" s="1"/>
  <c r="I81" i="1" s="1"/>
  <c r="H82" i="1" s="1"/>
  <c r="I82" i="1" s="1"/>
  <c r="H83" i="1" s="1"/>
  <c r="I83" i="1" s="1"/>
  <c r="H84" i="1" s="1"/>
  <c r="I84" i="1" s="1"/>
  <c r="H85" i="1" s="1"/>
  <c r="I85" i="1" s="1"/>
  <c r="H86" i="1" s="1"/>
  <c r="I86" i="1" s="1"/>
  <c r="H87" i="1" s="1"/>
  <c r="I87" i="1" s="1"/>
  <c r="H88" i="1" s="1"/>
  <c r="I88" i="1" s="1"/>
  <c r="H89" i="1" s="1"/>
  <c r="I89" i="1" s="1"/>
  <c r="H90" i="1" s="1"/>
  <c r="I90" i="1" s="1"/>
  <c r="H91" i="1" s="1"/>
  <c r="I91" i="1" s="1"/>
  <c r="H92" i="1" s="1"/>
  <c r="I92" i="1" s="1"/>
  <c r="H93" i="1" s="1"/>
  <c r="I93" i="1" s="1"/>
  <c r="H94" i="1" s="1"/>
  <c r="I94" i="1" s="1"/>
  <c r="H95" i="1" s="1"/>
  <c r="I95" i="1" s="1"/>
  <c r="H96" i="1" s="1"/>
  <c r="I96" i="1" s="1"/>
  <c r="H97" i="1" s="1"/>
  <c r="I97" i="1" s="1"/>
  <c r="H98" i="1" s="1"/>
  <c r="I98" i="1" s="1"/>
  <c r="H99" i="1" s="1"/>
  <c r="I99" i="1" s="1"/>
  <c r="H100" i="1" s="1"/>
  <c r="I100" i="1" s="1"/>
  <c r="H101" i="1" s="1"/>
  <c r="I101" i="1" s="1"/>
  <c r="H102" i="1" s="1"/>
  <c r="I102" i="1" s="1"/>
  <c r="H103" i="1" s="1"/>
  <c r="I103" i="1" s="1"/>
  <c r="H104" i="1" s="1"/>
  <c r="I104" i="1" s="1"/>
  <c r="H105" i="1" s="1"/>
  <c r="I105" i="1" s="1"/>
  <c r="H106" i="1" s="1"/>
  <c r="I106" i="1" s="1"/>
  <c r="H107" i="1" s="1"/>
  <c r="I107" i="1" s="1"/>
  <c r="H108" i="1" s="1"/>
  <c r="I108" i="1" s="1"/>
  <c r="H109" i="1" s="1"/>
  <c r="I109" i="1" s="1"/>
  <c r="H110" i="1" s="1"/>
  <c r="I110" i="1" s="1"/>
  <c r="H111" i="1" s="1"/>
  <c r="I111" i="1" s="1"/>
  <c r="H112" i="1" s="1"/>
  <c r="I112" i="1" s="1"/>
  <c r="H113" i="1" s="1"/>
  <c r="I113" i="1" s="1"/>
  <c r="H114" i="1" s="1"/>
  <c r="I114" i="1" s="1"/>
  <c r="H115" i="1" s="1"/>
  <c r="I115" i="1" s="1"/>
  <c r="H116" i="1" s="1"/>
  <c r="I116" i="1" s="1"/>
  <c r="H117" i="1" s="1"/>
  <c r="I117" i="1" s="1"/>
  <c r="H118" i="1" s="1"/>
  <c r="I118" i="1" s="1"/>
  <c r="H119" i="1" s="1"/>
  <c r="I119" i="1" s="1"/>
  <c r="H120" i="1" s="1"/>
  <c r="I120" i="1" s="1"/>
  <c r="H121" i="1" s="1"/>
  <c r="I121" i="1" s="1"/>
  <c r="H122" i="1" s="1"/>
  <c r="I122" i="1" s="1"/>
  <c r="H123" i="1" s="1"/>
  <c r="I123" i="1" s="1"/>
  <c r="H124" i="1" s="1"/>
  <c r="I124" i="1" s="1"/>
  <c r="H125" i="1" s="1"/>
  <c r="I125" i="1" s="1"/>
  <c r="H126" i="1" s="1"/>
  <c r="I126" i="1" s="1"/>
  <c r="H127" i="1" s="1"/>
  <c r="I127" i="1" s="1"/>
  <c r="H128" i="1" s="1"/>
  <c r="I128" i="1" s="1"/>
  <c r="H129" i="1" s="1"/>
  <c r="I129" i="1" s="1"/>
  <c r="H130" i="1" s="1"/>
  <c r="I130" i="1" s="1"/>
  <c r="H131" i="1" s="1"/>
  <c r="I131" i="1" s="1"/>
  <c r="H132" i="1" s="1"/>
  <c r="I132" i="1" s="1"/>
  <c r="H133" i="1" s="1"/>
  <c r="I133" i="1" s="1"/>
  <c r="H134" i="1" s="1"/>
  <c r="I134" i="1" s="1"/>
  <c r="H135" i="1" s="1"/>
  <c r="I135" i="1" s="1"/>
  <c r="H136" i="1" s="1"/>
  <c r="I136" i="1" s="1"/>
  <c r="H137" i="1" s="1"/>
  <c r="I137" i="1" s="1"/>
  <c r="H138" i="1" s="1"/>
  <c r="I138" i="1" s="1"/>
  <c r="H139" i="1" s="1"/>
  <c r="I139" i="1" s="1"/>
  <c r="H140" i="1" s="1"/>
  <c r="I140" i="1" s="1"/>
  <c r="H141" i="1" s="1"/>
  <c r="I141" i="1" s="1"/>
  <c r="H142" i="1" s="1"/>
  <c r="I142" i="1" s="1"/>
  <c r="H143" i="1" s="1"/>
  <c r="I143" i="1" s="1"/>
  <c r="H144" i="1" s="1"/>
  <c r="I144" i="1" s="1"/>
  <c r="H145" i="1" s="1"/>
  <c r="I145" i="1" s="1"/>
  <c r="H146" i="1" s="1"/>
  <c r="I146" i="1" s="1"/>
  <c r="H147" i="1" s="1"/>
  <c r="I147" i="1" s="1"/>
  <c r="H148" i="1" s="1"/>
  <c r="I148" i="1" s="1"/>
  <c r="H149" i="1" s="1"/>
  <c r="I149" i="1" s="1"/>
  <c r="H150" i="1" s="1"/>
  <c r="I150" i="1" s="1"/>
  <c r="H151" i="1" s="1"/>
  <c r="I151" i="1" s="1"/>
  <c r="H152" i="1" s="1"/>
  <c r="I152" i="1" s="1"/>
  <c r="H153" i="1" s="1"/>
  <c r="I153" i="1" s="1"/>
  <c r="H154" i="1" s="1"/>
  <c r="I154" i="1" s="1"/>
  <c r="H155" i="1" s="1"/>
  <c r="I155" i="1" s="1"/>
  <c r="H156" i="1" s="1"/>
  <c r="I156" i="1" s="1"/>
  <c r="H157" i="1" s="1"/>
  <c r="I157" i="1" s="1"/>
  <c r="H158" i="1" s="1"/>
  <c r="I158" i="1" s="1"/>
  <c r="H159" i="1" s="1"/>
  <c r="I159" i="1" s="1"/>
  <c r="H160" i="1" s="1"/>
  <c r="I160" i="1" s="1"/>
  <c r="H161" i="1" s="1"/>
  <c r="I161" i="1" s="1"/>
  <c r="H162" i="1" s="1"/>
  <c r="I162" i="1" s="1"/>
  <c r="H163" i="1" s="1"/>
  <c r="I163" i="1" s="1"/>
  <c r="H164" i="1" s="1"/>
  <c r="I164" i="1" s="1"/>
  <c r="H165" i="1" s="1"/>
  <c r="I165" i="1" s="1"/>
  <c r="H166" i="1" s="1"/>
  <c r="I166" i="1" s="1"/>
  <c r="H167" i="1" s="1"/>
  <c r="I167" i="1" s="1"/>
  <c r="H168" i="1" s="1"/>
  <c r="I168" i="1" s="1"/>
  <c r="H169" i="1" s="1"/>
  <c r="I169" i="1" s="1"/>
  <c r="H170" i="1" s="1"/>
  <c r="I170" i="1" s="1"/>
  <c r="H171" i="1" s="1"/>
  <c r="I171" i="1" s="1"/>
  <c r="H172" i="1" s="1"/>
  <c r="I172" i="1" s="1"/>
  <c r="H173" i="1" s="1"/>
  <c r="I173" i="1" s="1"/>
  <c r="H174" i="1" s="1"/>
  <c r="I174" i="1" s="1"/>
  <c r="H175" i="1" s="1"/>
  <c r="I175" i="1" s="1"/>
  <c r="H176" i="1" s="1"/>
  <c r="I176" i="1" s="1"/>
  <c r="H177" i="1" s="1"/>
  <c r="I177" i="1" s="1"/>
  <c r="H178" i="1" s="1"/>
  <c r="I178" i="1" s="1"/>
  <c r="H179" i="1" s="1"/>
  <c r="I179" i="1" s="1"/>
  <c r="H180" i="1" s="1"/>
  <c r="I180" i="1" s="1"/>
  <c r="H181" i="1" s="1"/>
  <c r="I181" i="1" s="1"/>
  <c r="H182" i="1" s="1"/>
  <c r="I182" i="1" s="1"/>
  <c r="H183" i="1" s="1"/>
  <c r="I183" i="1" s="1"/>
  <c r="H184" i="1" s="1"/>
  <c r="I184" i="1" s="1"/>
  <c r="H185" i="1" s="1"/>
  <c r="I185" i="1" s="1"/>
  <c r="H186" i="1" s="1"/>
  <c r="I186" i="1" s="1"/>
  <c r="H187" i="1" s="1"/>
  <c r="I187" i="1" s="1"/>
  <c r="H188" i="1" s="1"/>
  <c r="I188" i="1" s="1"/>
  <c r="H189" i="1" s="1"/>
  <c r="I189" i="1" s="1"/>
  <c r="H190" i="1" s="1"/>
  <c r="I190" i="1" s="1"/>
  <c r="H191" i="1" s="1"/>
  <c r="I191" i="1" s="1"/>
  <c r="H192" i="1" s="1"/>
  <c r="I192" i="1" s="1"/>
  <c r="H193" i="1" s="1"/>
  <c r="I193" i="1" s="1"/>
  <c r="H194" i="1" s="1"/>
  <c r="I194" i="1" s="1"/>
  <c r="H195" i="1" s="1"/>
  <c r="I195" i="1" s="1"/>
  <c r="H196" i="1" s="1"/>
  <c r="I196" i="1" s="1"/>
  <c r="H197" i="1" s="1"/>
  <c r="I197" i="1" s="1"/>
  <c r="H198" i="1" s="1"/>
  <c r="I198" i="1" s="1"/>
  <c r="H199" i="1" s="1"/>
  <c r="I199" i="1" s="1"/>
  <c r="H200" i="1" s="1"/>
  <c r="I200" i="1" s="1"/>
  <c r="H201" i="1" s="1"/>
  <c r="I201" i="1" s="1"/>
  <c r="H202" i="1" s="1"/>
  <c r="I202" i="1" s="1"/>
  <c r="H203" i="1" s="1"/>
  <c r="I203" i="1" s="1"/>
  <c r="H204" i="1" s="1"/>
  <c r="I204" i="1" s="1"/>
  <c r="H205" i="1" s="1"/>
  <c r="I205" i="1" s="1"/>
  <c r="H206" i="1" s="1"/>
  <c r="I206" i="1" s="1"/>
  <c r="H207" i="1" s="1"/>
  <c r="I207" i="1" s="1"/>
  <c r="H208" i="1" s="1"/>
  <c r="I208" i="1" s="1"/>
  <c r="H209" i="1" s="1"/>
  <c r="I209" i="1" s="1"/>
  <c r="H210" i="1" s="1"/>
  <c r="I210" i="1" s="1"/>
  <c r="H211" i="1" s="1"/>
  <c r="I211" i="1" s="1"/>
  <c r="H212" i="1" s="1"/>
  <c r="I212" i="1" s="1"/>
  <c r="H213" i="1" s="1"/>
  <c r="I213" i="1" s="1"/>
  <c r="H214" i="1" s="1"/>
  <c r="I214" i="1" s="1"/>
  <c r="H215" i="1" s="1"/>
  <c r="I215" i="1" s="1"/>
  <c r="H216" i="1" s="1"/>
  <c r="I216" i="1" s="1"/>
  <c r="H217" i="1" s="1"/>
  <c r="I217" i="1" s="1"/>
  <c r="H218" i="1" s="1"/>
  <c r="I218" i="1" s="1"/>
  <c r="H219" i="1" s="1"/>
  <c r="I219" i="1" s="1"/>
  <c r="H220" i="1" s="1"/>
  <c r="I220" i="1" s="1"/>
  <c r="H221" i="1" s="1"/>
  <c r="I221" i="1" s="1"/>
  <c r="H222" i="1" s="1"/>
  <c r="I222" i="1" s="1"/>
  <c r="H223" i="1" s="1"/>
  <c r="I223" i="1" s="1"/>
  <c r="H224" i="1" s="1"/>
  <c r="I224" i="1" s="1"/>
  <c r="H225" i="1" s="1"/>
  <c r="I225" i="1" s="1"/>
  <c r="H226" i="1" s="1"/>
  <c r="I226" i="1" s="1"/>
  <c r="H227" i="1" s="1"/>
  <c r="I227" i="1" s="1"/>
  <c r="H228" i="1" s="1"/>
  <c r="I228" i="1" s="1"/>
  <c r="H229" i="1" s="1"/>
  <c r="I229" i="1" s="1"/>
  <c r="H230" i="1" s="1"/>
  <c r="I230" i="1" s="1"/>
  <c r="H231" i="1" s="1"/>
  <c r="I231" i="1" s="1"/>
  <c r="H232" i="1" s="1"/>
  <c r="I232" i="1" s="1"/>
  <c r="H233" i="1" s="1"/>
  <c r="I233" i="1" s="1"/>
  <c r="H234" i="1" s="1"/>
  <c r="I234" i="1" s="1"/>
  <c r="H235" i="1" s="1"/>
  <c r="I235" i="1" s="1"/>
  <c r="H236" i="1" s="1"/>
  <c r="I236" i="1" s="1"/>
  <c r="H237" i="1" s="1"/>
  <c r="I237" i="1" s="1"/>
  <c r="H238" i="1" s="1"/>
  <c r="I238" i="1" s="1"/>
  <c r="H239" i="1" s="1"/>
  <c r="I239" i="1" s="1"/>
  <c r="H240" i="1" s="1"/>
  <c r="I240" i="1" s="1"/>
  <c r="H241" i="1" s="1"/>
  <c r="I241" i="1" s="1"/>
  <c r="H242" i="1" s="1"/>
  <c r="I242" i="1" s="1"/>
  <c r="H243" i="1" s="1"/>
  <c r="I243" i="1" s="1"/>
  <c r="H244" i="1" s="1"/>
  <c r="I244" i="1" s="1"/>
  <c r="H245" i="1" s="1"/>
  <c r="I245" i="1" s="1"/>
  <c r="H246" i="1" s="1"/>
  <c r="I246" i="1" s="1"/>
  <c r="H247" i="1" s="1"/>
  <c r="I247" i="1" s="1"/>
  <c r="H248" i="1" s="1"/>
  <c r="I248" i="1" s="1"/>
  <c r="H249" i="1" s="1"/>
  <c r="I249" i="1" s="1"/>
  <c r="H250" i="1" s="1"/>
  <c r="I250" i="1" s="1"/>
  <c r="H251" i="1" s="1"/>
  <c r="I251" i="1" s="1"/>
  <c r="H252" i="1" s="1"/>
  <c r="I252" i="1" s="1"/>
  <c r="H253" i="1" s="1"/>
  <c r="I253" i="1" s="1"/>
  <c r="H254" i="1" s="1"/>
  <c r="I254" i="1" s="1"/>
  <c r="H255" i="1" s="1"/>
  <c r="I255" i="1" s="1"/>
  <c r="H256" i="1" s="1"/>
  <c r="I256" i="1" s="1"/>
  <c r="H257" i="1" s="1"/>
  <c r="I257" i="1" s="1"/>
  <c r="H258" i="1" s="1"/>
  <c r="I258" i="1" s="1"/>
  <c r="H259" i="1" s="1"/>
  <c r="I259" i="1" s="1"/>
  <c r="H260" i="1" s="1"/>
  <c r="I260" i="1" s="1"/>
  <c r="H261" i="1" s="1"/>
  <c r="I261" i="1" s="1"/>
  <c r="H262" i="1" s="1"/>
  <c r="I262" i="1" s="1"/>
  <c r="H263" i="1" s="1"/>
  <c r="I263" i="1" s="1"/>
  <c r="H264" i="1" s="1"/>
  <c r="I264" i="1" s="1"/>
  <c r="H265" i="1" s="1"/>
  <c r="I265" i="1" s="1"/>
  <c r="H266" i="1" s="1"/>
  <c r="I266" i="1" s="1"/>
  <c r="H267" i="1" s="1"/>
  <c r="I267" i="1" s="1"/>
  <c r="H268" i="1" s="1"/>
  <c r="I268" i="1" s="1"/>
  <c r="H269" i="1" s="1"/>
  <c r="I269" i="1" s="1"/>
  <c r="H270" i="1" s="1"/>
  <c r="I270" i="1" s="1"/>
  <c r="H271" i="1" s="1"/>
  <c r="I271" i="1" s="1"/>
  <c r="H272" i="1" s="1"/>
  <c r="I272" i="1" s="1"/>
  <c r="H273" i="1" s="1"/>
  <c r="I273" i="1" s="1"/>
  <c r="H274" i="1" s="1"/>
  <c r="I274" i="1" s="1"/>
  <c r="H275" i="1" s="1"/>
  <c r="I275" i="1" s="1"/>
  <c r="H276" i="1" s="1"/>
  <c r="I276" i="1" s="1"/>
  <c r="H277" i="1" s="1"/>
  <c r="I277" i="1" s="1"/>
  <c r="H278" i="1" s="1"/>
  <c r="I278" i="1" s="1"/>
  <c r="H279" i="1" s="1"/>
  <c r="I279" i="1" s="1"/>
  <c r="H280" i="1" s="1"/>
  <c r="I280" i="1" s="1"/>
  <c r="H281" i="1" s="1"/>
  <c r="I281" i="1" s="1"/>
  <c r="H282" i="1" s="1"/>
  <c r="I282" i="1" s="1"/>
  <c r="H283" i="1" s="1"/>
  <c r="I283" i="1" s="1"/>
  <c r="H284" i="1" s="1"/>
  <c r="I284" i="1" s="1"/>
  <c r="H285" i="1" s="1"/>
  <c r="I285" i="1" s="1"/>
  <c r="H286" i="1" s="1"/>
  <c r="I286" i="1" s="1"/>
  <c r="H287" i="1" s="1"/>
  <c r="I287" i="1" s="1"/>
  <c r="H288" i="1" s="1"/>
  <c r="I288" i="1" s="1"/>
  <c r="H289" i="1" s="1"/>
  <c r="I289" i="1" s="1"/>
  <c r="H290" i="1" s="1"/>
  <c r="I290" i="1" s="1"/>
  <c r="H291" i="1" s="1"/>
  <c r="I291" i="1" s="1"/>
  <c r="H292" i="1" s="1"/>
  <c r="I292" i="1" s="1"/>
  <c r="H293" i="1" s="1"/>
  <c r="I293" i="1" s="1"/>
  <c r="H294" i="1" s="1"/>
  <c r="I294" i="1" s="1"/>
  <c r="H295" i="1" s="1"/>
  <c r="I295" i="1" s="1"/>
  <c r="H296" i="1" s="1"/>
  <c r="I296" i="1" s="1"/>
  <c r="H297" i="1" s="1"/>
  <c r="I297" i="1" s="1"/>
  <c r="H298" i="1" s="1"/>
  <c r="I298" i="1" s="1"/>
  <c r="H299" i="1" s="1"/>
  <c r="I299" i="1" s="1"/>
  <c r="H300" i="1" s="1"/>
  <c r="I300" i="1" s="1"/>
  <c r="H301" i="1" s="1"/>
  <c r="I301" i="1" s="1"/>
  <c r="H302" i="1" s="1"/>
  <c r="I302" i="1" s="1"/>
  <c r="H303" i="1" s="1"/>
  <c r="I303" i="1" s="1"/>
  <c r="H304" i="1" s="1"/>
  <c r="I304" i="1" s="1"/>
  <c r="H305" i="1" s="1"/>
  <c r="I305" i="1" s="1"/>
  <c r="H306" i="1" s="1"/>
  <c r="I306" i="1" s="1"/>
  <c r="H307" i="1" s="1"/>
  <c r="I307" i="1" s="1"/>
  <c r="H308" i="1" s="1"/>
  <c r="I308" i="1" s="1"/>
  <c r="H309" i="1" s="1"/>
  <c r="I309" i="1" s="1"/>
  <c r="H310" i="1" s="1"/>
  <c r="I310" i="1" s="1"/>
  <c r="H311" i="1" s="1"/>
  <c r="I311" i="1" s="1"/>
  <c r="H312" i="1" s="1"/>
  <c r="I312" i="1" s="1"/>
  <c r="H313" i="1" s="1"/>
  <c r="I313" i="1" s="1"/>
  <c r="H314" i="1" s="1"/>
  <c r="I314" i="1" s="1"/>
  <c r="H315" i="1" s="1"/>
  <c r="I315" i="1" s="1"/>
  <c r="H316" i="1" s="1"/>
  <c r="I316" i="1" s="1"/>
  <c r="H317" i="1" s="1"/>
  <c r="I317" i="1" s="1"/>
  <c r="H318" i="1" s="1"/>
  <c r="I318" i="1" s="1"/>
  <c r="H319" i="1" s="1"/>
  <c r="I319" i="1" s="1"/>
  <c r="H320" i="1" s="1"/>
  <c r="I320" i="1" s="1"/>
  <c r="H321" i="1" s="1"/>
  <c r="I321" i="1" s="1"/>
  <c r="H322" i="1" s="1"/>
  <c r="I322" i="1" s="1"/>
  <c r="H323" i="1" s="1"/>
  <c r="I323" i="1" s="1"/>
  <c r="H324" i="1" s="1"/>
  <c r="I324" i="1" s="1"/>
  <c r="H325" i="1" s="1"/>
  <c r="I325" i="1" s="1"/>
  <c r="H326" i="1" s="1"/>
  <c r="I326" i="1" s="1"/>
  <c r="H327" i="1" s="1"/>
  <c r="I327" i="1" s="1"/>
  <c r="H328" i="1" s="1"/>
  <c r="I328" i="1" s="1"/>
  <c r="H329" i="1" s="1"/>
  <c r="I329" i="1" s="1"/>
  <c r="H330" i="1" s="1"/>
  <c r="I330" i="1" s="1"/>
  <c r="H331" i="1" s="1"/>
  <c r="I331" i="1" s="1"/>
  <c r="H332" i="1" s="1"/>
  <c r="I332" i="1" s="1"/>
  <c r="H333" i="1" s="1"/>
  <c r="I333" i="1" s="1"/>
  <c r="H334" i="1" s="1"/>
  <c r="I334" i="1" s="1"/>
  <c r="H335" i="1" s="1"/>
  <c r="I335" i="1" s="1"/>
  <c r="H336" i="1" s="1"/>
  <c r="I336" i="1" s="1"/>
  <c r="H337" i="1" s="1"/>
  <c r="I337" i="1" s="1"/>
  <c r="H338" i="1" s="1"/>
  <c r="I338" i="1" s="1"/>
  <c r="H339" i="1" s="1"/>
  <c r="I339" i="1" s="1"/>
  <c r="H340" i="1" s="1"/>
  <c r="I340" i="1" s="1"/>
  <c r="H341" i="1" s="1"/>
  <c r="I341" i="1" s="1"/>
  <c r="H342" i="1" s="1"/>
  <c r="I342" i="1" s="1"/>
  <c r="H343" i="1" s="1"/>
  <c r="I343" i="1" s="1"/>
  <c r="H344" i="1" s="1"/>
  <c r="I344" i="1" s="1"/>
  <c r="H345" i="1" s="1"/>
  <c r="I345" i="1" s="1"/>
  <c r="H346" i="1" s="1"/>
  <c r="I346" i="1" s="1"/>
  <c r="H347" i="1" s="1"/>
  <c r="I347" i="1" s="1"/>
  <c r="H348" i="1" s="1"/>
  <c r="I348" i="1" s="1"/>
  <c r="H349" i="1" s="1"/>
  <c r="I349" i="1" s="1"/>
  <c r="H350" i="1" s="1"/>
  <c r="I350" i="1" s="1"/>
  <c r="H351" i="1" s="1"/>
  <c r="I351" i="1" s="1"/>
  <c r="H352" i="1" s="1"/>
  <c r="I352" i="1" s="1"/>
  <c r="H353" i="1" s="1"/>
  <c r="I353" i="1" s="1"/>
  <c r="H354" i="1" s="1"/>
  <c r="I354" i="1" s="1"/>
  <c r="H355" i="1" s="1"/>
  <c r="I355" i="1" s="1"/>
  <c r="H356" i="1" s="1"/>
  <c r="I356" i="1" s="1"/>
  <c r="H357" i="1" s="1"/>
  <c r="I357" i="1" s="1"/>
  <c r="H358" i="1" s="1"/>
  <c r="I358" i="1" s="1"/>
  <c r="H359" i="1" s="1"/>
  <c r="I359" i="1" s="1"/>
  <c r="H360" i="1" s="1"/>
  <c r="I360" i="1" s="1"/>
  <c r="H361" i="1" s="1"/>
  <c r="I361" i="1" s="1"/>
  <c r="H362" i="1" s="1"/>
  <c r="I362" i="1" s="1"/>
  <c r="H363" i="1" s="1"/>
  <c r="I363" i="1" s="1"/>
  <c r="H364" i="1" s="1"/>
  <c r="I364" i="1" s="1"/>
  <c r="H365" i="1" s="1"/>
  <c r="I365" i="1" s="1"/>
  <c r="H366" i="1" s="1"/>
  <c r="I366" i="1" s="1"/>
  <c r="H367" i="1" s="1"/>
  <c r="I367" i="1" s="1"/>
  <c r="H368" i="1" s="1"/>
  <c r="I368" i="1" s="1"/>
  <c r="H369" i="1" s="1"/>
  <c r="I369" i="1" s="1"/>
  <c r="H370" i="1" s="1"/>
  <c r="I370" i="1" s="1"/>
  <c r="H371" i="1" s="1"/>
  <c r="I371" i="1" s="1"/>
  <c r="H372" i="1" s="1"/>
  <c r="I372" i="1" s="1"/>
  <c r="H373" i="1" s="1"/>
  <c r="I373" i="1" s="1"/>
  <c r="H374" i="1" s="1"/>
  <c r="I374" i="1" s="1"/>
  <c r="H375" i="1" s="1"/>
  <c r="I375" i="1" s="1"/>
  <c r="H376" i="1" s="1"/>
  <c r="I376" i="1" s="1"/>
  <c r="H377" i="1" s="1"/>
  <c r="I377" i="1" s="1"/>
  <c r="H378" i="1" s="1"/>
  <c r="I378" i="1" s="1"/>
  <c r="H379" i="1" s="1"/>
  <c r="I379" i="1" s="1"/>
  <c r="H380" i="1" s="1"/>
  <c r="I380" i="1" s="1"/>
  <c r="H381" i="1" s="1"/>
  <c r="I381" i="1" s="1"/>
  <c r="H382" i="1" s="1"/>
  <c r="I382" i="1" s="1"/>
  <c r="H383" i="1" s="1"/>
  <c r="I383" i="1" s="1"/>
  <c r="H384" i="1" s="1"/>
  <c r="I384" i="1" s="1"/>
  <c r="H385" i="1" s="1"/>
  <c r="I385" i="1" s="1"/>
  <c r="H386" i="1" s="1"/>
  <c r="I386" i="1" s="1"/>
  <c r="H387" i="1" s="1"/>
  <c r="I387" i="1" s="1"/>
  <c r="H388" i="1" s="1"/>
  <c r="I388" i="1" s="1"/>
  <c r="H389" i="1" s="1"/>
  <c r="I389" i="1" s="1"/>
  <c r="H390" i="1" s="1"/>
  <c r="I390" i="1" s="1"/>
  <c r="H391" i="1" s="1"/>
  <c r="I391" i="1" s="1"/>
  <c r="H392" i="1" s="1"/>
  <c r="I392" i="1" s="1"/>
  <c r="H393" i="1" s="1"/>
  <c r="I393" i="1" s="1"/>
  <c r="H394" i="1" s="1"/>
  <c r="I394" i="1" s="1"/>
  <c r="H395" i="1" s="1"/>
  <c r="I395" i="1" s="1"/>
  <c r="H396" i="1" s="1"/>
  <c r="I396" i="1" s="1"/>
  <c r="H397" i="1" s="1"/>
  <c r="I397" i="1" s="1"/>
  <c r="H398" i="1" s="1"/>
  <c r="I398" i="1" s="1"/>
  <c r="H399" i="1" s="1"/>
  <c r="I399" i="1" s="1"/>
  <c r="H400" i="1" s="1"/>
  <c r="I400" i="1" s="1"/>
  <c r="H401" i="1" s="1"/>
  <c r="I401" i="1" s="1"/>
  <c r="H402" i="1" s="1"/>
  <c r="I402" i="1" s="1"/>
  <c r="H403" i="1" s="1"/>
  <c r="I403" i="1" s="1"/>
  <c r="H404" i="1" s="1"/>
  <c r="I404" i="1" s="1"/>
  <c r="H405" i="1" s="1"/>
  <c r="I405" i="1" s="1"/>
  <c r="H406" i="1" s="1"/>
  <c r="I406" i="1" s="1"/>
  <c r="H407" i="1" s="1"/>
  <c r="I407" i="1" s="1"/>
  <c r="H408" i="1" s="1"/>
  <c r="I408" i="1" s="1"/>
  <c r="H409" i="1" s="1"/>
  <c r="I409" i="1" s="1"/>
  <c r="H410" i="1" s="1"/>
  <c r="I410" i="1" s="1"/>
  <c r="H411" i="1" s="1"/>
  <c r="I411" i="1" s="1"/>
  <c r="H412" i="1" s="1"/>
  <c r="I412" i="1" s="1"/>
  <c r="H413" i="1" s="1"/>
  <c r="I413" i="1" s="1"/>
  <c r="H414" i="1" s="1"/>
  <c r="I414" i="1" s="1"/>
  <c r="H415" i="1" s="1"/>
  <c r="I415" i="1" s="1"/>
  <c r="H416" i="1" s="1"/>
  <c r="I416" i="1" s="1"/>
  <c r="H417" i="1" s="1"/>
  <c r="I417" i="1" s="1"/>
  <c r="H418" i="1" s="1"/>
  <c r="I418" i="1" s="1"/>
  <c r="H419" i="1" s="1"/>
  <c r="I419" i="1" s="1"/>
  <c r="H420" i="1" s="1"/>
  <c r="I420" i="1" s="1"/>
  <c r="H421" i="1" s="1"/>
  <c r="I421" i="1" s="1"/>
  <c r="H422" i="1" s="1"/>
  <c r="I422" i="1" s="1"/>
  <c r="H423" i="1" s="1"/>
  <c r="I423" i="1" s="1"/>
  <c r="H424" i="1" s="1"/>
  <c r="I424" i="1" s="1"/>
  <c r="H425" i="1" s="1"/>
  <c r="I425" i="1" s="1"/>
  <c r="H426" i="1" s="1"/>
  <c r="I426" i="1" s="1"/>
  <c r="H427" i="1" s="1"/>
  <c r="I427" i="1" s="1"/>
  <c r="H428" i="1" s="1"/>
  <c r="I428" i="1" s="1"/>
  <c r="H429" i="1" s="1"/>
  <c r="I429" i="1" s="1"/>
  <c r="H430" i="1" s="1"/>
  <c r="I430" i="1" s="1"/>
  <c r="H431" i="1" s="1"/>
  <c r="I431" i="1" s="1"/>
  <c r="H432" i="1" s="1"/>
  <c r="I432" i="1" s="1"/>
  <c r="H433" i="1" s="1"/>
  <c r="I433" i="1" s="1"/>
  <c r="H434" i="1" s="1"/>
  <c r="I434" i="1" s="1"/>
  <c r="H435" i="1" s="1"/>
  <c r="I435" i="1" s="1"/>
  <c r="H436" i="1" s="1"/>
  <c r="I436" i="1" s="1"/>
  <c r="H437" i="1" s="1"/>
  <c r="I437" i="1" s="1"/>
  <c r="H438" i="1" s="1"/>
  <c r="I438" i="1" s="1"/>
  <c r="H439" i="1" s="1"/>
  <c r="I439" i="1" s="1"/>
  <c r="H440" i="1" s="1"/>
  <c r="I440" i="1" s="1"/>
  <c r="H441" i="1" s="1"/>
  <c r="I441" i="1" s="1"/>
  <c r="H442" i="1" s="1"/>
  <c r="I442" i="1" s="1"/>
  <c r="H443" i="1" s="1"/>
  <c r="I443" i="1" s="1"/>
  <c r="H444" i="1" s="1"/>
  <c r="I444" i="1" s="1"/>
  <c r="H445" i="1" s="1"/>
  <c r="I445" i="1" s="1"/>
  <c r="H446" i="1" s="1"/>
  <c r="I446" i="1" s="1"/>
  <c r="H447" i="1" s="1"/>
  <c r="I447" i="1" s="1"/>
  <c r="H448" i="1" s="1"/>
  <c r="I448" i="1" s="1"/>
  <c r="H449" i="1" s="1"/>
  <c r="I449" i="1" s="1"/>
  <c r="H450" i="1" s="1"/>
  <c r="I450" i="1" s="1"/>
  <c r="H451" i="1" s="1"/>
  <c r="I451" i="1" s="1"/>
  <c r="H452" i="1" s="1"/>
  <c r="I452" i="1" s="1"/>
  <c r="H453" i="1" s="1"/>
  <c r="I453" i="1" s="1"/>
  <c r="H454" i="1" s="1"/>
  <c r="I454" i="1" s="1"/>
  <c r="H455" i="1" s="1"/>
  <c r="I455" i="1" s="1"/>
  <c r="H456" i="1" s="1"/>
  <c r="I456" i="1" s="1"/>
  <c r="H457" i="1" s="1"/>
  <c r="I457" i="1" s="1"/>
  <c r="H458" i="1" s="1"/>
  <c r="I458" i="1" s="1"/>
  <c r="H459" i="1" s="1"/>
  <c r="I459" i="1" s="1"/>
  <c r="H460" i="1" s="1"/>
  <c r="I460" i="1" s="1"/>
  <c r="H461" i="1" s="1"/>
  <c r="I461" i="1" s="1"/>
  <c r="H462" i="1" s="1"/>
  <c r="I462" i="1" s="1"/>
  <c r="H463" i="1" s="1"/>
  <c r="I463" i="1" s="1"/>
  <c r="H464" i="1" s="1"/>
  <c r="I464" i="1" s="1"/>
  <c r="H465" i="1" s="1"/>
  <c r="I465" i="1" s="1"/>
  <c r="H466" i="1" s="1"/>
  <c r="I466" i="1" s="1"/>
  <c r="H467" i="1" s="1"/>
  <c r="I467" i="1" s="1"/>
  <c r="H468" i="1" s="1"/>
  <c r="I468" i="1" s="1"/>
  <c r="H469" i="1" s="1"/>
  <c r="I469" i="1" s="1"/>
  <c r="H470" i="1" s="1"/>
  <c r="I470" i="1" s="1"/>
  <c r="H471" i="1" s="1"/>
  <c r="I471" i="1" s="1"/>
  <c r="H472" i="1" s="1"/>
  <c r="I472" i="1" s="1"/>
  <c r="H473" i="1" s="1"/>
  <c r="I473" i="1" s="1"/>
  <c r="H474" i="1" s="1"/>
  <c r="I474" i="1" s="1"/>
  <c r="H475" i="1" s="1"/>
  <c r="I475" i="1" s="1"/>
  <c r="H476" i="1" s="1"/>
  <c r="I476" i="1" s="1"/>
  <c r="H477" i="1" s="1"/>
  <c r="I477" i="1" s="1"/>
  <c r="H478" i="1" s="1"/>
  <c r="I478" i="1" s="1"/>
  <c r="H479" i="1" s="1"/>
  <c r="I479" i="1" s="1"/>
  <c r="H480" i="1" s="1"/>
  <c r="I480" i="1" s="1"/>
  <c r="H481" i="1" s="1"/>
  <c r="I481" i="1" s="1"/>
  <c r="H482" i="1" s="1"/>
  <c r="I482" i="1" s="1"/>
  <c r="H483" i="1" s="1"/>
  <c r="I483" i="1" s="1"/>
  <c r="H484" i="1" s="1"/>
  <c r="I484" i="1" s="1"/>
  <c r="H485" i="1" s="1"/>
  <c r="I485" i="1" s="1"/>
  <c r="H486" i="1" s="1"/>
  <c r="I486" i="1" s="1"/>
  <c r="H487" i="1" s="1"/>
  <c r="I487" i="1" s="1"/>
  <c r="H488" i="1" s="1"/>
  <c r="I488" i="1" s="1"/>
  <c r="H489" i="1" s="1"/>
  <c r="I489" i="1" s="1"/>
  <c r="H490" i="1" s="1"/>
  <c r="I490" i="1" s="1"/>
  <c r="H491" i="1" s="1"/>
  <c r="I491" i="1" s="1"/>
  <c r="H492" i="1" s="1"/>
  <c r="I492" i="1" s="1"/>
  <c r="H493" i="1" s="1"/>
  <c r="I493" i="1" s="1"/>
  <c r="H494" i="1" s="1"/>
  <c r="I494" i="1" s="1"/>
  <c r="H495" i="1" s="1"/>
  <c r="I495" i="1" s="1"/>
  <c r="H496" i="1" s="1"/>
  <c r="I496" i="1" s="1"/>
  <c r="H497" i="1" s="1"/>
  <c r="I497" i="1" s="1"/>
  <c r="H498" i="1" s="1"/>
  <c r="I498" i="1" s="1"/>
  <c r="H499" i="1" s="1"/>
  <c r="I499" i="1" s="1"/>
  <c r="H500" i="1" s="1"/>
  <c r="I500" i="1" s="1"/>
  <c r="H501" i="1" s="1"/>
  <c r="I501" i="1" s="1"/>
  <c r="H502" i="1" s="1"/>
  <c r="I502" i="1" s="1"/>
  <c r="H503" i="1" s="1"/>
  <c r="I503" i="1" s="1"/>
  <c r="H504" i="1" s="1"/>
  <c r="I504" i="1" s="1"/>
  <c r="H505" i="1" s="1"/>
  <c r="I505" i="1" s="1"/>
  <c r="H506" i="1" s="1"/>
  <c r="I506" i="1" s="1"/>
  <c r="H507" i="1" s="1"/>
  <c r="I507" i="1" s="1"/>
  <c r="H508" i="1" s="1"/>
  <c r="I508" i="1" s="1"/>
  <c r="H509" i="1" s="1"/>
  <c r="I509" i="1" s="1"/>
  <c r="H510" i="1" s="1"/>
  <c r="I510" i="1" s="1"/>
  <c r="H511" i="1" s="1"/>
  <c r="I511" i="1" s="1"/>
  <c r="H512" i="1" s="1"/>
  <c r="I512" i="1" s="1"/>
  <c r="H513" i="1" s="1"/>
  <c r="I513" i="1" s="1"/>
  <c r="H514" i="1" s="1"/>
  <c r="I514" i="1" s="1"/>
  <c r="H515" i="1" s="1"/>
  <c r="I515" i="1" s="1"/>
  <c r="H516" i="1" s="1"/>
  <c r="I516" i="1" s="1"/>
  <c r="H517" i="1" s="1"/>
  <c r="I517" i="1" s="1"/>
  <c r="H518" i="1" s="1"/>
  <c r="I518" i="1" s="1"/>
  <c r="H519" i="1" s="1"/>
  <c r="I519" i="1" s="1"/>
  <c r="H520" i="1" s="1"/>
  <c r="I520" i="1" s="1"/>
  <c r="H521" i="1" s="1"/>
  <c r="I521" i="1" s="1"/>
  <c r="H522" i="1" s="1"/>
  <c r="I522" i="1" s="1"/>
  <c r="H523" i="1" s="1"/>
  <c r="I523" i="1" s="1"/>
  <c r="H524" i="1" s="1"/>
  <c r="I524" i="1" s="1"/>
  <c r="H525" i="1" s="1"/>
  <c r="I525" i="1" s="1"/>
  <c r="H526" i="1" s="1"/>
  <c r="I526" i="1" s="1"/>
  <c r="H527" i="1" s="1"/>
  <c r="I527" i="1" s="1"/>
  <c r="H528" i="1" s="1"/>
  <c r="I528" i="1" s="1"/>
  <c r="H529" i="1" s="1"/>
  <c r="I529" i="1" s="1"/>
  <c r="H530" i="1" s="1"/>
  <c r="I530" i="1" s="1"/>
  <c r="H531" i="1" s="1"/>
  <c r="I531" i="1" s="1"/>
  <c r="H532" i="1" s="1"/>
  <c r="I532" i="1" s="1"/>
  <c r="H533" i="1" s="1"/>
  <c r="I533" i="1" s="1"/>
  <c r="H534" i="1" s="1"/>
  <c r="I534" i="1" s="1"/>
  <c r="H535" i="1" s="1"/>
  <c r="I535" i="1" s="1"/>
  <c r="H536" i="1" s="1"/>
  <c r="I536" i="1" s="1"/>
  <c r="H537" i="1" s="1"/>
  <c r="I537" i="1" s="1"/>
  <c r="H538" i="1" s="1"/>
  <c r="I538" i="1" s="1"/>
  <c r="H539" i="1" s="1"/>
  <c r="I539" i="1" s="1"/>
  <c r="H540" i="1" s="1"/>
  <c r="I540" i="1" s="1"/>
  <c r="H541" i="1" s="1"/>
  <c r="I541" i="1" s="1"/>
  <c r="H542" i="1" s="1"/>
  <c r="I542" i="1" s="1"/>
  <c r="H543" i="1" s="1"/>
  <c r="I543" i="1" s="1"/>
  <c r="H544" i="1" s="1"/>
  <c r="I544" i="1" s="1"/>
  <c r="H545" i="1" s="1"/>
  <c r="I545" i="1" s="1"/>
  <c r="H546" i="1" s="1"/>
  <c r="I546" i="1" s="1"/>
  <c r="H547" i="1" s="1"/>
  <c r="I547" i="1" s="1"/>
  <c r="H548" i="1" s="1"/>
  <c r="I548" i="1" s="1"/>
  <c r="H549" i="1" s="1"/>
  <c r="I549" i="1" s="1"/>
  <c r="H550" i="1" s="1"/>
  <c r="I550" i="1" s="1"/>
  <c r="H551" i="1" s="1"/>
  <c r="I551" i="1" s="1"/>
  <c r="H552" i="1" s="1"/>
  <c r="I552" i="1" s="1"/>
  <c r="H553" i="1" s="1"/>
  <c r="I553" i="1" s="1"/>
  <c r="H554" i="1" s="1"/>
  <c r="I554" i="1" s="1"/>
  <c r="H555" i="1" s="1"/>
  <c r="I555" i="1" s="1"/>
  <c r="H556" i="1" s="1"/>
  <c r="I556" i="1" s="1"/>
  <c r="H557" i="1" s="1"/>
  <c r="I557" i="1" s="1"/>
  <c r="H558" i="1" s="1"/>
  <c r="I558" i="1" s="1"/>
  <c r="H559" i="1" s="1"/>
  <c r="I559" i="1" s="1"/>
  <c r="H560" i="1" s="1"/>
  <c r="I560" i="1" s="1"/>
  <c r="H561" i="1" s="1"/>
  <c r="I561" i="1" s="1"/>
  <c r="H562" i="1" s="1"/>
  <c r="I562" i="1" s="1"/>
  <c r="H563" i="1" s="1"/>
  <c r="I563" i="1" s="1"/>
  <c r="H564" i="1" s="1"/>
  <c r="I564" i="1" s="1"/>
  <c r="H565" i="1" s="1"/>
  <c r="I565" i="1" s="1"/>
  <c r="H566" i="1" s="1"/>
  <c r="I566" i="1" s="1"/>
  <c r="H567" i="1" s="1"/>
  <c r="I567" i="1" s="1"/>
  <c r="H568" i="1" s="1"/>
  <c r="I568" i="1" s="1"/>
  <c r="H569" i="1" s="1"/>
  <c r="I569" i="1" s="1"/>
  <c r="H570" i="1" s="1"/>
  <c r="I570" i="1" s="1"/>
  <c r="H571" i="1" s="1"/>
  <c r="I571" i="1" s="1"/>
  <c r="H572" i="1" s="1"/>
  <c r="I572" i="1" s="1"/>
  <c r="H573" i="1" s="1"/>
  <c r="I573" i="1" s="1"/>
  <c r="H574" i="1" s="1"/>
  <c r="I574" i="1" s="1"/>
  <c r="H575" i="1" s="1"/>
  <c r="I575" i="1" s="1"/>
  <c r="H576" i="1" s="1"/>
  <c r="I576" i="1" s="1"/>
  <c r="H577" i="1" s="1"/>
  <c r="I577" i="1" s="1"/>
  <c r="H578" i="1" s="1"/>
  <c r="I578" i="1" s="1"/>
  <c r="H579" i="1" s="1"/>
  <c r="I579" i="1" s="1"/>
  <c r="H580" i="1" s="1"/>
  <c r="I580" i="1" s="1"/>
  <c r="H581" i="1" s="1"/>
  <c r="I581" i="1" s="1"/>
  <c r="H582" i="1" s="1"/>
  <c r="I582" i="1" s="1"/>
  <c r="H583" i="1" s="1"/>
  <c r="I583" i="1" s="1"/>
  <c r="H584" i="1" s="1"/>
  <c r="I584" i="1" s="1"/>
  <c r="H585" i="1" s="1"/>
  <c r="I585" i="1" s="1"/>
  <c r="H586" i="1" s="1"/>
  <c r="I586" i="1" s="1"/>
  <c r="H587" i="1" s="1"/>
  <c r="I587" i="1" s="1"/>
  <c r="H588" i="1" s="1"/>
  <c r="I588" i="1" s="1"/>
  <c r="H589" i="1" s="1"/>
  <c r="I589" i="1" s="1"/>
  <c r="H590" i="1" s="1"/>
  <c r="I590" i="1" s="1"/>
  <c r="H591" i="1" s="1"/>
  <c r="I591" i="1" s="1"/>
  <c r="H592" i="1" s="1"/>
  <c r="I592" i="1" s="1"/>
  <c r="H593" i="1" s="1"/>
  <c r="I593" i="1" s="1"/>
  <c r="H594" i="1" s="1"/>
  <c r="I594" i="1" s="1"/>
  <c r="H595" i="1" s="1"/>
  <c r="I595" i="1" s="1"/>
  <c r="H596" i="1" s="1"/>
  <c r="I596" i="1" s="1"/>
  <c r="H597" i="1" s="1"/>
  <c r="I597" i="1" s="1"/>
  <c r="H598" i="1" s="1"/>
  <c r="I598" i="1" s="1"/>
  <c r="H599" i="1" s="1"/>
  <c r="I599" i="1" s="1"/>
  <c r="H600" i="1" s="1"/>
  <c r="I600" i="1" s="1"/>
  <c r="H601" i="1" s="1"/>
  <c r="I601" i="1" s="1"/>
  <c r="H602" i="1" s="1"/>
  <c r="I602" i="1" s="1"/>
  <c r="H603" i="1" s="1"/>
  <c r="I603" i="1" s="1"/>
  <c r="H604" i="1" s="1"/>
  <c r="I604" i="1" s="1"/>
  <c r="H605" i="1" s="1"/>
  <c r="I605" i="1" s="1"/>
  <c r="H606" i="1" s="1"/>
  <c r="I606" i="1" s="1"/>
  <c r="H607" i="1" s="1"/>
  <c r="I607" i="1" s="1"/>
  <c r="H608" i="1" s="1"/>
  <c r="I608" i="1" s="1"/>
  <c r="H609" i="1" s="1"/>
  <c r="I609" i="1" s="1"/>
  <c r="H610" i="1" s="1"/>
  <c r="I610" i="1" s="1"/>
  <c r="H611" i="1" s="1"/>
  <c r="I611" i="1" s="1"/>
  <c r="H612" i="1" s="1"/>
  <c r="I612" i="1" s="1"/>
  <c r="H613" i="1" s="1"/>
  <c r="I613" i="1" s="1"/>
  <c r="H614" i="1" s="1"/>
  <c r="I614" i="1" s="1"/>
  <c r="H615" i="1" s="1"/>
  <c r="I615" i="1" s="1"/>
  <c r="H616" i="1" s="1"/>
  <c r="I616" i="1" s="1"/>
  <c r="H617" i="1" s="1"/>
  <c r="I617" i="1" s="1"/>
  <c r="H618" i="1" s="1"/>
  <c r="I618" i="1" s="1"/>
  <c r="H619" i="1" s="1"/>
  <c r="I619" i="1" s="1"/>
  <c r="H620" i="1" s="1"/>
  <c r="I620" i="1" s="1"/>
  <c r="H621" i="1" s="1"/>
  <c r="I621" i="1" s="1"/>
  <c r="H622" i="1" s="1"/>
  <c r="I622" i="1" s="1"/>
  <c r="H623" i="1" s="1"/>
  <c r="I623" i="1" s="1"/>
  <c r="H624" i="1" s="1"/>
  <c r="I624" i="1" s="1"/>
  <c r="H625" i="1" s="1"/>
  <c r="I625" i="1" s="1"/>
  <c r="H626" i="1" s="1"/>
  <c r="I626" i="1" s="1"/>
  <c r="H627" i="1" s="1"/>
  <c r="I627" i="1" s="1"/>
  <c r="H628" i="1" s="1"/>
  <c r="I628" i="1" s="1"/>
  <c r="H629" i="1" s="1"/>
  <c r="I629" i="1" s="1"/>
  <c r="H630" i="1" s="1"/>
  <c r="I630" i="1" s="1"/>
  <c r="H631" i="1" s="1"/>
  <c r="I631" i="1" s="1"/>
  <c r="H632" i="1" s="1"/>
  <c r="I632" i="1" s="1"/>
  <c r="H633" i="1" s="1"/>
  <c r="I633" i="1" s="1"/>
  <c r="H634" i="1" s="1"/>
  <c r="I634" i="1" s="1"/>
  <c r="H635" i="1" s="1"/>
  <c r="I635" i="1" s="1"/>
  <c r="H636" i="1" s="1"/>
  <c r="I636" i="1" s="1"/>
  <c r="H637" i="1" s="1"/>
  <c r="I637" i="1" s="1"/>
  <c r="H638" i="1" s="1"/>
  <c r="I638" i="1" s="1"/>
  <c r="H639" i="1" s="1"/>
  <c r="I639" i="1" s="1"/>
  <c r="H640" i="1" s="1"/>
  <c r="I640" i="1" s="1"/>
  <c r="H641" i="1" s="1"/>
  <c r="I641" i="1" s="1"/>
  <c r="H642" i="1" s="1"/>
  <c r="I642" i="1" s="1"/>
  <c r="H643" i="1" s="1"/>
  <c r="I643" i="1" s="1"/>
  <c r="H644" i="1" s="1"/>
  <c r="I644" i="1" s="1"/>
  <c r="H645" i="1" s="1"/>
  <c r="I645" i="1" s="1"/>
  <c r="H646" i="1" s="1"/>
  <c r="I646" i="1" s="1"/>
  <c r="H647" i="1" s="1"/>
  <c r="I647" i="1" s="1"/>
  <c r="H648" i="1" s="1"/>
  <c r="I648" i="1" s="1"/>
  <c r="H649" i="1" s="1"/>
  <c r="I649" i="1" s="1"/>
  <c r="H650" i="1" s="1"/>
  <c r="I650" i="1" s="1"/>
  <c r="H651" i="1" s="1"/>
  <c r="I651" i="1" s="1"/>
  <c r="H652" i="1" s="1"/>
  <c r="I652" i="1" s="1"/>
  <c r="H653" i="1" s="1"/>
  <c r="I653" i="1" s="1"/>
  <c r="H654" i="1" s="1"/>
  <c r="I654" i="1" s="1"/>
  <c r="H655" i="1" s="1"/>
  <c r="I655" i="1" s="1"/>
  <c r="H656" i="1" s="1"/>
  <c r="I656" i="1" s="1"/>
  <c r="H657" i="1" s="1"/>
  <c r="I657" i="1" s="1"/>
  <c r="H658" i="1" s="1"/>
  <c r="I658" i="1" s="1"/>
  <c r="H659" i="1" s="1"/>
  <c r="I659" i="1" s="1"/>
  <c r="H660" i="1" s="1"/>
  <c r="I660" i="1" s="1"/>
  <c r="H661" i="1" s="1"/>
  <c r="I661" i="1" s="1"/>
  <c r="H662" i="1" s="1"/>
  <c r="I662" i="1" s="1"/>
  <c r="H663" i="1" s="1"/>
  <c r="I663" i="1" s="1"/>
  <c r="H664" i="1" s="1"/>
  <c r="I664" i="1" s="1"/>
  <c r="H665" i="1" s="1"/>
  <c r="I665" i="1" s="1"/>
  <c r="H666" i="1" s="1"/>
  <c r="I666" i="1" s="1"/>
  <c r="H667" i="1" s="1"/>
  <c r="I667" i="1" s="1"/>
  <c r="H668" i="1" s="1"/>
  <c r="I668" i="1" s="1"/>
  <c r="H669" i="1" s="1"/>
  <c r="I669" i="1" s="1"/>
  <c r="H670" i="1" s="1"/>
  <c r="I670" i="1" s="1"/>
  <c r="H671" i="1" s="1"/>
  <c r="I671" i="1" s="1"/>
  <c r="H672" i="1" s="1"/>
  <c r="I672" i="1" s="1"/>
  <c r="H673" i="1" s="1"/>
  <c r="I673" i="1" s="1"/>
  <c r="H674" i="1" s="1"/>
  <c r="I674" i="1" s="1"/>
  <c r="H675" i="1" s="1"/>
  <c r="I675" i="1" s="1"/>
  <c r="H676" i="1" s="1"/>
  <c r="I676" i="1" s="1"/>
  <c r="H677" i="1" s="1"/>
  <c r="I677" i="1" s="1"/>
  <c r="H678" i="1" s="1"/>
  <c r="I678" i="1" s="1"/>
  <c r="H679" i="1" s="1"/>
  <c r="I679" i="1" s="1"/>
  <c r="H680" i="1" s="1"/>
  <c r="I680" i="1" s="1"/>
  <c r="H681" i="1" s="1"/>
  <c r="I681" i="1" s="1"/>
  <c r="H682" i="1" s="1"/>
  <c r="I682" i="1" s="1"/>
  <c r="H683" i="1" s="1"/>
  <c r="I683" i="1" s="1"/>
  <c r="H684" i="1" s="1"/>
  <c r="I684" i="1" s="1"/>
  <c r="H685" i="1" s="1"/>
  <c r="I685" i="1" s="1"/>
  <c r="H686" i="1" s="1"/>
  <c r="I686" i="1" s="1"/>
  <c r="H687" i="1" s="1"/>
  <c r="I687" i="1" s="1"/>
  <c r="H688" i="1" s="1"/>
  <c r="I688" i="1" s="1"/>
  <c r="H689" i="1" s="1"/>
  <c r="I689" i="1" s="1"/>
  <c r="H690" i="1" s="1"/>
  <c r="I690" i="1" s="1"/>
  <c r="H691" i="1" s="1"/>
  <c r="I691" i="1" s="1"/>
  <c r="H692" i="1" s="1"/>
  <c r="I692" i="1" s="1"/>
  <c r="H693" i="1" s="1"/>
  <c r="I693" i="1" s="1"/>
  <c r="H694" i="1" s="1"/>
  <c r="I694" i="1" s="1"/>
  <c r="H695" i="1" s="1"/>
  <c r="I695" i="1" s="1"/>
  <c r="H696" i="1" s="1"/>
  <c r="I696" i="1" s="1"/>
  <c r="H697" i="1" s="1"/>
  <c r="I697" i="1" s="1"/>
  <c r="H698" i="1" s="1"/>
  <c r="I698" i="1" s="1"/>
  <c r="H699" i="1" s="1"/>
  <c r="I699" i="1" s="1"/>
  <c r="H700" i="1" s="1"/>
  <c r="I700" i="1" s="1"/>
  <c r="H701" i="1" s="1"/>
  <c r="I701" i="1" s="1"/>
  <c r="H702" i="1" s="1"/>
  <c r="I702" i="1" s="1"/>
  <c r="H703" i="1" s="1"/>
  <c r="I703" i="1" s="1"/>
  <c r="H704" i="1" s="1"/>
  <c r="I704" i="1" s="1"/>
  <c r="H705" i="1" s="1"/>
  <c r="I705" i="1" s="1"/>
  <c r="H706" i="1" s="1"/>
  <c r="I706" i="1" s="1"/>
  <c r="H707" i="1" s="1"/>
  <c r="I707" i="1" s="1"/>
  <c r="H708" i="1" s="1"/>
  <c r="I708" i="1" s="1"/>
  <c r="H709" i="1" s="1"/>
  <c r="I709" i="1" s="1"/>
  <c r="H710" i="1" s="1"/>
  <c r="I710" i="1" s="1"/>
  <c r="H711" i="1" s="1"/>
  <c r="I711" i="1" s="1"/>
  <c r="H712" i="1" s="1"/>
  <c r="I712" i="1" s="1"/>
  <c r="H713" i="1" s="1"/>
  <c r="I713" i="1" s="1"/>
  <c r="H714" i="1" s="1"/>
  <c r="I714" i="1" s="1"/>
  <c r="H715" i="1" s="1"/>
  <c r="I715" i="1" s="1"/>
  <c r="H716" i="1" s="1"/>
  <c r="I716" i="1" s="1"/>
  <c r="H717" i="1" s="1"/>
  <c r="I717" i="1" s="1"/>
  <c r="H718" i="1" s="1"/>
  <c r="I718" i="1" s="1"/>
  <c r="H719" i="1" s="1"/>
  <c r="I719" i="1" s="1"/>
  <c r="H720" i="1" s="1"/>
  <c r="I720" i="1" s="1"/>
  <c r="H721" i="1" s="1"/>
  <c r="I721" i="1" s="1"/>
  <c r="H722" i="1" s="1"/>
  <c r="I722" i="1" s="1"/>
  <c r="H723" i="1" s="1"/>
  <c r="I723" i="1" s="1"/>
  <c r="H724" i="1" s="1"/>
  <c r="I724" i="1" s="1"/>
  <c r="H725" i="1" s="1"/>
  <c r="I725" i="1" s="1"/>
  <c r="H726" i="1" s="1"/>
  <c r="I726" i="1" s="1"/>
  <c r="H727" i="1" s="1"/>
  <c r="I727" i="1" s="1"/>
  <c r="H728" i="1" s="1"/>
  <c r="I728" i="1" s="1"/>
  <c r="H729" i="1" s="1"/>
  <c r="I729" i="1" s="1"/>
  <c r="H730" i="1" s="1"/>
  <c r="I730" i="1" s="1"/>
  <c r="H731" i="1" s="1"/>
  <c r="I731" i="1" s="1"/>
  <c r="H732" i="1" s="1"/>
  <c r="I732" i="1" s="1"/>
  <c r="H733" i="1" s="1"/>
  <c r="I733" i="1" s="1"/>
  <c r="H734" i="1" s="1"/>
  <c r="I734" i="1" s="1"/>
  <c r="H735" i="1" s="1"/>
  <c r="I735" i="1" s="1"/>
  <c r="H736" i="1" s="1"/>
  <c r="I736" i="1" s="1"/>
  <c r="H737" i="1" s="1"/>
  <c r="I737" i="1" s="1"/>
  <c r="H738" i="1" s="1"/>
  <c r="I738" i="1" s="1"/>
  <c r="H739" i="1" s="1"/>
  <c r="I739" i="1" s="1"/>
  <c r="H740" i="1" s="1"/>
  <c r="I740" i="1" s="1"/>
  <c r="H741" i="1" s="1"/>
  <c r="I741" i="1" s="1"/>
  <c r="H742" i="1" s="1"/>
  <c r="I742" i="1" s="1"/>
  <c r="H743" i="1" s="1"/>
  <c r="I743" i="1" s="1"/>
  <c r="H744" i="1" s="1"/>
  <c r="I744" i="1" s="1"/>
  <c r="H745" i="1" s="1"/>
  <c r="I745" i="1" s="1"/>
  <c r="H746" i="1" s="1"/>
  <c r="I746" i="1" s="1"/>
  <c r="H747" i="1" s="1"/>
  <c r="I747" i="1" s="1"/>
  <c r="H748" i="1" s="1"/>
  <c r="I748" i="1" s="1"/>
  <c r="H749" i="1" s="1"/>
  <c r="I749" i="1" s="1"/>
  <c r="H750" i="1" s="1"/>
  <c r="I750" i="1" s="1"/>
  <c r="H751" i="1" s="1"/>
  <c r="I751" i="1" s="1"/>
  <c r="H752" i="1" s="1"/>
  <c r="I752" i="1" s="1"/>
  <c r="H753" i="1" s="1"/>
  <c r="I753" i="1" s="1"/>
  <c r="H754" i="1" s="1"/>
  <c r="I754" i="1" s="1"/>
  <c r="H755" i="1" s="1"/>
  <c r="I755" i="1" s="1"/>
  <c r="H756" i="1" s="1"/>
  <c r="I756" i="1" s="1"/>
  <c r="H757" i="1" s="1"/>
  <c r="I757" i="1" s="1"/>
  <c r="H758" i="1" s="1"/>
  <c r="I758" i="1" s="1"/>
  <c r="H759" i="1" s="1"/>
  <c r="I759" i="1" s="1"/>
  <c r="H760" i="1" s="1"/>
  <c r="I760" i="1" s="1"/>
  <c r="H761" i="1" s="1"/>
  <c r="I761" i="1" s="1"/>
  <c r="H762" i="1" s="1"/>
  <c r="I762" i="1" s="1"/>
  <c r="H763" i="1" s="1"/>
  <c r="I763" i="1" s="1"/>
  <c r="H764" i="1" s="1"/>
  <c r="I764" i="1" s="1"/>
  <c r="H765" i="1" s="1"/>
  <c r="I765" i="1" s="1"/>
  <c r="H766" i="1" s="1"/>
  <c r="I766" i="1" s="1"/>
  <c r="H767" i="1" s="1"/>
  <c r="I767" i="1" s="1"/>
  <c r="H768" i="1" s="1"/>
  <c r="I768" i="1" s="1"/>
  <c r="H769" i="1" s="1"/>
  <c r="I769" i="1" s="1"/>
  <c r="H770" i="1" s="1"/>
  <c r="I770" i="1" s="1"/>
  <c r="H771" i="1" s="1"/>
  <c r="I771" i="1" s="1"/>
  <c r="H772" i="1" s="1"/>
  <c r="I772" i="1" s="1"/>
  <c r="H773" i="1" s="1"/>
  <c r="I773" i="1" s="1"/>
  <c r="H774" i="1" s="1"/>
  <c r="I774" i="1" s="1"/>
  <c r="H775" i="1" s="1"/>
  <c r="I775" i="1" s="1"/>
  <c r="H776" i="1" s="1"/>
  <c r="I776" i="1" s="1"/>
  <c r="H777" i="1" s="1"/>
  <c r="I777" i="1" s="1"/>
  <c r="H778" i="1" s="1"/>
  <c r="I778" i="1" s="1"/>
  <c r="H779" i="1" s="1"/>
  <c r="I779" i="1" s="1"/>
  <c r="H780" i="1" s="1"/>
  <c r="I780" i="1" s="1"/>
  <c r="H781" i="1" s="1"/>
  <c r="I781" i="1" s="1"/>
  <c r="H782" i="1" s="1"/>
  <c r="I782" i="1" s="1"/>
  <c r="H783" i="1" s="1"/>
  <c r="I783" i="1" s="1"/>
  <c r="H784" i="1" s="1"/>
  <c r="I784" i="1" s="1"/>
  <c r="H785" i="1" s="1"/>
  <c r="I785" i="1" s="1"/>
  <c r="H786" i="1" s="1"/>
  <c r="I786" i="1" s="1"/>
  <c r="H787" i="1" s="1"/>
  <c r="I787" i="1" s="1"/>
  <c r="H788" i="1" s="1"/>
  <c r="I788" i="1" s="1"/>
  <c r="H789" i="1" s="1"/>
  <c r="I789" i="1" s="1"/>
  <c r="H790" i="1" s="1"/>
  <c r="I790" i="1" s="1"/>
  <c r="H791" i="1" s="1"/>
  <c r="I791" i="1" s="1"/>
  <c r="H792" i="1" s="1"/>
  <c r="I792" i="1" s="1"/>
  <c r="H793" i="1" s="1"/>
  <c r="I793" i="1" s="1"/>
  <c r="H794" i="1" s="1"/>
  <c r="I794" i="1" s="1"/>
  <c r="H795" i="1" s="1"/>
  <c r="I795" i="1" s="1"/>
  <c r="H796" i="1" s="1"/>
  <c r="I796" i="1" s="1"/>
  <c r="H797" i="1" s="1"/>
  <c r="I797" i="1" s="1"/>
  <c r="H798" i="1" s="1"/>
  <c r="I798" i="1" s="1"/>
  <c r="H799" i="1" s="1"/>
  <c r="I799" i="1" s="1"/>
  <c r="H800" i="1" s="1"/>
  <c r="I800" i="1" s="1"/>
  <c r="H801" i="1" s="1"/>
  <c r="I801" i="1" s="1"/>
  <c r="H802" i="1" s="1"/>
  <c r="I802" i="1" s="1"/>
  <c r="H803" i="1" s="1"/>
  <c r="I803" i="1" s="1"/>
  <c r="H804" i="1" s="1"/>
  <c r="I804" i="1" s="1"/>
  <c r="H805" i="1" s="1"/>
  <c r="I805" i="1" s="1"/>
  <c r="H806" i="1" s="1"/>
  <c r="I806" i="1" s="1"/>
  <c r="H807" i="1" s="1"/>
  <c r="I807" i="1" s="1"/>
  <c r="H808" i="1" s="1"/>
  <c r="I808" i="1" s="1"/>
  <c r="H809" i="1" s="1"/>
  <c r="I809" i="1" s="1"/>
  <c r="H810" i="1" s="1"/>
  <c r="I810" i="1" s="1"/>
  <c r="H811" i="1" s="1"/>
  <c r="I811" i="1" s="1"/>
  <c r="H812" i="1" s="1"/>
  <c r="I812" i="1" s="1"/>
  <c r="H813" i="1" s="1"/>
  <c r="I813" i="1" s="1"/>
  <c r="H814" i="1" s="1"/>
  <c r="I814" i="1" s="1"/>
  <c r="H815" i="1" s="1"/>
  <c r="I815" i="1" s="1"/>
  <c r="H816" i="1" s="1"/>
  <c r="I816" i="1" s="1"/>
  <c r="H817" i="1" s="1"/>
  <c r="I817" i="1" s="1"/>
  <c r="H818" i="1" s="1"/>
  <c r="I818" i="1" s="1"/>
  <c r="H819" i="1" s="1"/>
  <c r="I819" i="1" s="1"/>
  <c r="H820" i="1" s="1"/>
  <c r="I820" i="1" s="1"/>
  <c r="H821" i="1" s="1"/>
  <c r="I821" i="1" s="1"/>
  <c r="H822" i="1" s="1"/>
  <c r="I822" i="1" s="1"/>
  <c r="H823" i="1" s="1"/>
  <c r="I823" i="1" s="1"/>
  <c r="H824" i="1" s="1"/>
  <c r="I824" i="1" s="1"/>
  <c r="H825" i="1" s="1"/>
  <c r="I825" i="1" s="1"/>
  <c r="H826" i="1" s="1"/>
  <c r="I826" i="1" s="1"/>
  <c r="H827" i="1" s="1"/>
  <c r="I827" i="1" s="1"/>
  <c r="H828" i="1" s="1"/>
  <c r="I828" i="1" s="1"/>
  <c r="H829" i="1" s="1"/>
  <c r="I829" i="1" s="1"/>
  <c r="H830" i="1" s="1"/>
  <c r="I830" i="1" s="1"/>
  <c r="H831" i="1" s="1"/>
  <c r="I831" i="1" s="1"/>
  <c r="H832" i="1" s="1"/>
  <c r="I832" i="1" s="1"/>
  <c r="H833" i="1" s="1"/>
  <c r="I833" i="1" s="1"/>
  <c r="H834" i="1" s="1"/>
  <c r="I834" i="1" s="1"/>
  <c r="H835" i="1" s="1"/>
  <c r="I835" i="1" s="1"/>
  <c r="H836" i="1" s="1"/>
  <c r="I836" i="1" s="1"/>
  <c r="H837" i="1" s="1"/>
  <c r="I837" i="1" s="1"/>
  <c r="H838" i="1" s="1"/>
  <c r="I838" i="1" s="1"/>
  <c r="H839" i="1" s="1"/>
  <c r="I839" i="1" s="1"/>
  <c r="H840" i="1" s="1"/>
  <c r="I840" i="1" s="1"/>
  <c r="H841" i="1" s="1"/>
  <c r="I841" i="1" s="1"/>
  <c r="H842" i="1" s="1"/>
  <c r="I842" i="1" s="1"/>
  <c r="H843" i="1" s="1"/>
  <c r="I843" i="1" s="1"/>
  <c r="H844" i="1" s="1"/>
  <c r="I844" i="1" s="1"/>
  <c r="H845" i="1" s="1"/>
  <c r="I845" i="1" s="1"/>
  <c r="H846" i="1" s="1"/>
  <c r="I846" i="1" s="1"/>
  <c r="H847" i="1" s="1"/>
  <c r="I847" i="1" s="1"/>
  <c r="H848" i="1" s="1"/>
  <c r="I848" i="1" s="1"/>
  <c r="H849" i="1" s="1"/>
  <c r="I849" i="1" s="1"/>
  <c r="H850" i="1" s="1"/>
  <c r="I850" i="1" s="1"/>
  <c r="H851" i="1" s="1"/>
  <c r="I851" i="1" s="1"/>
  <c r="H852" i="1" s="1"/>
  <c r="I852" i="1" s="1"/>
  <c r="H853" i="1" s="1"/>
  <c r="I853" i="1" s="1"/>
  <c r="H854" i="1" s="1"/>
  <c r="I854" i="1" s="1"/>
  <c r="H855" i="1" s="1"/>
  <c r="I855" i="1" s="1"/>
  <c r="H856" i="1" s="1"/>
  <c r="I856" i="1" s="1"/>
  <c r="H857" i="1" s="1"/>
  <c r="I857" i="1" s="1"/>
  <c r="H858" i="1" s="1"/>
  <c r="I858" i="1" s="1"/>
  <c r="H859" i="1" s="1"/>
  <c r="I859" i="1" s="1"/>
  <c r="H860" i="1" s="1"/>
  <c r="I860" i="1" s="1"/>
  <c r="H861" i="1" s="1"/>
  <c r="I861" i="1" s="1"/>
  <c r="H862" i="1" s="1"/>
  <c r="I862" i="1" s="1"/>
  <c r="H863" i="1" s="1"/>
  <c r="I863" i="1" s="1"/>
  <c r="H864" i="1" s="1"/>
  <c r="I864" i="1" s="1"/>
  <c r="H865" i="1" s="1"/>
  <c r="I865" i="1" s="1"/>
  <c r="H866" i="1" s="1"/>
  <c r="I866" i="1" s="1"/>
  <c r="H867" i="1" s="1"/>
  <c r="I867" i="1" s="1"/>
  <c r="H868" i="1" s="1"/>
  <c r="I868" i="1" s="1"/>
  <c r="H869" i="1" s="1"/>
  <c r="I869" i="1" s="1"/>
  <c r="H870" i="1" s="1"/>
  <c r="I870" i="1" s="1"/>
  <c r="H871" i="1" s="1"/>
  <c r="I871" i="1" s="1"/>
  <c r="H872" i="1" s="1"/>
  <c r="I872" i="1" s="1"/>
  <c r="H873" i="1" s="1"/>
  <c r="I873" i="1" s="1"/>
  <c r="H874" i="1" s="1"/>
  <c r="I874" i="1" s="1"/>
  <c r="H875" i="1" s="1"/>
  <c r="I875" i="1" s="1"/>
  <c r="H876" i="1" s="1"/>
  <c r="I876" i="1" s="1"/>
  <c r="H877" i="1" s="1"/>
  <c r="I877" i="1" s="1"/>
  <c r="H878" i="1" s="1"/>
  <c r="I878" i="1" s="1"/>
  <c r="H879" i="1" s="1"/>
  <c r="I879" i="1" s="1"/>
  <c r="H880" i="1" s="1"/>
  <c r="I880" i="1" s="1"/>
  <c r="H881" i="1" s="1"/>
  <c r="I881" i="1" s="1"/>
  <c r="H882" i="1" s="1"/>
  <c r="I882" i="1" s="1"/>
  <c r="H883" i="1" s="1"/>
  <c r="I883" i="1" s="1"/>
  <c r="H884" i="1" s="1"/>
  <c r="I884" i="1" s="1"/>
  <c r="H885" i="1" s="1"/>
  <c r="I885" i="1" s="1"/>
  <c r="H886" i="1" s="1"/>
  <c r="I886" i="1" s="1"/>
  <c r="H887" i="1" s="1"/>
  <c r="I887" i="1" s="1"/>
  <c r="H888" i="1" s="1"/>
  <c r="I888" i="1" s="1"/>
  <c r="H889" i="1" s="1"/>
  <c r="I889" i="1" s="1"/>
  <c r="H890" i="1" s="1"/>
  <c r="I890" i="1" s="1"/>
  <c r="H891" i="1" s="1"/>
  <c r="I891" i="1" s="1"/>
  <c r="H892" i="1" s="1"/>
  <c r="I892" i="1" s="1"/>
  <c r="H893" i="1" s="1"/>
  <c r="I893" i="1" s="1"/>
  <c r="H894" i="1" s="1"/>
  <c r="I894" i="1" s="1"/>
  <c r="H895" i="1" s="1"/>
  <c r="I895" i="1" s="1"/>
  <c r="H896" i="1" s="1"/>
  <c r="I896" i="1" s="1"/>
  <c r="H897" i="1" s="1"/>
  <c r="I897" i="1" s="1"/>
  <c r="H898" i="1" s="1"/>
  <c r="I898" i="1" s="1"/>
  <c r="H899" i="1" s="1"/>
  <c r="I899" i="1" s="1"/>
  <c r="H900" i="1" s="1"/>
  <c r="I900" i="1" s="1"/>
  <c r="H901" i="1" s="1"/>
  <c r="I901" i="1" s="1"/>
  <c r="H902" i="1" s="1"/>
  <c r="I902" i="1" s="1"/>
  <c r="H903" i="1" s="1"/>
  <c r="I903" i="1" s="1"/>
  <c r="H904" i="1" s="1"/>
  <c r="I904" i="1" s="1"/>
  <c r="H905" i="1" s="1"/>
  <c r="I905" i="1" s="1"/>
  <c r="H906" i="1" s="1"/>
  <c r="I906" i="1" s="1"/>
  <c r="H907" i="1" s="1"/>
  <c r="I907" i="1" s="1"/>
  <c r="H908" i="1" s="1"/>
  <c r="I908" i="1" s="1"/>
  <c r="H909" i="1" s="1"/>
  <c r="I909" i="1" s="1"/>
  <c r="H910" i="1" s="1"/>
  <c r="I910" i="1" s="1"/>
  <c r="H911" i="1" s="1"/>
  <c r="I911" i="1" s="1"/>
  <c r="H912" i="1" s="1"/>
  <c r="I912" i="1" s="1"/>
  <c r="H913" i="1" s="1"/>
  <c r="I913" i="1" s="1"/>
  <c r="H914" i="1" s="1"/>
  <c r="I914" i="1" s="1"/>
  <c r="H915" i="1" s="1"/>
  <c r="I915" i="1" s="1"/>
  <c r="H916" i="1" s="1"/>
  <c r="I916" i="1" s="1"/>
  <c r="H917" i="1" s="1"/>
  <c r="I917" i="1" s="1"/>
  <c r="H918" i="1" s="1"/>
  <c r="I918" i="1" s="1"/>
  <c r="H919" i="1" s="1"/>
  <c r="I919" i="1" s="1"/>
  <c r="H920" i="1" s="1"/>
  <c r="I920" i="1" s="1"/>
  <c r="H921" i="1" s="1"/>
  <c r="I921" i="1" s="1"/>
  <c r="H922" i="1" s="1"/>
  <c r="I922" i="1" s="1"/>
  <c r="H923" i="1" s="1"/>
  <c r="I923" i="1" s="1"/>
  <c r="H924" i="1" s="1"/>
  <c r="I924" i="1" s="1"/>
  <c r="H925" i="1" s="1"/>
  <c r="I925" i="1" s="1"/>
  <c r="H926" i="1" s="1"/>
  <c r="I926" i="1" s="1"/>
  <c r="H927" i="1" s="1"/>
  <c r="I927" i="1" s="1"/>
  <c r="H928" i="1" s="1"/>
  <c r="I928" i="1" s="1"/>
  <c r="H929" i="1" s="1"/>
  <c r="I929" i="1" s="1"/>
  <c r="H930" i="1" s="1"/>
  <c r="I930" i="1" s="1"/>
  <c r="H931" i="1" s="1"/>
  <c r="I931" i="1" s="1"/>
  <c r="H932" i="1" s="1"/>
  <c r="I932" i="1" s="1"/>
  <c r="H933" i="1" s="1"/>
  <c r="I933" i="1" s="1"/>
  <c r="H934" i="1" s="1"/>
  <c r="I934" i="1" s="1"/>
  <c r="H935" i="1" s="1"/>
  <c r="I935" i="1" s="1"/>
  <c r="H936" i="1" s="1"/>
  <c r="I936" i="1" s="1"/>
  <c r="H937" i="1" s="1"/>
  <c r="I937" i="1" s="1"/>
  <c r="H938" i="1" s="1"/>
  <c r="I938" i="1" s="1"/>
  <c r="H939" i="1" s="1"/>
  <c r="I939" i="1" s="1"/>
  <c r="H940" i="1" s="1"/>
  <c r="I940" i="1" s="1"/>
  <c r="H941" i="1" s="1"/>
  <c r="I941" i="1" s="1"/>
  <c r="H942" i="1" s="1"/>
  <c r="I942" i="1" s="1"/>
  <c r="H943" i="1" s="1"/>
  <c r="I943" i="1" s="1"/>
  <c r="H944" i="1" s="1"/>
  <c r="I944" i="1" s="1"/>
  <c r="H945" i="1" s="1"/>
  <c r="I945" i="1" s="1"/>
  <c r="H946" i="1" s="1"/>
  <c r="I946" i="1" s="1"/>
  <c r="H947" i="1" s="1"/>
  <c r="I947" i="1" s="1"/>
  <c r="H948" i="1" s="1"/>
  <c r="I948" i="1" s="1"/>
  <c r="H949" i="1" s="1"/>
  <c r="I949" i="1" s="1"/>
  <c r="H950" i="1" s="1"/>
  <c r="I950" i="1" s="1"/>
  <c r="H951" i="1" s="1"/>
  <c r="I951" i="1" s="1"/>
  <c r="H952" i="1" s="1"/>
  <c r="I952" i="1" s="1"/>
  <c r="H953" i="1" s="1"/>
  <c r="I953" i="1" s="1"/>
  <c r="H954" i="1" s="1"/>
  <c r="I954" i="1" s="1"/>
  <c r="H955" i="1" s="1"/>
  <c r="I955" i="1" s="1"/>
  <c r="H956" i="1" s="1"/>
  <c r="I956" i="1" s="1"/>
  <c r="H957" i="1" s="1"/>
  <c r="I957" i="1" s="1"/>
  <c r="H958" i="1" s="1"/>
  <c r="I958" i="1" s="1"/>
  <c r="H959" i="1" s="1"/>
  <c r="I959" i="1" s="1"/>
  <c r="H960" i="1" s="1"/>
  <c r="I960" i="1" s="1"/>
  <c r="H961" i="1" s="1"/>
  <c r="I961" i="1" s="1"/>
  <c r="H962" i="1" s="1"/>
  <c r="I962" i="1" s="1"/>
  <c r="H963" i="1" s="1"/>
  <c r="I963" i="1" s="1"/>
  <c r="H964" i="1" s="1"/>
  <c r="I964" i="1" s="1"/>
  <c r="H965" i="1" s="1"/>
  <c r="I965" i="1" s="1"/>
  <c r="H966" i="1" s="1"/>
  <c r="I966" i="1" s="1"/>
  <c r="H967" i="1" s="1"/>
  <c r="I967" i="1" s="1"/>
  <c r="H968" i="1" s="1"/>
  <c r="I968" i="1" s="1"/>
  <c r="H969" i="1" s="1"/>
  <c r="I969" i="1" s="1"/>
  <c r="H970" i="1" s="1"/>
  <c r="I970" i="1" s="1"/>
  <c r="H971" i="1" s="1"/>
  <c r="I971" i="1" s="1"/>
  <c r="H972" i="1" s="1"/>
  <c r="I972" i="1" s="1"/>
  <c r="H973" i="1" s="1"/>
  <c r="I973" i="1" s="1"/>
  <c r="H974" i="1" s="1"/>
  <c r="I974" i="1" s="1"/>
  <c r="H975" i="1" s="1"/>
  <c r="I975" i="1" s="1"/>
  <c r="H976" i="1" s="1"/>
  <c r="I976" i="1" s="1"/>
  <c r="H977" i="1" s="1"/>
  <c r="I977" i="1" s="1"/>
  <c r="H978" i="1" s="1"/>
  <c r="I978" i="1" s="1"/>
  <c r="H979" i="1" s="1"/>
  <c r="I979" i="1" s="1"/>
  <c r="H980" i="1" s="1"/>
  <c r="I980" i="1" s="1"/>
  <c r="H981" i="1" s="1"/>
  <c r="I981" i="1" s="1"/>
  <c r="H982" i="1" s="1"/>
  <c r="I982" i="1" s="1"/>
  <c r="H983" i="1" s="1"/>
  <c r="I983" i="1" s="1"/>
  <c r="H984" i="1" s="1"/>
  <c r="I984" i="1" s="1"/>
  <c r="H985" i="1" s="1"/>
  <c r="I985" i="1" s="1"/>
  <c r="H986" i="1" s="1"/>
  <c r="I986" i="1" s="1"/>
  <c r="H987" i="1" s="1"/>
  <c r="I987" i="1" s="1"/>
  <c r="H988" i="1" s="1"/>
  <c r="I988" i="1" s="1"/>
  <c r="H989" i="1" s="1"/>
  <c r="I989" i="1" s="1"/>
  <c r="H990" i="1" s="1"/>
  <c r="I990" i="1" s="1"/>
  <c r="H991" i="1" s="1"/>
  <c r="I991" i="1" s="1"/>
  <c r="H992" i="1" s="1"/>
  <c r="I992" i="1" s="1"/>
  <c r="H993" i="1" s="1"/>
  <c r="I993" i="1" s="1"/>
  <c r="H994" i="1" s="1"/>
  <c r="I994" i="1" s="1"/>
  <c r="H995" i="1" s="1"/>
  <c r="I995" i="1" s="1"/>
  <c r="H996" i="1" s="1"/>
  <c r="I996" i="1" s="1"/>
  <c r="H997" i="1" s="1"/>
  <c r="I997" i="1" s="1"/>
  <c r="H998" i="1" s="1"/>
  <c r="I998" i="1" s="1"/>
  <c r="H999" i="1" s="1"/>
  <c r="I999" i="1" s="1"/>
  <c r="H1000" i="1" s="1"/>
  <c r="I1000" i="1" s="1"/>
  <c r="H1001" i="1" s="1"/>
  <c r="I1001" i="1" s="1"/>
  <c r="H1002" i="1" s="1"/>
  <c r="I1002" i="1" s="1"/>
  <c r="H1003" i="1" s="1"/>
  <c r="I1003" i="1" s="1"/>
  <c r="H1004" i="1" s="1"/>
  <c r="I1004" i="1" s="1"/>
  <c r="H1005" i="1" s="1"/>
  <c r="I1005" i="1" s="1"/>
  <c r="H1006" i="1" s="1"/>
  <c r="I1006" i="1" s="1"/>
  <c r="H1007" i="1" s="1"/>
  <c r="I1007" i="1" s="1"/>
  <c r="H1008" i="1" s="1"/>
  <c r="I1008" i="1" s="1"/>
  <c r="H1009" i="1" s="1"/>
  <c r="I1009" i="1" s="1"/>
  <c r="H1010" i="1" s="1"/>
  <c r="I1010" i="1" s="1"/>
  <c r="H1011" i="1" s="1"/>
  <c r="I1011" i="1" s="1"/>
  <c r="H1012" i="1" s="1"/>
  <c r="I1012" i="1" s="1"/>
  <c r="H1013" i="1" s="1"/>
  <c r="I1013" i="1" s="1"/>
  <c r="H1014" i="1" s="1"/>
  <c r="I1014" i="1" s="1"/>
  <c r="H1015" i="1" s="1"/>
  <c r="I1015" i="1" s="1"/>
  <c r="H1016" i="1" s="1"/>
  <c r="I1016" i="1" s="1"/>
  <c r="H1017" i="1" s="1"/>
  <c r="I1017" i="1" s="1"/>
  <c r="D32" i="1" l="1"/>
  <c r="A31" i="1"/>
  <c r="D33" i="1" l="1"/>
  <c r="A32" i="1"/>
  <c r="D34" i="1" l="1"/>
  <c r="A33" i="1"/>
  <c r="D35" i="1" l="1"/>
  <c r="A34" i="1"/>
  <c r="D36" i="1" l="1"/>
  <c r="A35" i="1"/>
  <c r="D37" i="1" l="1"/>
  <c r="A36" i="1"/>
  <c r="D38" i="1" l="1"/>
  <c r="A37" i="1"/>
  <c r="D39" i="1" l="1"/>
  <c r="A38" i="1"/>
  <c r="D40" i="1" l="1"/>
  <c r="A39" i="1"/>
  <c r="D41" i="1" l="1"/>
  <c r="A40" i="1"/>
  <c r="D42" i="1" l="1"/>
  <c r="A41" i="1"/>
  <c r="D43" i="1" l="1"/>
  <c r="A42" i="1"/>
  <c r="D44" i="1" l="1"/>
  <c r="A43" i="1"/>
  <c r="D45" i="1" l="1"/>
  <c r="A44" i="1"/>
  <c r="D46" i="1" l="1"/>
  <c r="A45" i="1"/>
  <c r="D47" i="1" l="1"/>
  <c r="A46" i="1"/>
  <c r="D48" i="1" l="1"/>
  <c r="A47" i="1"/>
  <c r="D49" i="1" l="1"/>
  <c r="A48" i="1"/>
  <c r="D50" i="1" l="1"/>
  <c r="A49" i="1"/>
  <c r="D51" i="1" l="1"/>
  <c r="A50" i="1"/>
  <c r="D52" i="1" l="1"/>
  <c r="A51" i="1"/>
  <c r="D53" i="1" l="1"/>
  <c r="A52" i="1"/>
  <c r="D54" i="1" l="1"/>
  <c r="A53" i="1"/>
  <c r="D55" i="1" l="1"/>
  <c r="A54" i="1"/>
  <c r="D56" i="1" l="1"/>
  <c r="A55" i="1"/>
  <c r="D57" i="1" l="1"/>
  <c r="A56" i="1"/>
  <c r="D58" i="1" l="1"/>
  <c r="A57" i="1"/>
  <c r="D59" i="1" l="1"/>
  <c r="A58" i="1"/>
  <c r="D60" i="1" l="1"/>
  <c r="A59" i="1"/>
  <c r="D61" i="1" l="1"/>
  <c r="A60" i="1"/>
  <c r="D62" i="1" l="1"/>
  <c r="A61" i="1"/>
  <c r="D63" i="1" l="1"/>
  <c r="A62" i="1"/>
  <c r="D64" i="1" l="1"/>
  <c r="A63" i="1"/>
  <c r="D65" i="1" l="1"/>
  <c r="A64" i="1"/>
  <c r="D66" i="1" l="1"/>
  <c r="A65" i="1"/>
  <c r="D67" i="1" l="1"/>
  <c r="A66" i="1"/>
  <c r="D68" i="1" l="1"/>
  <c r="A67" i="1"/>
  <c r="D69" i="1" l="1"/>
  <c r="A68" i="1"/>
  <c r="D70" i="1" l="1"/>
  <c r="A69" i="1"/>
  <c r="D71" i="1" l="1"/>
  <c r="A70" i="1"/>
  <c r="D72" i="1" l="1"/>
  <c r="A71" i="1"/>
  <c r="D73" i="1" l="1"/>
  <c r="A72" i="1"/>
  <c r="D74" i="1" l="1"/>
  <c r="A73" i="1"/>
  <c r="D75" i="1" l="1"/>
  <c r="A74" i="1"/>
  <c r="D76" i="1" l="1"/>
  <c r="A75" i="1"/>
  <c r="D77" i="1" l="1"/>
  <c r="A76" i="1"/>
  <c r="D78" i="1" l="1"/>
  <c r="A77" i="1"/>
  <c r="D79" i="1" l="1"/>
  <c r="A78" i="1"/>
  <c r="D80" i="1" l="1"/>
  <c r="A79" i="1"/>
  <c r="D81" i="1" l="1"/>
  <c r="A80" i="1"/>
  <c r="D82" i="1" l="1"/>
  <c r="A81" i="1"/>
  <c r="D83" i="1" l="1"/>
  <c r="A82" i="1"/>
  <c r="D84" i="1" l="1"/>
  <c r="A83" i="1"/>
  <c r="D85" i="1" l="1"/>
  <c r="A84" i="1"/>
  <c r="D86" i="1" l="1"/>
  <c r="A85" i="1"/>
  <c r="D87" i="1" l="1"/>
  <c r="A86" i="1"/>
  <c r="D88" i="1" l="1"/>
  <c r="A87" i="1"/>
  <c r="D89" i="1" l="1"/>
  <c r="A88" i="1"/>
  <c r="D90" i="1" l="1"/>
  <c r="A89" i="1"/>
  <c r="D91" i="1" l="1"/>
  <c r="A90" i="1"/>
  <c r="D92" i="1" l="1"/>
  <c r="A91" i="1"/>
  <c r="D93" i="1" l="1"/>
  <c r="A92" i="1"/>
  <c r="D94" i="1" l="1"/>
  <c r="A93" i="1"/>
  <c r="D95" i="1" l="1"/>
  <c r="A94" i="1"/>
  <c r="D96" i="1" l="1"/>
  <c r="A95" i="1"/>
  <c r="D97" i="1" l="1"/>
  <c r="A96" i="1"/>
  <c r="D98" i="1" l="1"/>
  <c r="A97" i="1"/>
  <c r="D99" i="1" l="1"/>
  <c r="A98" i="1"/>
  <c r="D100" i="1" l="1"/>
  <c r="A99" i="1"/>
  <c r="D101" i="1" l="1"/>
  <c r="A100" i="1"/>
  <c r="D102" i="1" l="1"/>
  <c r="A101" i="1"/>
  <c r="D103" i="1" l="1"/>
  <c r="A102" i="1"/>
  <c r="D104" i="1" l="1"/>
  <c r="A103" i="1"/>
  <c r="D105" i="1" l="1"/>
  <c r="A104" i="1"/>
  <c r="D106" i="1" l="1"/>
  <c r="A105" i="1"/>
  <c r="D107" i="1" l="1"/>
  <c r="A106" i="1"/>
  <c r="D108" i="1" l="1"/>
  <c r="A107" i="1"/>
  <c r="D109" i="1" l="1"/>
  <c r="A108" i="1"/>
  <c r="D110" i="1" l="1"/>
  <c r="A109" i="1"/>
  <c r="D111" i="1" l="1"/>
  <c r="A110" i="1"/>
  <c r="D112" i="1" l="1"/>
  <c r="A111" i="1"/>
  <c r="D113" i="1" l="1"/>
  <c r="A112" i="1"/>
  <c r="D114" i="1" l="1"/>
  <c r="A113" i="1"/>
  <c r="D115" i="1" l="1"/>
  <c r="A114" i="1"/>
  <c r="D116" i="1" l="1"/>
  <c r="A115" i="1"/>
  <c r="D117" i="1" l="1"/>
  <c r="A116" i="1"/>
  <c r="D118" i="1" l="1"/>
  <c r="A117" i="1"/>
  <c r="D119" i="1" l="1"/>
  <c r="A118" i="1"/>
  <c r="D120" i="1" l="1"/>
  <c r="A119" i="1"/>
  <c r="D121" i="1" l="1"/>
  <c r="A120" i="1"/>
  <c r="D122" i="1" l="1"/>
  <c r="A121" i="1"/>
  <c r="D123" i="1" l="1"/>
  <c r="A122" i="1"/>
  <c r="D124" i="1" l="1"/>
  <c r="A123" i="1"/>
  <c r="D125" i="1" l="1"/>
  <c r="A124" i="1"/>
  <c r="D126" i="1" l="1"/>
  <c r="A125" i="1"/>
  <c r="D127" i="1" l="1"/>
  <c r="A126" i="1"/>
  <c r="D128" i="1" l="1"/>
  <c r="A127" i="1"/>
  <c r="D129" i="1" l="1"/>
  <c r="A128" i="1"/>
  <c r="D130" i="1" l="1"/>
  <c r="A129" i="1"/>
  <c r="D131" i="1" l="1"/>
  <c r="A130" i="1"/>
  <c r="D132" i="1" l="1"/>
  <c r="A131" i="1"/>
  <c r="D133" i="1" l="1"/>
  <c r="A132" i="1"/>
  <c r="D134" i="1" l="1"/>
  <c r="A133" i="1"/>
  <c r="D135" i="1" l="1"/>
  <c r="A134" i="1"/>
  <c r="D136" i="1" l="1"/>
  <c r="A135" i="1"/>
  <c r="D137" i="1" l="1"/>
  <c r="A136" i="1"/>
  <c r="D138" i="1" l="1"/>
  <c r="A137" i="1"/>
  <c r="D139" i="1" l="1"/>
  <c r="A138" i="1"/>
  <c r="D140" i="1" l="1"/>
  <c r="A139" i="1"/>
  <c r="D141" i="1" l="1"/>
  <c r="A140" i="1"/>
  <c r="D142" i="1" l="1"/>
  <c r="A141" i="1"/>
  <c r="D143" i="1" l="1"/>
  <c r="A142" i="1"/>
  <c r="D144" i="1" l="1"/>
  <c r="A143" i="1"/>
  <c r="D145" i="1" l="1"/>
  <c r="A144" i="1"/>
  <c r="D146" i="1" l="1"/>
  <c r="A145" i="1"/>
  <c r="D147" i="1" l="1"/>
  <c r="A146" i="1"/>
  <c r="D148" i="1" l="1"/>
  <c r="A147" i="1"/>
  <c r="D149" i="1" l="1"/>
  <c r="A148" i="1"/>
  <c r="D150" i="1" l="1"/>
  <c r="A149" i="1"/>
  <c r="D151" i="1" l="1"/>
  <c r="A150" i="1"/>
  <c r="D152" i="1" l="1"/>
  <c r="A151" i="1"/>
  <c r="D153" i="1" l="1"/>
  <c r="A152" i="1"/>
  <c r="D154" i="1" l="1"/>
  <c r="A153" i="1"/>
  <c r="D155" i="1" l="1"/>
  <c r="A154" i="1"/>
  <c r="D156" i="1" l="1"/>
  <c r="A155" i="1"/>
  <c r="D157" i="1" l="1"/>
  <c r="A156" i="1"/>
  <c r="D158" i="1" l="1"/>
  <c r="A157" i="1"/>
  <c r="D159" i="1" l="1"/>
  <c r="A158" i="1"/>
  <c r="D160" i="1" l="1"/>
  <c r="A159" i="1"/>
  <c r="D161" i="1" l="1"/>
  <c r="A160" i="1"/>
  <c r="D162" i="1" l="1"/>
  <c r="A161" i="1"/>
  <c r="D163" i="1" l="1"/>
  <c r="A162" i="1"/>
  <c r="D164" i="1" l="1"/>
  <c r="A163" i="1"/>
  <c r="D165" i="1" l="1"/>
  <c r="A164" i="1"/>
  <c r="D166" i="1" l="1"/>
  <c r="A165" i="1"/>
  <c r="D167" i="1" l="1"/>
  <c r="A166" i="1"/>
  <c r="D168" i="1" l="1"/>
  <c r="A167" i="1"/>
  <c r="D169" i="1" l="1"/>
  <c r="A168" i="1"/>
  <c r="D170" i="1" l="1"/>
  <c r="A169" i="1"/>
  <c r="D171" i="1" l="1"/>
  <c r="A170" i="1"/>
  <c r="D172" i="1" l="1"/>
  <c r="A171" i="1"/>
  <c r="D173" i="1" l="1"/>
  <c r="A172" i="1"/>
  <c r="D174" i="1" l="1"/>
  <c r="A173" i="1"/>
  <c r="D175" i="1" l="1"/>
  <c r="A174" i="1"/>
  <c r="D176" i="1" l="1"/>
  <c r="A175" i="1"/>
  <c r="D177" i="1" l="1"/>
  <c r="A176" i="1"/>
  <c r="D178" i="1" l="1"/>
  <c r="A177" i="1"/>
  <c r="D179" i="1" l="1"/>
  <c r="A178" i="1"/>
  <c r="D180" i="1" l="1"/>
  <c r="A179" i="1"/>
  <c r="D181" i="1" l="1"/>
  <c r="A180" i="1"/>
  <c r="D182" i="1" l="1"/>
  <c r="A181" i="1"/>
  <c r="D183" i="1" l="1"/>
  <c r="A182" i="1"/>
  <c r="D184" i="1" l="1"/>
  <c r="A183" i="1"/>
  <c r="D185" i="1" l="1"/>
  <c r="A184" i="1"/>
  <c r="D186" i="1" l="1"/>
  <c r="A185" i="1"/>
  <c r="D187" i="1" l="1"/>
  <c r="A186" i="1"/>
  <c r="D188" i="1" l="1"/>
  <c r="A187" i="1"/>
  <c r="D189" i="1" l="1"/>
  <c r="A188" i="1"/>
  <c r="D190" i="1" l="1"/>
  <c r="A189" i="1"/>
  <c r="D191" i="1" l="1"/>
  <c r="A190" i="1"/>
  <c r="D192" i="1" l="1"/>
  <c r="A191" i="1"/>
  <c r="D193" i="1" l="1"/>
  <c r="A192" i="1"/>
  <c r="D194" i="1" l="1"/>
  <c r="A193" i="1"/>
  <c r="D195" i="1" l="1"/>
  <c r="A194" i="1"/>
  <c r="D196" i="1" l="1"/>
  <c r="A195" i="1"/>
  <c r="D197" i="1" l="1"/>
  <c r="A196" i="1"/>
  <c r="D198" i="1" l="1"/>
  <c r="A197" i="1"/>
  <c r="D199" i="1" l="1"/>
  <c r="A198" i="1"/>
  <c r="D200" i="1" l="1"/>
  <c r="A199" i="1"/>
  <c r="D201" i="1" l="1"/>
  <c r="A200" i="1"/>
  <c r="D202" i="1" l="1"/>
  <c r="A201" i="1"/>
  <c r="D203" i="1" l="1"/>
  <c r="A202" i="1"/>
  <c r="D204" i="1" l="1"/>
  <c r="A203" i="1"/>
  <c r="D205" i="1" l="1"/>
  <c r="A204" i="1"/>
  <c r="D206" i="1" l="1"/>
  <c r="A205" i="1"/>
  <c r="D207" i="1" l="1"/>
  <c r="A206" i="1"/>
  <c r="D208" i="1" l="1"/>
  <c r="A207" i="1"/>
  <c r="D209" i="1" l="1"/>
  <c r="A208" i="1"/>
  <c r="D210" i="1" l="1"/>
  <c r="A209" i="1"/>
  <c r="D211" i="1" l="1"/>
  <c r="A210" i="1"/>
  <c r="D212" i="1" l="1"/>
  <c r="A211" i="1"/>
  <c r="D213" i="1" l="1"/>
  <c r="A212" i="1"/>
  <c r="D214" i="1" l="1"/>
  <c r="A213" i="1"/>
  <c r="D215" i="1" l="1"/>
  <c r="A214" i="1"/>
  <c r="D216" i="1" l="1"/>
  <c r="A215" i="1"/>
  <c r="D217" i="1" l="1"/>
  <c r="A216" i="1"/>
  <c r="D218" i="1" l="1"/>
  <c r="A217" i="1"/>
  <c r="D219" i="1" l="1"/>
  <c r="A218" i="1"/>
  <c r="D220" i="1" l="1"/>
  <c r="A219" i="1"/>
  <c r="D221" i="1" l="1"/>
  <c r="A220" i="1"/>
  <c r="D222" i="1" l="1"/>
  <c r="A221" i="1"/>
  <c r="D223" i="1" l="1"/>
  <c r="A222" i="1"/>
  <c r="D224" i="1" l="1"/>
  <c r="A223" i="1"/>
  <c r="D225" i="1" l="1"/>
  <c r="A224" i="1"/>
  <c r="D226" i="1" l="1"/>
  <c r="A225" i="1"/>
  <c r="D227" i="1" l="1"/>
  <c r="A226" i="1"/>
  <c r="D228" i="1" l="1"/>
  <c r="A227" i="1"/>
  <c r="D229" i="1" l="1"/>
  <c r="A228" i="1"/>
  <c r="D230" i="1" l="1"/>
  <c r="A229" i="1"/>
  <c r="D231" i="1" l="1"/>
  <c r="A230" i="1"/>
  <c r="D232" i="1" l="1"/>
  <c r="A231" i="1"/>
  <c r="D233" i="1" l="1"/>
  <c r="A232" i="1"/>
  <c r="D234" i="1" l="1"/>
  <c r="A233" i="1"/>
  <c r="D235" i="1" l="1"/>
  <c r="A234" i="1"/>
  <c r="D236" i="1" l="1"/>
  <c r="A235" i="1"/>
  <c r="D237" i="1" l="1"/>
  <c r="A236" i="1"/>
  <c r="D238" i="1" l="1"/>
  <c r="A237" i="1"/>
  <c r="D239" i="1" l="1"/>
  <c r="A238" i="1"/>
  <c r="D240" i="1" l="1"/>
  <c r="A239" i="1"/>
  <c r="D241" i="1" l="1"/>
  <c r="A240" i="1"/>
  <c r="D242" i="1" l="1"/>
  <c r="A241" i="1"/>
  <c r="D243" i="1" l="1"/>
  <c r="A242" i="1"/>
  <c r="D244" i="1" l="1"/>
  <c r="A243" i="1"/>
  <c r="D245" i="1" l="1"/>
  <c r="A244" i="1"/>
  <c r="D246" i="1" l="1"/>
  <c r="A245" i="1"/>
  <c r="D247" i="1" l="1"/>
  <c r="A246" i="1"/>
  <c r="D248" i="1" l="1"/>
  <c r="A247" i="1"/>
  <c r="D249" i="1" l="1"/>
  <c r="A248" i="1"/>
  <c r="D250" i="1" l="1"/>
  <c r="A249" i="1"/>
  <c r="D251" i="1" l="1"/>
  <c r="A250" i="1"/>
  <c r="D252" i="1" l="1"/>
  <c r="A251" i="1"/>
  <c r="D253" i="1" l="1"/>
  <c r="A252" i="1"/>
  <c r="D254" i="1" l="1"/>
  <c r="A253" i="1"/>
  <c r="D255" i="1" l="1"/>
  <c r="A254" i="1"/>
  <c r="D256" i="1" l="1"/>
  <c r="A255" i="1"/>
  <c r="D257" i="1" l="1"/>
  <c r="A256" i="1"/>
  <c r="D258" i="1" l="1"/>
  <c r="A257" i="1"/>
  <c r="D259" i="1" l="1"/>
  <c r="A258" i="1"/>
  <c r="D260" i="1" l="1"/>
  <c r="A259" i="1"/>
  <c r="D261" i="1" l="1"/>
  <c r="A260" i="1"/>
  <c r="D262" i="1" l="1"/>
  <c r="A261" i="1"/>
  <c r="D263" i="1" l="1"/>
  <c r="A262" i="1"/>
  <c r="D264" i="1" l="1"/>
  <c r="A263" i="1"/>
  <c r="D265" i="1" l="1"/>
  <c r="A264" i="1"/>
  <c r="D266" i="1" l="1"/>
  <c r="A265" i="1"/>
  <c r="D267" i="1" l="1"/>
  <c r="A266" i="1"/>
  <c r="D268" i="1" l="1"/>
  <c r="A267" i="1"/>
  <c r="D269" i="1" l="1"/>
  <c r="A268" i="1"/>
  <c r="D270" i="1" l="1"/>
  <c r="A269" i="1"/>
  <c r="D271" i="1" l="1"/>
  <c r="A270" i="1"/>
  <c r="D272" i="1" l="1"/>
  <c r="A271" i="1"/>
  <c r="D273" i="1" l="1"/>
  <c r="A272" i="1"/>
  <c r="D274" i="1" l="1"/>
  <c r="A273" i="1"/>
  <c r="D275" i="1" l="1"/>
  <c r="A274" i="1"/>
  <c r="D276" i="1" l="1"/>
  <c r="A275" i="1"/>
  <c r="D277" i="1" l="1"/>
  <c r="A276" i="1"/>
  <c r="D278" i="1" l="1"/>
  <c r="A277" i="1"/>
  <c r="D279" i="1" l="1"/>
  <c r="A278" i="1"/>
  <c r="D280" i="1" l="1"/>
  <c r="A279" i="1"/>
  <c r="D281" i="1" l="1"/>
  <c r="A280" i="1"/>
  <c r="D282" i="1" l="1"/>
  <c r="A281" i="1"/>
  <c r="D283" i="1" l="1"/>
  <c r="A282" i="1"/>
  <c r="D284" i="1" l="1"/>
  <c r="A283" i="1"/>
  <c r="D285" i="1" l="1"/>
  <c r="A284" i="1"/>
  <c r="D286" i="1" l="1"/>
  <c r="A285" i="1"/>
  <c r="D287" i="1" l="1"/>
  <c r="A286" i="1"/>
  <c r="D288" i="1" l="1"/>
  <c r="A287" i="1"/>
  <c r="D289" i="1" l="1"/>
  <c r="A288" i="1"/>
  <c r="D290" i="1" l="1"/>
  <c r="A289" i="1"/>
  <c r="D291" i="1" l="1"/>
  <c r="A290" i="1"/>
  <c r="D292" i="1" l="1"/>
  <c r="A291" i="1"/>
  <c r="D293" i="1" l="1"/>
  <c r="A292" i="1"/>
  <c r="D294" i="1" l="1"/>
  <c r="A293" i="1"/>
  <c r="D295" i="1" l="1"/>
  <c r="A294" i="1"/>
  <c r="D296" i="1" l="1"/>
  <c r="A295" i="1"/>
  <c r="D297" i="1" l="1"/>
  <c r="A296" i="1"/>
  <c r="D298" i="1" l="1"/>
  <c r="A297" i="1"/>
  <c r="D299" i="1" l="1"/>
  <c r="A298" i="1"/>
  <c r="D300" i="1" l="1"/>
  <c r="A299" i="1"/>
  <c r="D301" i="1" l="1"/>
  <c r="A300" i="1"/>
  <c r="D302" i="1" l="1"/>
  <c r="A301" i="1"/>
  <c r="D303" i="1" l="1"/>
  <c r="A302" i="1"/>
  <c r="D304" i="1" l="1"/>
  <c r="A303" i="1"/>
  <c r="D305" i="1" l="1"/>
  <c r="A304" i="1"/>
  <c r="D306" i="1" l="1"/>
  <c r="A305" i="1"/>
  <c r="D307" i="1" l="1"/>
  <c r="A306" i="1"/>
  <c r="D308" i="1" l="1"/>
  <c r="A307" i="1"/>
  <c r="D309" i="1" l="1"/>
  <c r="A308" i="1"/>
  <c r="D310" i="1" l="1"/>
  <c r="A309" i="1"/>
  <c r="D311" i="1" l="1"/>
  <c r="A310" i="1"/>
  <c r="D312" i="1" l="1"/>
  <c r="A311" i="1"/>
  <c r="D313" i="1" l="1"/>
  <c r="A312" i="1"/>
  <c r="D314" i="1" l="1"/>
  <c r="A313" i="1"/>
  <c r="D315" i="1" l="1"/>
  <c r="A314" i="1"/>
  <c r="D316" i="1" l="1"/>
  <c r="A315" i="1"/>
  <c r="D317" i="1" l="1"/>
  <c r="A316" i="1"/>
  <c r="D318" i="1" l="1"/>
  <c r="A317" i="1"/>
  <c r="D319" i="1" l="1"/>
  <c r="A318" i="1"/>
  <c r="D320" i="1" l="1"/>
  <c r="A319" i="1"/>
  <c r="D321" i="1" l="1"/>
  <c r="A320" i="1"/>
  <c r="D322" i="1" l="1"/>
  <c r="A321" i="1"/>
  <c r="D323" i="1" l="1"/>
  <c r="A322" i="1"/>
  <c r="D324" i="1" l="1"/>
  <c r="A323" i="1"/>
  <c r="D325" i="1" l="1"/>
  <c r="A324" i="1"/>
  <c r="D326" i="1" l="1"/>
  <c r="A325" i="1"/>
  <c r="D327" i="1" l="1"/>
  <c r="A326" i="1"/>
  <c r="D328" i="1" l="1"/>
  <c r="A327" i="1"/>
  <c r="D329" i="1" l="1"/>
  <c r="A328" i="1"/>
  <c r="D330" i="1" l="1"/>
  <c r="A329" i="1"/>
  <c r="D331" i="1" l="1"/>
  <c r="A330" i="1"/>
  <c r="D332" i="1" l="1"/>
  <c r="A331" i="1"/>
  <c r="D333" i="1" l="1"/>
  <c r="A332" i="1"/>
  <c r="D334" i="1" l="1"/>
  <c r="A333" i="1"/>
  <c r="D335" i="1" l="1"/>
  <c r="A334" i="1"/>
  <c r="D336" i="1" l="1"/>
  <c r="A335" i="1"/>
  <c r="D337" i="1" l="1"/>
  <c r="A336" i="1"/>
  <c r="D338" i="1" l="1"/>
  <c r="A337" i="1"/>
  <c r="D339" i="1" l="1"/>
  <c r="A338" i="1"/>
  <c r="D340" i="1" l="1"/>
  <c r="A339" i="1"/>
  <c r="D341" i="1" l="1"/>
  <c r="A340" i="1"/>
  <c r="D342" i="1" l="1"/>
  <c r="A341" i="1"/>
  <c r="D343" i="1" l="1"/>
  <c r="A342" i="1"/>
  <c r="D344" i="1" l="1"/>
  <c r="A343" i="1"/>
  <c r="D345" i="1" l="1"/>
  <c r="A344" i="1"/>
  <c r="D346" i="1" l="1"/>
  <c r="A345" i="1"/>
  <c r="D347" i="1" l="1"/>
  <c r="A346" i="1"/>
  <c r="D348" i="1" l="1"/>
  <c r="A347" i="1"/>
  <c r="D349" i="1" l="1"/>
  <c r="A348" i="1"/>
  <c r="D350" i="1" l="1"/>
  <c r="A349" i="1"/>
  <c r="D351" i="1" l="1"/>
  <c r="A350" i="1"/>
  <c r="D352" i="1" l="1"/>
  <c r="A351" i="1"/>
  <c r="D353" i="1" l="1"/>
  <c r="A352" i="1"/>
  <c r="D354" i="1" l="1"/>
  <c r="A353" i="1"/>
  <c r="D355" i="1" l="1"/>
  <c r="A354" i="1"/>
  <c r="D356" i="1" l="1"/>
  <c r="A355" i="1"/>
  <c r="D357" i="1" l="1"/>
  <c r="A356" i="1"/>
  <c r="D358" i="1" l="1"/>
  <c r="A357" i="1"/>
  <c r="D359" i="1" l="1"/>
  <c r="A358" i="1"/>
  <c r="D360" i="1" l="1"/>
  <c r="A359" i="1"/>
  <c r="D361" i="1" l="1"/>
  <c r="A360" i="1"/>
  <c r="D362" i="1" l="1"/>
  <c r="A361" i="1"/>
  <c r="D363" i="1" l="1"/>
  <c r="A362" i="1"/>
  <c r="D364" i="1" l="1"/>
  <c r="A363" i="1"/>
  <c r="D365" i="1" l="1"/>
  <c r="A364" i="1"/>
  <c r="D366" i="1" l="1"/>
  <c r="A365" i="1"/>
  <c r="D367" i="1" l="1"/>
  <c r="A366" i="1"/>
  <c r="D368" i="1" l="1"/>
  <c r="A367" i="1"/>
  <c r="D369" i="1" l="1"/>
  <c r="A368" i="1"/>
  <c r="D370" i="1" l="1"/>
  <c r="A369" i="1"/>
  <c r="D371" i="1" l="1"/>
  <c r="A370" i="1"/>
  <c r="D372" i="1" l="1"/>
  <c r="A371" i="1"/>
  <c r="D373" i="1" l="1"/>
  <c r="A372" i="1"/>
  <c r="D374" i="1" l="1"/>
  <c r="A373" i="1"/>
  <c r="D375" i="1" l="1"/>
  <c r="A374" i="1"/>
  <c r="D376" i="1" l="1"/>
  <c r="A375" i="1"/>
  <c r="D377" i="1" l="1"/>
  <c r="A376" i="1"/>
  <c r="D378" i="1" l="1"/>
  <c r="D379" i="1" s="1"/>
  <c r="A377" i="1"/>
  <c r="A379" i="1" l="1"/>
  <c r="D380" i="1"/>
  <c r="A378" i="1"/>
  <c r="A380" i="1" l="1"/>
  <c r="D381" i="1"/>
  <c r="A381" i="1" l="1"/>
  <c r="D382" i="1"/>
  <c r="A382" i="1" l="1"/>
  <c r="D383" i="1"/>
  <c r="A383" i="1" l="1"/>
  <c r="D384" i="1"/>
  <c r="A384" i="1" l="1"/>
  <c r="D385" i="1"/>
  <c r="A385" i="1" l="1"/>
  <c r="D386" i="1"/>
  <c r="A386" i="1" l="1"/>
  <c r="D387" i="1"/>
  <c r="A387" i="1" l="1"/>
  <c r="D388" i="1"/>
  <c r="A388" i="1" l="1"/>
  <c r="D389" i="1"/>
  <c r="A389" i="1" l="1"/>
  <c r="D390" i="1"/>
  <c r="A390" i="1" l="1"/>
  <c r="D391" i="1"/>
  <c r="A391" i="1" l="1"/>
  <c r="D392" i="1"/>
  <c r="A392" i="1" l="1"/>
  <c r="D393" i="1"/>
  <c r="A393" i="1" l="1"/>
  <c r="D394" i="1"/>
  <c r="A394" i="1" l="1"/>
  <c r="D395" i="1"/>
  <c r="A395" i="1" l="1"/>
  <c r="D396" i="1"/>
  <c r="A396" i="1" l="1"/>
  <c r="D397" i="1"/>
  <c r="A397" i="1" l="1"/>
  <c r="D398" i="1"/>
  <c r="A398" i="1" l="1"/>
  <c r="D399" i="1"/>
  <c r="A399" i="1" l="1"/>
  <c r="D400" i="1"/>
  <c r="A400" i="1" l="1"/>
  <c r="D401" i="1"/>
  <c r="A401" i="1" l="1"/>
  <c r="D402" i="1"/>
  <c r="A402" i="1" l="1"/>
  <c r="D403" i="1"/>
  <c r="A403" i="1" l="1"/>
  <c r="D404" i="1"/>
  <c r="A404" i="1" l="1"/>
  <c r="D405" i="1"/>
  <c r="A405" i="1" l="1"/>
  <c r="D406" i="1"/>
  <c r="A406" i="1" l="1"/>
  <c r="D407" i="1"/>
  <c r="A407" i="1" l="1"/>
  <c r="D408" i="1"/>
  <c r="A408" i="1" l="1"/>
  <c r="D409" i="1"/>
  <c r="A409" i="1" l="1"/>
  <c r="D410" i="1"/>
  <c r="A410" i="1" l="1"/>
  <c r="D411" i="1"/>
  <c r="A411" i="1" l="1"/>
  <c r="D412" i="1"/>
  <c r="A412" i="1" l="1"/>
  <c r="D413" i="1"/>
  <c r="A413" i="1" l="1"/>
  <c r="D414" i="1"/>
  <c r="A414" i="1" l="1"/>
  <c r="D415" i="1"/>
  <c r="A415" i="1" l="1"/>
  <c r="D416" i="1"/>
  <c r="A416" i="1" l="1"/>
  <c r="D417" i="1"/>
  <c r="A417" i="1" l="1"/>
  <c r="D418" i="1"/>
  <c r="A418" i="1" l="1"/>
  <c r="D419" i="1"/>
  <c r="A419" i="1" l="1"/>
  <c r="D420" i="1"/>
  <c r="A420" i="1" l="1"/>
  <c r="D421" i="1"/>
  <c r="A421" i="1" l="1"/>
  <c r="D422" i="1"/>
  <c r="A422" i="1" l="1"/>
  <c r="D423" i="1"/>
  <c r="A423" i="1" l="1"/>
  <c r="D424" i="1"/>
  <c r="A424" i="1" l="1"/>
  <c r="D425" i="1"/>
  <c r="A425" i="1" l="1"/>
  <c r="D426" i="1"/>
  <c r="A426" i="1" l="1"/>
  <c r="D427" i="1"/>
  <c r="A427" i="1" l="1"/>
  <c r="D428" i="1"/>
  <c r="A428" i="1" l="1"/>
  <c r="D429" i="1"/>
  <c r="A429" i="1" l="1"/>
  <c r="D430" i="1"/>
  <c r="A430" i="1" l="1"/>
  <c r="D431" i="1"/>
  <c r="A431" i="1" l="1"/>
  <c r="D432" i="1"/>
  <c r="A432" i="1" l="1"/>
  <c r="D433" i="1"/>
  <c r="A433" i="1" l="1"/>
  <c r="D434" i="1"/>
  <c r="A434" i="1" l="1"/>
  <c r="D435" i="1"/>
  <c r="A435" i="1" l="1"/>
  <c r="D436" i="1"/>
  <c r="A436" i="1" l="1"/>
  <c r="D437" i="1"/>
  <c r="A437" i="1" l="1"/>
  <c r="D438" i="1"/>
  <c r="A438" i="1" l="1"/>
  <c r="D439" i="1"/>
  <c r="A439" i="1" l="1"/>
  <c r="D440" i="1"/>
  <c r="A440" i="1" l="1"/>
  <c r="D441" i="1"/>
  <c r="A441" i="1" l="1"/>
  <c r="D442" i="1"/>
  <c r="A442" i="1" l="1"/>
  <c r="D443" i="1"/>
  <c r="A443" i="1" l="1"/>
  <c r="D444" i="1"/>
  <c r="A444" i="1" l="1"/>
  <c r="D445" i="1"/>
  <c r="A445" i="1" l="1"/>
  <c r="D446" i="1"/>
  <c r="A446" i="1" l="1"/>
  <c r="D447" i="1"/>
  <c r="A447" i="1" l="1"/>
  <c r="D448" i="1"/>
  <c r="A448" i="1" l="1"/>
  <c r="D449" i="1"/>
  <c r="A449" i="1" l="1"/>
  <c r="D450" i="1"/>
  <c r="A450" i="1" l="1"/>
  <c r="D451" i="1"/>
  <c r="A451" i="1" l="1"/>
  <c r="D452" i="1"/>
  <c r="A452" i="1" l="1"/>
  <c r="D453" i="1"/>
  <c r="A453" i="1" l="1"/>
  <c r="D454" i="1"/>
  <c r="A454" i="1" l="1"/>
  <c r="D455" i="1"/>
  <c r="A455" i="1" l="1"/>
  <c r="D456" i="1"/>
  <c r="A456" i="1" l="1"/>
  <c r="D457" i="1"/>
  <c r="A457" i="1" l="1"/>
  <c r="D458" i="1"/>
  <c r="A458" i="1" l="1"/>
  <c r="D459" i="1"/>
  <c r="A459" i="1" l="1"/>
  <c r="D460" i="1"/>
  <c r="A460" i="1" l="1"/>
  <c r="D461" i="1"/>
  <c r="A461" i="1" l="1"/>
  <c r="D462" i="1"/>
  <c r="A462" i="1" l="1"/>
  <c r="D463" i="1"/>
  <c r="A463" i="1" l="1"/>
  <c r="D464" i="1"/>
  <c r="A464" i="1" l="1"/>
  <c r="D465" i="1"/>
  <c r="A465" i="1" l="1"/>
  <c r="D466" i="1"/>
  <c r="A466" i="1" l="1"/>
  <c r="D467" i="1"/>
  <c r="A467" i="1" l="1"/>
  <c r="D468" i="1"/>
  <c r="A468" i="1" l="1"/>
  <c r="D469" i="1"/>
  <c r="A469" i="1" l="1"/>
  <c r="D470" i="1"/>
  <c r="A470" i="1" l="1"/>
  <c r="D471" i="1"/>
  <c r="A471" i="1" l="1"/>
  <c r="D472" i="1"/>
  <c r="A472" i="1" l="1"/>
  <c r="D473" i="1"/>
  <c r="A473" i="1" l="1"/>
  <c r="D474" i="1"/>
  <c r="A474" i="1" l="1"/>
  <c r="D475" i="1"/>
  <c r="A475" i="1" l="1"/>
  <c r="D476" i="1"/>
  <c r="A476" i="1" l="1"/>
  <c r="D477" i="1"/>
  <c r="A477" i="1" l="1"/>
  <c r="D478" i="1"/>
  <c r="A478" i="1" l="1"/>
  <c r="D479" i="1"/>
  <c r="A479" i="1" l="1"/>
  <c r="D480" i="1"/>
  <c r="A480" i="1" l="1"/>
  <c r="D481" i="1"/>
  <c r="A481" i="1" l="1"/>
  <c r="D482" i="1"/>
  <c r="A482" i="1" l="1"/>
  <c r="D483" i="1"/>
  <c r="A483" i="1" l="1"/>
  <c r="D484" i="1"/>
  <c r="A484" i="1" l="1"/>
  <c r="D485" i="1"/>
  <c r="A485" i="1" l="1"/>
  <c r="D486" i="1"/>
  <c r="A486" i="1" l="1"/>
  <c r="D487" i="1"/>
  <c r="A487" i="1" l="1"/>
  <c r="D488" i="1"/>
  <c r="A488" i="1" l="1"/>
  <c r="D489" i="1"/>
  <c r="A489" i="1" l="1"/>
  <c r="D490" i="1"/>
  <c r="A490" i="1" l="1"/>
  <c r="D491" i="1"/>
  <c r="A491" i="1" l="1"/>
  <c r="D492" i="1"/>
  <c r="A492" i="1" l="1"/>
  <c r="D493" i="1"/>
  <c r="A493" i="1" l="1"/>
  <c r="D494" i="1"/>
  <c r="A494" i="1" l="1"/>
  <c r="D495" i="1"/>
  <c r="A495" i="1" l="1"/>
  <c r="D496" i="1"/>
  <c r="A496" i="1" l="1"/>
  <c r="D497" i="1"/>
  <c r="A497" i="1" l="1"/>
  <c r="D498" i="1"/>
  <c r="D499" i="1" s="1"/>
  <c r="A499" i="1" l="1"/>
  <c r="D500" i="1"/>
  <c r="A498" i="1"/>
  <c r="A500" i="1" l="1"/>
  <c r="D501" i="1"/>
  <c r="A501" i="1" l="1"/>
  <c r="D502" i="1"/>
  <c r="A502" i="1" l="1"/>
  <c r="D503" i="1"/>
  <c r="A503" i="1" l="1"/>
  <c r="D504" i="1"/>
  <c r="A504" i="1" l="1"/>
  <c r="D505" i="1"/>
  <c r="A505" i="1" l="1"/>
  <c r="D506" i="1"/>
  <c r="A506" i="1" l="1"/>
  <c r="D507" i="1"/>
  <c r="A507" i="1" l="1"/>
  <c r="D508" i="1"/>
  <c r="A508" i="1" l="1"/>
  <c r="D509" i="1"/>
  <c r="A509" i="1" l="1"/>
  <c r="D510" i="1"/>
  <c r="A510" i="1" l="1"/>
  <c r="D511" i="1"/>
  <c r="A511" i="1" l="1"/>
  <c r="D512" i="1"/>
  <c r="A512" i="1" l="1"/>
  <c r="D513" i="1"/>
  <c r="A513" i="1" l="1"/>
  <c r="D514" i="1"/>
  <c r="A514" i="1" l="1"/>
  <c r="D515" i="1"/>
  <c r="A515" i="1" l="1"/>
  <c r="D516" i="1"/>
  <c r="A516" i="1" l="1"/>
  <c r="D517" i="1"/>
  <c r="A517" i="1" l="1"/>
  <c r="D518" i="1"/>
  <c r="A518" i="1" l="1"/>
  <c r="B18" i="3"/>
  <c r="A18" i="3" a="1"/>
  <c r="A18" i="3" l="1"/>
  <c r="B19" i="3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C48" i="3" s="1"/>
  <c r="E41" i="3" l="1"/>
  <c r="D41" i="3"/>
  <c r="C25" i="3"/>
  <c r="E42" i="3"/>
  <c r="E32" i="3"/>
  <c r="E48" i="3"/>
  <c r="D27" i="3"/>
  <c r="D48" i="3"/>
  <c r="D25" i="3"/>
  <c r="D42" i="3"/>
  <c r="D21" i="3"/>
  <c r="C34" i="3"/>
  <c r="D28" i="3"/>
  <c r="D36" i="3"/>
  <c r="E31" i="3"/>
  <c r="C31" i="3"/>
  <c r="C45" i="3"/>
  <c r="C27" i="3"/>
  <c r="D35" i="3"/>
  <c r="D32" i="3"/>
  <c r="C40" i="3"/>
  <c r="D29" i="3"/>
  <c r="E28" i="3"/>
  <c r="E26" i="3"/>
  <c r="C47" i="3"/>
  <c r="C28" i="3"/>
  <c r="E47" i="3"/>
  <c r="C21" i="3"/>
  <c r="C38" i="3"/>
  <c r="D26" i="3"/>
  <c r="E23" i="3"/>
  <c r="C41" i="3"/>
  <c r="C32" i="3"/>
  <c r="E20" i="3"/>
  <c r="C43" i="3"/>
  <c r="E37" i="3"/>
  <c r="D23" i="3"/>
  <c r="E44" i="3"/>
  <c r="C23" i="3"/>
  <c r="D31" i="3"/>
  <c r="E36" i="3"/>
  <c r="E29" i="3"/>
  <c r="E24" i="3"/>
  <c r="C24" i="3"/>
  <c r="D22" i="3"/>
  <c r="D43" i="3"/>
  <c r="D38" i="3"/>
  <c r="D47" i="3"/>
  <c r="E34" i="3"/>
  <c r="E27" i="3"/>
  <c r="C33" i="3"/>
  <c r="C44" i="3"/>
  <c r="C30" i="3"/>
  <c r="C22" i="3"/>
  <c r="B49" i="3"/>
  <c r="C46" i="3"/>
  <c r="C26" i="3"/>
  <c r="C35" i="3"/>
  <c r="E45" i="3"/>
  <c r="D45" i="3"/>
  <c r="E38" i="3"/>
  <c r="D46" i="3"/>
  <c r="D34" i="3"/>
  <c r="D30" i="3"/>
  <c r="E40" i="3"/>
  <c r="C36" i="3"/>
  <c r="E33" i="3"/>
  <c r="D33" i="3"/>
  <c r="E46" i="3"/>
  <c r="D20" i="3"/>
  <c r="E25" i="3"/>
  <c r="C39" i="3"/>
  <c r="D39" i="3"/>
  <c r="D40" i="3"/>
  <c r="E39" i="3"/>
  <c r="E35" i="3"/>
  <c r="D37" i="3"/>
  <c r="E21" i="3"/>
  <c r="C20" i="3"/>
  <c r="D19" i="3"/>
  <c r="D44" i="3"/>
  <c r="E19" i="3"/>
  <c r="D24" i="3"/>
  <c r="E22" i="3"/>
  <c r="C37" i="3"/>
  <c r="C42" i="3"/>
  <c r="E18" i="3"/>
  <c r="C18" i="3"/>
  <c r="D18" i="3"/>
  <c r="C29" i="3"/>
  <c r="E30" i="3"/>
  <c r="E43" i="3"/>
  <c r="C19" i="3"/>
  <c r="C49" i="3" l="1"/>
  <c r="E49" i="3"/>
  <c r="D49" i="3"/>
  <c r="B50" i="3"/>
  <c r="D50" i="3" l="1"/>
  <c r="C50" i="3"/>
  <c r="B51" i="3"/>
  <c r="E50" i="3"/>
  <c r="D51" i="3" l="1"/>
  <c r="B52" i="3"/>
  <c r="E51" i="3"/>
  <c r="C51" i="3"/>
  <c r="B53" i="3" l="1"/>
  <c r="C52" i="3"/>
  <c r="D52" i="3"/>
  <c r="E52" i="3"/>
  <c r="D53" i="3" l="1"/>
  <c r="B54" i="3"/>
  <c r="E53" i="3"/>
  <c r="C53" i="3"/>
  <c r="D54" i="3" l="1"/>
  <c r="B55" i="3"/>
  <c r="E54" i="3"/>
  <c r="C54" i="3"/>
  <c r="D55" i="3" l="1"/>
  <c r="E55" i="3"/>
  <c r="B56" i="3"/>
  <c r="C55" i="3"/>
  <c r="D56" i="3" l="1"/>
  <c r="C56" i="3"/>
  <c r="B57" i="3"/>
  <c r="E56" i="3"/>
  <c r="D57" i="3" l="1"/>
  <c r="E57" i="3"/>
  <c r="C57" i="3"/>
  <c r="B58" i="3"/>
  <c r="B59" i="3" l="1"/>
  <c r="C58" i="3"/>
  <c r="E58" i="3"/>
  <c r="D58" i="3"/>
  <c r="C59" i="3" l="1"/>
  <c r="C16" i="3" s="1"/>
  <c r="D59" i="3"/>
  <c r="D16" i="3" s="1"/>
  <c r="E59" i="3"/>
  <c r="E16" i="3" s="1"/>
  <c r="E12" i="1" l="1"/>
  <c r="I12" i="1" s="1"/>
  <c r="B12" i="3"/>
  <c r="F12" i="3" s="1"/>
  <c r="B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<sst xmlns="http://schemas.openxmlformats.org/spreadsheetml/2006/main" count="48" uniqueCount="33">
  <si>
    <t>Loan Amount</t>
  </si>
  <si>
    <t>Beginning Balance</t>
  </si>
  <si>
    <t>Rate per period</t>
  </si>
  <si>
    <t>Rate (annual)</t>
  </si>
  <si>
    <t>Term (months)</t>
  </si>
  <si>
    <t>Date</t>
  </si>
  <si>
    <t>Issued</t>
  </si>
  <si>
    <t>Payment Amount</t>
  </si>
  <si>
    <t>Interest Payment</t>
  </si>
  <si>
    <t>Principal Payment</t>
  </si>
  <si>
    <t>Principal Balance</t>
  </si>
  <si>
    <t xml:space="preserve">Principal: </t>
  </si>
  <si>
    <t>Issued:</t>
  </si>
  <si>
    <t>Payment:</t>
  </si>
  <si>
    <t>Equal Monthly (Principal + Interest)</t>
  </si>
  <si>
    <t>APR%</t>
  </si>
  <si>
    <t>FINANCE CHARGE</t>
  </si>
  <si>
    <t>AMOUNT FINANCED</t>
  </si>
  <si>
    <t>TOTAL PAYMENT</t>
  </si>
  <si>
    <t>Finance Charge</t>
  </si>
  <si>
    <t># of PAYMENTS</t>
  </si>
  <si>
    <t>AMOUNT OF PAYMENT</t>
  </si>
  <si>
    <t>Pmt No.</t>
  </si>
  <si>
    <t>Year</t>
  </si>
  <si>
    <t>Years</t>
  </si>
  <si>
    <t xml:space="preserve">Instructions: Fill out only the highlighted cells in this tab, Nothing else in the template should be altered: </t>
  </si>
  <si>
    <t>Grand Total</t>
  </si>
  <si>
    <t>Client Name</t>
  </si>
  <si>
    <t>Month</t>
  </si>
  <si>
    <t>Day</t>
  </si>
  <si>
    <t>First Payment</t>
  </si>
  <si>
    <t>YOUR LOGO HERE</t>
  </si>
  <si>
    <t>SASUKE UCHIHA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</si>
</sst>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45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0" fontId="0" fillId="2" borderId="0" xfId="0" applyNumberFormat="1" applyFill="1"/>
    <xf numFmtId="0" fontId="0" fillId="2" borderId="0" xfId="0" applyFill="1"/>
    <xf numFmtId="44" fontId="0" fillId="0" borderId="0" xfId="1" applyFont="1" applyAlignment="1">
      <alignment horizontal="center"/>
    </xf>
    <xf numFmtId="44" fontId="0" fillId="2" borderId="0" xfId="1" applyFont="1" applyFill="1"/>
    <xf numFmtId="14" fontId="0" fillId="2" borderId="0" xfId="0" applyNumberForma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left"/>
    </xf>
    <xf numFmtId="10" fontId="2" fillId="0" borderId="0" xfId="0" applyNumberFormat="1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0" applyNumberFormat="1" applyAlignment="1">
      <alignment horizontal="center" wrapText="1"/>
    </xf>
    <xf numFmtId="14" fontId="0" fillId="0" borderId="0" xfId="0" applyNumberFormat="1"/>
    <xf numFmtId="44" fontId="0" fillId="0" borderId="0" xfId="1" applyFont="1" applyFill="1"/>
    <xf numFmtId="0" fontId="0" fillId="0" borderId="0" xfId="0" applyAlignment="1">
      <alignment horizontal="left"/>
    </xf>
    <xf numFmtId="44" fontId="0" fillId="0" borderId="0" xfId="1" applyFont="1" applyAlignment="1">
      <alignment horizontal="center" wrapText="1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44" fontId="0" fillId="0" borderId="0" xfId="0" applyNumberFormat="1"/>
    <xf numFmtId="0" fontId="2" fillId="0" borderId="0" xfId="0" applyFont="1" applyAlignment="1">
      <alignment vertical="center" wrapText="1"/>
    </xf>
    <xf numFmtId="10" fontId="0" fillId="0" borderId="0" xfId="0" applyNumberFormat="1" applyAlignment="1">
      <alignment horizontal="center"/>
    </xf>
    <xf numFmtId="164" fontId="1" fillId="0" borderId="0" xfId="1" applyNumberFormat="1" applyFont="1" applyAlignment="1">
      <alignment horizontal="center"/>
    </xf>
    <xf numFmtId="44" fontId="1" fillId="0" borderId="0" xfId="1" applyFont="1" applyAlignment="1">
      <alignment horizontal="left"/>
    </xf>
    <xf numFmtId="14" fontId="0" fillId="0" borderId="0" xfId="0" applyNumberFormat="1" applyAlignment="1">
      <alignment horizontal="left"/>
    </xf>
    <xf numFmtId="164" fontId="1" fillId="0" borderId="0" xfId="1" applyNumberFormat="1" applyFont="1" applyAlignment="1">
      <alignment horizontal="left"/>
    </xf>
    <xf numFmtId="44" fontId="2" fillId="0" borderId="4" xfId="0" applyNumberFormat="1" applyFont="1" applyBorder="1" applyAlignment="1">
      <alignment vertical="center"/>
    </xf>
    <xf numFmtId="0" fontId="0" fillId="0" borderId="4" xfId="0" applyBorder="1"/>
    <xf numFmtId="0" fontId="0" fillId="2" borderId="0" xfId="0" applyFill="1" applyAlignment="1">
      <alignment horizontal="right"/>
    </xf>
    <xf numFmtId="164" fontId="1" fillId="0" borderId="0" xfId="1" applyNumberFormat="1" applyFont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0" fontId="3" fillId="0" borderId="0" xfId="0" applyFont="1" applyAlignment="1">
      <alignment horizontal="center"/>
    </xf>
    <xf numFmtId="10" fontId="0" fillId="0" borderId="0" xfId="0" applyNumberForma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1</xdr:row>
      <xdr:rowOff>25400</xdr:rowOff>
    </xdr:from>
    <xdr:to>
      <xdr:col>1</xdr:col>
      <xdr:colOff>624840</xdr:colOff>
      <xdr:row>1</xdr:row>
      <xdr:rowOff>152400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4920" y="218440"/>
          <a:ext cx="345440" cy="12700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1</xdr:row>
          <xdr:rowOff>175260</xdr:rowOff>
        </xdr:from>
        <xdr:to>
          <xdr:col>3</xdr:col>
          <xdr:colOff>571500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483D8-E9BE-41B1-BF13-A52B2D231722}">
  <sheetPr codeName="Sheet1">
    <tabColor rgb="FFFFFF00"/>
  </sheetPr>
  <dimension ref="A1:I10"/>
  <sheetViews>
    <sheetView showGridLines="0" tabSelected="1" zoomScale="150" zoomScaleNormal="150" workbookViewId="0">
      <selection activeCell="B4" sqref="B4"/>
    </sheetView>
  </sheetViews>
  <sheetFormatPr defaultRowHeight="14.4" x14ac:dyDescent="0.3"/>
  <cols>
    <col min="1" max="1" width="14.33203125" bestFit="1" customWidth="1"/>
    <col min="2" max="2" width="14.6640625" bestFit="1" customWidth="1"/>
  </cols>
  <sheetData>
    <row r="1" spans="1:9" ht="15" thickBot="1" x14ac:dyDescent="0.35">
      <c r="A1" s="18" t="s">
        <v>25</v>
      </c>
      <c r="B1" s="19"/>
      <c r="C1" s="19"/>
      <c r="D1" s="19"/>
      <c r="E1" s="19"/>
      <c r="F1" s="19"/>
      <c r="G1" s="19"/>
      <c r="H1" s="19"/>
      <c r="I1" s="20"/>
    </row>
    <row r="3" spans="1:9" x14ac:dyDescent="0.3">
      <c r="A3" s="2" t="s">
        <v>0</v>
      </c>
      <c r="B3" s="7">
        <v>650000</v>
      </c>
    </row>
    <row r="4" spans="1:9" x14ac:dyDescent="0.3">
      <c r="A4" s="2" t="s">
        <v>3</v>
      </c>
      <c r="B4" s="36">
        <f>B5*B6</f>
        <v>1.26</v>
      </c>
    </row>
    <row r="5" spans="1:9" x14ac:dyDescent="0.3">
      <c r="A5" s="2" t="s">
        <v>2</v>
      </c>
      <c r="B5" s="4">
        <v>0.105</v>
      </c>
    </row>
    <row r="6" spans="1:9" x14ac:dyDescent="0.3">
      <c r="A6" s="2" t="s">
        <v>4</v>
      </c>
      <c r="B6" s="5">
        <v>12</v>
      </c>
    </row>
    <row r="7" spans="1:9" x14ac:dyDescent="0.3">
      <c r="A7" s="2" t="s">
        <v>6</v>
      </c>
      <c r="B7" s="8">
        <v>45345</v>
      </c>
    </row>
    <row r="8" spans="1:9" hidden="1" x14ac:dyDescent="0.3">
      <c r="A8" s="2" t="s">
        <v>19</v>
      </c>
      <c r="B8" s="15">
        <f>'Yearly Totals'!$D$16</f>
        <v>522938.61595117243</v>
      </c>
    </row>
    <row r="9" spans="1:9" x14ac:dyDescent="0.3">
      <c r="A9" s="2" t="s">
        <v>27</v>
      </c>
      <c r="B9" s="30" t="s">
        <v>32</v>
      </c>
    </row>
    <row r="10" spans="1:9" x14ac:dyDescent="0.3">
      <c r="A10" s="2" t="s">
        <v>30</v>
      </c>
      <c r="B10" s="8">
        <v>38069</v>
      </c>
    </row>
  </sheetData>
  <protectedRanges>
    <protectedRange algorithmName="SHA-512" hashValue="fIFVhTXY+ZSo/9yx+psQIA0bMamBu7Yr4PtMYB2IHvtji3lt5dBBEbU44Ri/DcPcnmmroXVuzgFAxWfoW78gSA==" saltValue="+ZGtIXTnqKqpkBZMn2AsCg==" spinCount="100000" sqref="B3:B4 B6:B7 B9:B10 C2:E47" name="Range1"/>
  </protectedRange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2</xdr:col>
                    <xdr:colOff>403860</xdr:colOff>
                    <xdr:row>1</xdr:row>
                    <xdr:rowOff>175260</xdr:rowOff>
                  </from>
                  <to>
                    <xdr:col>3</xdr:col>
                    <xdr:colOff>571500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F11FF-784E-48E3-8015-B43BB75BFDCC}">
  <sheetPr codeName="Sheet2" filterMode="1">
    <tabColor rgb="FF7030A0"/>
  </sheetPr>
  <dimension ref="A1:I1017"/>
  <sheetViews>
    <sheetView showGridLines="0" topLeftCell="C1" zoomScaleNormal="100" workbookViewId="0">
      <pane ySplit="16" topLeftCell="A24" activePane="bottomLeft" state="frozen"/>
      <selection pane="bottomLeft" activeCell="E12" sqref="E12:F12"/>
    </sheetView>
  </sheetViews>
  <sheetFormatPr defaultRowHeight="14.4" x14ac:dyDescent="0.3"/>
  <cols>
    <col min="1" max="1" width="16.109375" style="2" hidden="1" customWidth="1"/>
    <col min="2" max="2" width="13.33203125" hidden="1" customWidth="1"/>
    <col min="3" max="3" width="7.88671875" style="2" bestFit="1" customWidth="1"/>
    <col min="4" max="4" width="14.21875" style="2" customWidth="1"/>
    <col min="5" max="5" width="12.21875" style="1" customWidth="1"/>
    <col min="6" max="6" width="11.77734375" style="1" customWidth="1"/>
    <col min="7" max="7" width="12.44140625" style="1" customWidth="1"/>
    <col min="8" max="8" width="13.33203125" style="1" bestFit="1" customWidth="1"/>
    <col min="9" max="9" width="15.6640625" style="1" bestFit="1" customWidth="1"/>
    <col min="10" max="10" width="9.5546875" bestFit="1" customWidth="1"/>
    <col min="11" max="11" width="10.5546875" bestFit="1" customWidth="1"/>
    <col min="12" max="12" width="8.5546875" customWidth="1"/>
    <col min="13" max="13" width="9.5546875" bestFit="1" customWidth="1"/>
  </cols>
  <sheetData>
    <row r="1" spans="1:9" ht="14.4" customHeight="1" x14ac:dyDescent="0.3">
      <c r="C1" s="32" t="s">
        <v>31</v>
      </c>
      <c r="D1" s="32"/>
      <c r="E1" s="32"/>
      <c r="F1" s="32"/>
      <c r="G1" s="32"/>
      <c r="H1" s="32"/>
      <c r="I1" s="32"/>
    </row>
    <row r="2" spans="1:9" ht="14.4" customHeight="1" x14ac:dyDescent="0.3">
      <c r="C2" s="32"/>
      <c r="D2" s="32"/>
      <c r="E2" s="32"/>
      <c r="F2" s="32"/>
      <c r="G2" s="32"/>
      <c r="H2" s="32"/>
      <c r="I2" s="32"/>
    </row>
    <row r="3" spans="1:9" ht="14.4" customHeight="1" x14ac:dyDescent="0.3">
      <c r="C3" s="32"/>
      <c r="D3" s="32"/>
      <c r="E3" s="32"/>
      <c r="F3" s="32"/>
      <c r="G3" s="32"/>
      <c r="H3" s="32"/>
      <c r="I3" s="32"/>
    </row>
    <row r="4" spans="1:9" ht="14.4" customHeight="1" x14ac:dyDescent="0.3">
      <c r="C4" s="32"/>
      <c r="D4" s="32"/>
      <c r="E4" s="32"/>
      <c r="F4" s="32"/>
      <c r="G4" s="32"/>
      <c r="H4" s="32"/>
      <c r="I4" s="32"/>
    </row>
    <row r="5" spans="1:9" ht="14.4" customHeight="1" x14ac:dyDescent="0.3">
      <c r="C5" s="32"/>
      <c r="D5" s="32"/>
      <c r="E5" s="32"/>
      <c r="F5" s="32"/>
      <c r="G5" s="32"/>
      <c r="H5" s="32"/>
      <c r="I5" s="32"/>
    </row>
    <row r="6" spans="1:9" x14ac:dyDescent="0.3">
      <c r="C6" s="3"/>
      <c r="F6" s="3"/>
      <c r="G6" s="3"/>
      <c r="H6" s="3"/>
      <c r="I6" s="3"/>
    </row>
    <row r="7" spans="1:9" x14ac:dyDescent="0.3">
      <c r="C7" s="35" t="str">
        <f>"AMORTIZATION SCHEDULE SUMMARY: "&amp;INPUTS!$B$9&amp;" (MONTHLY)"</f>
        <v>AMORTIZATION SCHEDULE SUMMARY: SASUKE UCHIHA (MONTHLY)</v>
      </c>
      <c r="D7" s="35"/>
      <c r="E7" s="35"/>
      <c r="F7" s="35"/>
      <c r="G7" s="35"/>
      <c r="H7" s="35"/>
      <c r="I7" s="35"/>
    </row>
    <row r="8" spans="1:9" x14ac:dyDescent="0.3">
      <c r="B8" s="15"/>
      <c r="C8" s="3"/>
      <c r="D8" s="10" t="s">
        <v>11</v>
      </c>
      <c r="E8" s="25">
        <f>INPUTS!$B$3</f>
        <v>650000</v>
      </c>
      <c r="F8" s="16" t="str">
        <f>"amortized over"&amp;" "&amp;INPUTS!$B$6/12&amp;" years at "&amp;ROUND(INPUTS!$B$4*100,4)&amp;" %"</f>
        <v>amortized over 1 years at 126 %</v>
      </c>
      <c r="H8" s="3"/>
      <c r="I8" s="3"/>
    </row>
    <row r="9" spans="1:9" x14ac:dyDescent="0.3">
      <c r="C9" s="3"/>
      <c r="D9" s="10" t="s">
        <v>12</v>
      </c>
      <c r="E9" s="26" t="str">
        <f>Txt_Dates!B2&amp;"/"&amp;Txt_Dates!C2&amp;"/"&amp;Txt_Dates!D2&amp;" with first payment on "&amp;Txt_Dates!B3&amp;"/"&amp;Txt_Dates!C3&amp;"/"&amp;Txt_Dates!D3</f>
        <v>2/23/2024 with first payment on 3/23/2004</v>
      </c>
      <c r="H9" s="3"/>
      <c r="I9" s="3"/>
    </row>
    <row r="10" spans="1:9" x14ac:dyDescent="0.3">
      <c r="C10" s="3"/>
      <c r="D10" s="10" t="s">
        <v>13</v>
      </c>
      <c r="E10" s="16" t="s">
        <v>14</v>
      </c>
      <c r="F10" s="3"/>
      <c r="G10" s="3"/>
      <c r="H10" s="3"/>
      <c r="I10" s="3"/>
    </row>
    <row r="11" spans="1:9" x14ac:dyDescent="0.3">
      <c r="C11" s="3"/>
      <c r="D11" s="3" t="s">
        <v>15</v>
      </c>
      <c r="E11" s="33" t="s">
        <v>16</v>
      </c>
      <c r="F11" s="33"/>
      <c r="G11" s="33" t="s">
        <v>17</v>
      </c>
      <c r="H11" s="33"/>
      <c r="I11" s="3" t="s">
        <v>18</v>
      </c>
    </row>
    <row r="12" spans="1:9" x14ac:dyDescent="0.3">
      <c r="C12" s="3"/>
      <c r="D12" s="23">
        <f>INPUTS!$B$4</f>
        <v>1.26</v>
      </c>
      <c r="E12" s="31">
        <f>'Yearly Totals'!$D$16</f>
        <v>522938.61595117243</v>
      </c>
      <c r="F12" s="31"/>
      <c r="G12" s="31">
        <f>INPUTS!$B$3</f>
        <v>650000</v>
      </c>
      <c r="H12" s="31"/>
      <c r="I12" s="24">
        <f>$G$12+$E$12</f>
        <v>1172938.6159511725</v>
      </c>
    </row>
    <row r="13" spans="1:9" x14ac:dyDescent="0.3">
      <c r="C13" s="3"/>
      <c r="D13" s="11" t="s">
        <v>20</v>
      </c>
      <c r="E13" s="34" t="s">
        <v>21</v>
      </c>
      <c r="F13" s="34"/>
      <c r="G13" s="12"/>
      <c r="H13" s="12"/>
      <c r="I13" s="12"/>
    </row>
    <row r="14" spans="1:9" x14ac:dyDescent="0.3">
      <c r="C14" s="3"/>
      <c r="D14" s="1">
        <f>INPUTS!$B$6</f>
        <v>12</v>
      </c>
      <c r="E14" s="31">
        <f>$E$18</f>
        <v>97744.884662597702</v>
      </c>
      <c r="F14" s="31"/>
      <c r="G14" s="12"/>
      <c r="H14" s="12"/>
      <c r="I14" s="12"/>
    </row>
    <row r="15" spans="1:9" x14ac:dyDescent="0.3">
      <c r="C15" s="3"/>
      <c r="D15" s="3"/>
      <c r="E15" s="3"/>
      <c r="F15" s="3"/>
      <c r="G15" s="3"/>
      <c r="H15" s="3"/>
      <c r="I15" s="3"/>
    </row>
    <row r="16" spans="1:9" ht="28.8" x14ac:dyDescent="0.3">
      <c r="A16" s="2" t="s">
        <v>24</v>
      </c>
      <c r="C16" s="2" t="s">
        <v>22</v>
      </c>
      <c r="D16" s="9" t="s">
        <v>5</v>
      </c>
      <c r="E16" s="9" t="s">
        <v>7</v>
      </c>
      <c r="F16" s="9" t="s">
        <v>8</v>
      </c>
      <c r="G16" s="9" t="s">
        <v>9</v>
      </c>
      <c r="H16" s="9" t="s">
        <v>1</v>
      </c>
      <c r="I16" s="9" t="s">
        <v>10</v>
      </c>
    </row>
    <row r="17" spans="1:9" x14ac:dyDescent="0.3">
      <c r="A17" s="16">
        <f>IF(D17="","",YEAR(D17))</f>
        <v>2024</v>
      </c>
      <c r="D17" s="14">
        <f>INPUTS!$B$7</f>
        <v>45345</v>
      </c>
      <c r="E17" s="9"/>
      <c r="F17" s="9"/>
      <c r="G17" s="9"/>
      <c r="H17" s="9"/>
      <c r="I17" s="13">
        <f>INPUTS!$B$3</f>
        <v>650000</v>
      </c>
    </row>
    <row r="18" spans="1:9" x14ac:dyDescent="0.3">
      <c r="A18" s="16">
        <f t="shared" ref="A18:A81" si="0">IF(D18="","",YEAR(D18))</f>
        <v>2004</v>
      </c>
      <c r="C18" s="2" cm="1">
        <f t="array" ref="C18:C29">_xlfn.SEQUENCE(INPUTS!B6,1,1,1)</f>
        <v>1</v>
      </c>
      <c r="D18" s="14">
        <f>INPUTS!$B$10</f>
        <v>38069</v>
      </c>
      <c r="E18" s="6">
        <f>IF(C18="","",PMT(INPUTS!$B$5,INPUTS!$B$6,-INPUTS!$B$3,0,0))</f>
        <v>97744.884662597702</v>
      </c>
      <c r="F18" s="6">
        <f>IF(C18="","",IPMT(INPUTS!$B$5,C18,INPUTS!$B$6,-INPUTS!$B$3,0,0))</f>
        <v>68250</v>
      </c>
      <c r="G18" s="6">
        <f>IF(C18="","",PPMT(INPUTS!$B$5,C18,INPUTS!$B$6,-INPUTS!$B$3,0,0))</f>
        <v>29494.884662597709</v>
      </c>
      <c r="H18" s="6">
        <f>IF(C18="","",INPUTS!B3)</f>
        <v>650000</v>
      </c>
      <c r="I18" s="6">
        <f>IF(C18="","",H18-G18)</f>
        <v>620505.11533740233</v>
      </c>
    </row>
    <row r="19" spans="1:9" x14ac:dyDescent="0.3">
      <c r="A19" s="16">
        <f t="shared" si="0"/>
        <v>2004</v>
      </c>
      <c r="C19" s="2">
        <v>2</v>
      </c>
      <c r="D19" s="14">
        <f>IF(C18="","",DATE(YEAR($D18),MONTH($D18)+1,DAY($D18)))</f>
        <v>38100</v>
      </c>
      <c r="E19" s="6">
        <f>IF(C19="","",PMT(INPUTS!$B$5,INPUTS!$B$6,-INPUTS!$B$3,0,0))</f>
        <v>97744.884662597702</v>
      </c>
      <c r="F19" s="6">
        <f>IF(C19="","",IPMT(INPUTS!$B$5,C19,INPUTS!$B$6,-INPUTS!$B$3,0,0))</f>
        <v>65153.037110427242</v>
      </c>
      <c r="G19" s="6">
        <f>IF(C19="","",PPMT(INPUTS!$B$5,C19,INPUTS!$B$6,-INPUTS!$B$3,0,0))</f>
        <v>32591.847552170471</v>
      </c>
      <c r="H19" s="6">
        <f>I18</f>
        <v>620505.11533740233</v>
      </c>
      <c r="I19" s="6">
        <f t="shared" ref="I19:I32" si="1">IF(C19="","",H19-G19)</f>
        <v>587913.26778523182</v>
      </c>
    </row>
    <row r="20" spans="1:9" x14ac:dyDescent="0.3">
      <c r="A20" s="16">
        <f t="shared" si="0"/>
        <v>2004</v>
      </c>
      <c r="C20" s="2">
        <v>3</v>
      </c>
      <c r="D20" s="14">
        <f t="shared" ref="D20:D83" si="2">IF(C19="","",DATE(YEAR($D19),MONTH($D19)+1,DAY($D19)))</f>
        <v>38130</v>
      </c>
      <c r="E20" s="6">
        <f>IF(C20="","",PMT(INPUTS!$B$5,INPUTS!$B$6,-INPUTS!$B$3,0,0))</f>
        <v>97744.884662597702</v>
      </c>
      <c r="F20" s="6">
        <f>IF(C20="","",IPMT(INPUTS!$B$5,C20,INPUTS!$B$6,-INPUTS!$B$3,0,0))</f>
        <v>61730.893117449348</v>
      </c>
      <c r="G20" s="6">
        <f>IF(C20="","",PPMT(INPUTS!$B$5,C20,INPUTS!$B$6,-INPUTS!$B$3,0,0))</f>
        <v>36013.991545148361</v>
      </c>
      <c r="H20" s="6">
        <f t="shared" ref="H20:H83" si="3">I19</f>
        <v>587913.26778523182</v>
      </c>
      <c r="I20" s="6">
        <f t="shared" si="1"/>
        <v>551899.27624008351</v>
      </c>
    </row>
    <row r="21" spans="1:9" x14ac:dyDescent="0.3">
      <c r="A21" s="16">
        <f t="shared" si="0"/>
        <v>2004</v>
      </c>
      <c r="C21" s="2">
        <v>4</v>
      </c>
      <c r="D21" s="14">
        <f t="shared" si="2"/>
        <v>38161</v>
      </c>
      <c r="E21" s="6">
        <f>IF(C21="","",PMT(INPUTS!$B$5,INPUTS!$B$6,-INPUTS!$B$3,0,0))</f>
        <v>97744.884662597702</v>
      </c>
      <c r="F21" s="6">
        <f>IF(C21="","",IPMT(INPUTS!$B$5,C21,INPUTS!$B$6,-INPUTS!$B$3,0,0))</f>
        <v>57949.424005208763</v>
      </c>
      <c r="G21" s="6">
        <f>IF(C21="","",PPMT(INPUTS!$B$5,C21,INPUTS!$B$6,-INPUTS!$B$3,0,0))</f>
        <v>39795.46065738894</v>
      </c>
      <c r="H21" s="6">
        <f t="shared" si="3"/>
        <v>551899.27624008351</v>
      </c>
      <c r="I21" s="6">
        <f t="shared" si="1"/>
        <v>512103.81558269454</v>
      </c>
    </row>
    <row r="22" spans="1:9" x14ac:dyDescent="0.3">
      <c r="A22" s="16">
        <f t="shared" si="0"/>
        <v>2004</v>
      </c>
      <c r="C22" s="2">
        <v>5</v>
      </c>
      <c r="D22" s="14">
        <f t="shared" si="2"/>
        <v>38191</v>
      </c>
      <c r="E22" s="6">
        <f>IF(C22="","",PMT(INPUTS!$B$5,INPUTS!$B$6,-INPUTS!$B$3,0,0))</f>
        <v>97744.884662597702</v>
      </c>
      <c r="F22" s="6">
        <f>IF(C22="","",IPMT(INPUTS!$B$5,C22,INPUTS!$B$6,-INPUTS!$B$3,0,0))</f>
        <v>53770.900636182923</v>
      </c>
      <c r="G22" s="6">
        <f>IF(C22="","",PPMT(INPUTS!$B$5,C22,INPUTS!$B$6,-INPUTS!$B$3,0,0))</f>
        <v>43973.984026414786</v>
      </c>
      <c r="H22" s="6">
        <f t="shared" si="3"/>
        <v>512103.81558269454</v>
      </c>
      <c r="I22" s="6">
        <f t="shared" si="1"/>
        <v>468129.83155627974</v>
      </c>
    </row>
    <row r="23" spans="1:9" x14ac:dyDescent="0.3">
      <c r="A23" s="16">
        <f t="shared" si="0"/>
        <v>2004</v>
      </c>
      <c r="C23" s="2">
        <v>6</v>
      </c>
      <c r="D23" s="14">
        <f t="shared" si="2"/>
        <v>38222</v>
      </c>
      <c r="E23" s="6">
        <f>IF(C23="","",PMT(INPUTS!$B$5,INPUTS!$B$6,-INPUTS!$B$3,0,0))</f>
        <v>97744.884662597702</v>
      </c>
      <c r="F23" s="6">
        <f>IF(C23="","",IPMT(INPUTS!$B$5,C23,INPUTS!$B$6,-INPUTS!$B$3,0,0))</f>
        <v>49153.632313409369</v>
      </c>
      <c r="G23" s="6">
        <f>IF(C23="","",PPMT(INPUTS!$B$5,C23,INPUTS!$B$6,-INPUTS!$B$3,0,0))</f>
        <v>48591.25234918834</v>
      </c>
      <c r="H23" s="6">
        <f t="shared" si="3"/>
        <v>468129.83155627974</v>
      </c>
      <c r="I23" s="6">
        <f t="shared" si="1"/>
        <v>419538.57920709142</v>
      </c>
    </row>
    <row r="24" spans="1:9" x14ac:dyDescent="0.3">
      <c r="A24" s="16">
        <f t="shared" si="0"/>
        <v>2004</v>
      </c>
      <c r="C24" s="2">
        <v>7</v>
      </c>
      <c r="D24" s="14">
        <f t="shared" si="2"/>
        <v>38253</v>
      </c>
      <c r="E24" s="6">
        <f>IF(C24="","",PMT(INPUTS!$B$5,INPUTS!$B$6,-INPUTS!$B$3,0,0))</f>
        <v>97744.884662597702</v>
      </c>
      <c r="F24" s="6">
        <f>IF(C24="","",IPMT(INPUTS!$B$5,C24,INPUTS!$B$6,-INPUTS!$B$3,0,0))</f>
        <v>44051.550816744595</v>
      </c>
      <c r="G24" s="6">
        <f>IF(C24="","",PPMT(INPUTS!$B$5,C24,INPUTS!$B$6,-INPUTS!$B$3,0,0))</f>
        <v>53693.333845853107</v>
      </c>
      <c r="H24" s="6">
        <f t="shared" si="3"/>
        <v>419538.57920709142</v>
      </c>
      <c r="I24" s="6">
        <f t="shared" si="1"/>
        <v>365845.24536123831</v>
      </c>
    </row>
    <row r="25" spans="1:9" x14ac:dyDescent="0.3">
      <c r="A25" s="16">
        <f t="shared" si="0"/>
        <v>2004</v>
      </c>
      <c r="C25" s="2">
        <v>8</v>
      </c>
      <c r="D25" s="14">
        <f t="shared" si="2"/>
        <v>38283</v>
      </c>
      <c r="E25" s="6">
        <f>IF(C25="","",PMT(INPUTS!$B$5,INPUTS!$B$6,-INPUTS!$B$3,0,0))</f>
        <v>97744.884662597702</v>
      </c>
      <c r="F25" s="6">
        <f>IF(C25="","",IPMT(INPUTS!$B$5,C25,INPUTS!$B$6,-INPUTS!$B$3,0,0))</f>
        <v>38413.750762930023</v>
      </c>
      <c r="G25" s="6">
        <f>IF(C25="","",PPMT(INPUTS!$B$5,C25,INPUTS!$B$6,-INPUTS!$B$3,0,0))</f>
        <v>59331.133899667693</v>
      </c>
      <c r="H25" s="6">
        <f t="shared" si="3"/>
        <v>365845.24536123831</v>
      </c>
      <c r="I25" s="6">
        <f t="shared" si="1"/>
        <v>306514.1114615706</v>
      </c>
    </row>
    <row r="26" spans="1:9" x14ac:dyDescent="0.3">
      <c r="A26" s="16">
        <f t="shared" si="0"/>
        <v>2004</v>
      </c>
      <c r="C26" s="2">
        <v>9</v>
      </c>
      <c r="D26" s="14">
        <f t="shared" si="2"/>
        <v>38314</v>
      </c>
      <c r="E26" s="6">
        <f>IF(C26="","",PMT(INPUTS!$B$5,INPUTS!$B$6,-INPUTS!$B$3,0,0))</f>
        <v>97744.884662597702</v>
      </c>
      <c r="F26" s="6">
        <f>IF(C26="","",IPMT(INPUTS!$B$5,C26,INPUTS!$B$6,-INPUTS!$B$3,0,0))</f>
        <v>32183.981703464917</v>
      </c>
      <c r="G26" s="6">
        <f>IF(C26="","",PPMT(INPUTS!$B$5,C26,INPUTS!$B$6,-INPUTS!$B$3,0,0))</f>
        <v>65560.9029591328</v>
      </c>
      <c r="H26" s="6">
        <f t="shared" si="3"/>
        <v>306514.1114615706</v>
      </c>
      <c r="I26" s="6">
        <f t="shared" si="1"/>
        <v>240953.2085024378</v>
      </c>
    </row>
    <row r="27" spans="1:9" x14ac:dyDescent="0.3">
      <c r="A27" s="16">
        <f t="shared" si="0"/>
        <v>2004</v>
      </c>
      <c r="C27" s="2">
        <v>10</v>
      </c>
      <c r="D27" s="14">
        <f t="shared" si="2"/>
        <v>38344</v>
      </c>
      <c r="E27" s="6">
        <f>IF(C27="","",PMT(INPUTS!$B$5,INPUTS!$B$6,-INPUTS!$B$3,0,0))</f>
        <v>97744.884662597702</v>
      </c>
      <c r="F27" s="6">
        <f>IF(C27="","",IPMT(INPUTS!$B$5,C27,INPUTS!$B$6,-INPUTS!$B$3,0,0))</f>
        <v>25300.086892755968</v>
      </c>
      <c r="G27" s="6">
        <f>IF(C27="","",PPMT(INPUTS!$B$5,C27,INPUTS!$B$6,-INPUTS!$B$3,0,0))</f>
        <v>72444.797769841723</v>
      </c>
      <c r="H27" s="6">
        <f t="shared" si="3"/>
        <v>240953.2085024378</v>
      </c>
      <c r="I27" s="6">
        <f t="shared" si="1"/>
        <v>168508.41073259606</v>
      </c>
    </row>
    <row r="28" spans="1:9" x14ac:dyDescent="0.3">
      <c r="A28" s="16">
        <f t="shared" si="0"/>
        <v>2005</v>
      </c>
      <c r="C28" s="2">
        <v>11</v>
      </c>
      <c r="D28" s="14">
        <f t="shared" si="2"/>
        <v>38375</v>
      </c>
      <c r="E28" s="6">
        <f>IF(C28="","",PMT(INPUTS!$B$5,INPUTS!$B$6,-INPUTS!$B$3,0,0))</f>
        <v>97744.884662597702</v>
      </c>
      <c r="F28" s="6">
        <f>IF(C28="","",IPMT(INPUTS!$B$5,C28,INPUTS!$B$6,-INPUTS!$B$3,0,0))</f>
        <v>17693.383126922592</v>
      </c>
      <c r="G28" s="6">
        <f>IF(C28="","",PPMT(INPUTS!$B$5,C28,INPUTS!$B$6,-INPUTS!$B$3,0,0))</f>
        <v>80051.501535675125</v>
      </c>
      <c r="H28" s="6">
        <f t="shared" si="3"/>
        <v>168508.41073259606</v>
      </c>
      <c r="I28" s="6">
        <f t="shared" si="1"/>
        <v>88456.90919692094</v>
      </c>
    </row>
    <row r="29" spans="1:9" x14ac:dyDescent="0.3">
      <c r="A29" s="16">
        <f t="shared" si="0"/>
        <v>2005</v>
      </c>
      <c r="C29" s="2">
        <v>12</v>
      </c>
      <c r="D29" s="14">
        <f t="shared" si="2"/>
        <v>38406</v>
      </c>
      <c r="E29" s="6">
        <f>IF(C29="","",PMT(INPUTS!$B$5,INPUTS!$B$6,-INPUTS!$B$3,0,0))</f>
        <v>97744.884662597702</v>
      </c>
      <c r="F29" s="6">
        <f>IF(C29="","",IPMT(INPUTS!$B$5,C29,INPUTS!$B$6,-INPUTS!$B$3,0,0))</f>
        <v>9287.9754656767036</v>
      </c>
      <c r="G29" s="6">
        <f>IF(C29="","",PPMT(INPUTS!$B$5,C29,INPUTS!$B$6,-INPUTS!$B$3,0,0))</f>
        <v>88456.909196920999</v>
      </c>
      <c r="H29" s="6">
        <f t="shared" si="3"/>
        <v>88456.90919692094</v>
      </c>
      <c r="I29" s="6">
        <f t="shared" si="1"/>
        <v>-5.8207660913467407E-11</v>
      </c>
    </row>
    <row r="30" spans="1:9" x14ac:dyDescent="0.3">
      <c r="A30" s="16">
        <f t="shared" si="0"/>
        <v>2005</v>
      </c>
      <c r="D30" s="14">
        <f t="shared" si="2"/>
        <v>38434</v>
      </c>
      <c r="E30" s="6" t="str">
        <f>IF(C30="","",PMT(INPUTS!$B$5,INPUTS!$B$6,-INPUTS!$B$3,0,0))</f>
        <v/>
      </c>
      <c r="F30" s="6" t="str">
        <f>IF(C30="","",IPMT(INPUTS!$B$5,C30,INPUTS!$B$6,-INPUTS!$B$3,0,0))</f>
        <v/>
      </c>
      <c r="G30" s="6" t="str">
        <f>IF(C30="","",PPMT(INPUTS!$B$5,C30,INPUTS!$B$6,-INPUTS!$B$3,0,0))</f>
        <v/>
      </c>
      <c r="H30" s="6">
        <f t="shared" si="3"/>
        <v>-5.8207660913467407E-11</v>
      </c>
      <c r="I30" s="6" t="str">
        <f t="shared" si="1"/>
        <v/>
      </c>
    </row>
    <row r="31" spans="1:9" hidden="1" x14ac:dyDescent="0.3">
      <c r="A31" s="16" t="str">
        <f t="shared" si="0"/>
        <v/>
      </c>
      <c r="D31" s="14" t="str">
        <f t="shared" si="2"/>
        <v/>
      </c>
      <c r="E31" s="6" t="str">
        <f>IF(C31="","",PMT(INPUTS!$B$5,INPUTS!$B$6,-INPUTS!$B$3,0,0))</f>
        <v/>
      </c>
      <c r="F31" s="6" t="str">
        <f>IF(C31="","",IPMT(INPUTS!$B$5,C31,INPUTS!$B$6,-INPUTS!$B$3,0,0))</f>
        <v/>
      </c>
      <c r="G31" s="6" t="str">
        <f>IF(C31="","",PPMT(INPUTS!$B$5,C31,INPUTS!$B$6,-INPUTS!$B$3,0,0))</f>
        <v/>
      </c>
      <c r="H31" s="6" t="str">
        <f t="shared" si="3"/>
        <v/>
      </c>
      <c r="I31" s="6" t="str">
        <f t="shared" si="1"/>
        <v/>
      </c>
    </row>
    <row r="32" spans="1:9" hidden="1" x14ac:dyDescent="0.3">
      <c r="A32" s="16" t="str">
        <f t="shared" si="0"/>
        <v/>
      </c>
      <c r="D32" s="14" t="str">
        <f t="shared" si="2"/>
        <v/>
      </c>
      <c r="E32" s="6" t="str">
        <f>IF(C32="","",PMT(INPUTS!$B$5,INPUTS!$B$6,-INPUTS!$B$3,0,0))</f>
        <v/>
      </c>
      <c r="F32" s="6" t="str">
        <f>IF(C32="","",IPMT(INPUTS!$B$5,C32,INPUTS!$B$6,-INPUTS!$B$3,0,0))</f>
        <v/>
      </c>
      <c r="G32" s="6" t="str">
        <f>IF(C32="","",PPMT(INPUTS!$B$5,C32,INPUTS!$B$6,-INPUTS!$B$3,0,0))</f>
        <v/>
      </c>
      <c r="H32" s="6" t="str">
        <f t="shared" si="3"/>
        <v/>
      </c>
      <c r="I32" s="6" t="str">
        <f t="shared" si="1"/>
        <v/>
      </c>
    </row>
    <row r="33" spans="1:9" hidden="1" x14ac:dyDescent="0.3">
      <c r="A33" s="16" t="str">
        <f t="shared" si="0"/>
        <v/>
      </c>
      <c r="D33" s="14" t="str">
        <f t="shared" si="2"/>
        <v/>
      </c>
      <c r="E33" s="6" t="str">
        <f>IF(C33="","",PMT(INPUTS!$B$5,INPUTS!$B$6,-INPUTS!$B$3,0,0))</f>
        <v/>
      </c>
      <c r="F33" s="6" t="str">
        <f>IF(C33="","",IPMT(INPUTS!$B$5,C33,INPUTS!$B$6,-INPUTS!$B$3,0,0))</f>
        <v/>
      </c>
      <c r="G33" s="6" t="str">
        <f>IF(C33="","",PPMT(INPUTS!$B$5,C33,INPUTS!$B$6,-INPUTS!$B$3,0,0))</f>
        <v/>
      </c>
      <c r="H33" s="6" t="str">
        <f t="shared" si="3"/>
        <v/>
      </c>
      <c r="I33" s="6" t="str">
        <f t="shared" ref="I33:I36" si="4">IF(C33="","",H33-G33)</f>
        <v/>
      </c>
    </row>
    <row r="34" spans="1:9" hidden="1" x14ac:dyDescent="0.3">
      <c r="A34" s="16" t="str">
        <f t="shared" si="0"/>
        <v/>
      </c>
      <c r="D34" s="14" t="str">
        <f t="shared" si="2"/>
        <v/>
      </c>
      <c r="E34" s="6" t="str">
        <f>IF(C34="","",PMT(INPUTS!$B$5,INPUTS!$B$6,-INPUTS!$B$3,0,0))</f>
        <v/>
      </c>
      <c r="F34" s="6" t="str">
        <f>IF(C34="","",IPMT(INPUTS!$B$5,C34,INPUTS!$B$6,-INPUTS!$B$3,0,0))</f>
        <v/>
      </c>
      <c r="G34" s="6" t="str">
        <f>IF(C34="","",PPMT(INPUTS!$B$5,C34,INPUTS!$B$6,-INPUTS!$B$3,0,0))</f>
        <v/>
      </c>
      <c r="H34" s="6" t="str">
        <f t="shared" si="3"/>
        <v/>
      </c>
      <c r="I34" s="6" t="str">
        <f t="shared" si="4"/>
        <v/>
      </c>
    </row>
    <row r="35" spans="1:9" hidden="1" x14ac:dyDescent="0.3">
      <c r="A35" s="16" t="str">
        <f t="shared" si="0"/>
        <v/>
      </c>
      <c r="D35" s="14" t="str">
        <f t="shared" si="2"/>
        <v/>
      </c>
      <c r="E35" s="6" t="str">
        <f>IF(C35="","",PMT(INPUTS!$B$5,INPUTS!$B$6,-INPUTS!$B$3,0,0))</f>
        <v/>
      </c>
      <c r="F35" s="6" t="str">
        <f>IF(C35="","",IPMT(INPUTS!$B$5,C35,INPUTS!$B$6,-INPUTS!$B$3,0,0))</f>
        <v/>
      </c>
      <c r="G35" s="6" t="str">
        <f>IF(C35="","",PPMT(INPUTS!$B$5,C35,INPUTS!$B$6,-INPUTS!$B$3,0,0))</f>
        <v/>
      </c>
      <c r="H35" s="6" t="str">
        <f t="shared" si="3"/>
        <v/>
      </c>
      <c r="I35" s="6" t="str">
        <f t="shared" si="4"/>
        <v/>
      </c>
    </row>
    <row r="36" spans="1:9" hidden="1" x14ac:dyDescent="0.3">
      <c r="A36" s="16" t="str">
        <f t="shared" si="0"/>
        <v/>
      </c>
      <c r="D36" s="14" t="str">
        <f t="shared" si="2"/>
        <v/>
      </c>
      <c r="E36" s="6" t="str">
        <f>IF(C36="","",PMT(INPUTS!$B$5,INPUTS!$B$6,-INPUTS!$B$3,0,0))</f>
        <v/>
      </c>
      <c r="F36" s="6" t="str">
        <f>IF(C36="","",IPMT(INPUTS!$B$5,C36,INPUTS!$B$6,-INPUTS!$B$3,0,0))</f>
        <v/>
      </c>
      <c r="G36" s="6" t="str">
        <f>IF(C36="","",PPMT(INPUTS!$B$5,C36,INPUTS!$B$6,-INPUTS!$B$3,0,0))</f>
        <v/>
      </c>
      <c r="H36" s="6" t="str">
        <f t="shared" si="3"/>
        <v/>
      </c>
      <c r="I36" s="6" t="str">
        <f t="shared" si="4"/>
        <v/>
      </c>
    </row>
    <row r="37" spans="1:9" hidden="1" x14ac:dyDescent="0.3">
      <c r="A37" s="16" t="str">
        <f t="shared" si="0"/>
        <v/>
      </c>
      <c r="D37" s="14" t="str">
        <f t="shared" si="2"/>
        <v/>
      </c>
      <c r="E37" s="6" t="str">
        <f>IF(C37="","",PMT(INPUTS!$B$5,INPUTS!$B$6,-INPUTS!$B$3,0,0))</f>
        <v/>
      </c>
      <c r="F37" s="6" t="str">
        <f>IF(C37="","",IPMT(INPUTS!$B$5,C37,INPUTS!$B$6,-INPUTS!$B$3,0,0))</f>
        <v/>
      </c>
      <c r="G37" s="6" t="str">
        <f>IF(C37="","",PPMT(INPUTS!$B$5,C37,INPUTS!$B$6,-INPUTS!$B$3,0,0))</f>
        <v/>
      </c>
      <c r="H37" s="6" t="str">
        <f t="shared" si="3"/>
        <v/>
      </c>
      <c r="I37" s="6" t="str">
        <f t="shared" ref="I37:I47" si="5">IF(C37="","",H37-G37)</f>
        <v/>
      </c>
    </row>
    <row r="38" spans="1:9" hidden="1" x14ac:dyDescent="0.3">
      <c r="A38" s="16" t="str">
        <f t="shared" si="0"/>
        <v/>
      </c>
      <c r="D38" s="14" t="str">
        <f t="shared" si="2"/>
        <v/>
      </c>
      <c r="E38" s="6" t="str">
        <f>IF(C38="","",PMT(INPUTS!$B$5,INPUTS!$B$6,-INPUTS!$B$3,0,0))</f>
        <v/>
      </c>
      <c r="F38" s="6" t="str">
        <f>IF(C38="","",IPMT(INPUTS!$B$5,C38,INPUTS!$B$6,-INPUTS!$B$3,0,0))</f>
        <v/>
      </c>
      <c r="G38" s="6" t="str">
        <f>IF(C38="","",PPMT(INPUTS!$B$5,C38,INPUTS!$B$6,-INPUTS!$B$3,0,0))</f>
        <v/>
      </c>
      <c r="H38" s="6" t="str">
        <f t="shared" si="3"/>
        <v/>
      </c>
      <c r="I38" s="6" t="str">
        <f t="shared" si="5"/>
        <v/>
      </c>
    </row>
    <row r="39" spans="1:9" hidden="1" x14ac:dyDescent="0.3">
      <c r="A39" s="16" t="str">
        <f t="shared" si="0"/>
        <v/>
      </c>
      <c r="D39" s="14" t="str">
        <f t="shared" si="2"/>
        <v/>
      </c>
      <c r="E39" s="6" t="str">
        <f>IF(C39="","",PMT(INPUTS!$B$5,INPUTS!$B$6,-INPUTS!$B$3,0,0))</f>
        <v/>
      </c>
      <c r="F39" s="6" t="str">
        <f>IF(C39="","",IPMT(INPUTS!$B$5,C39,INPUTS!$B$6,-INPUTS!$B$3,0,0))</f>
        <v/>
      </c>
      <c r="G39" s="6" t="str">
        <f>IF(C39="","",PPMT(INPUTS!$B$5,C39,INPUTS!$B$6,-INPUTS!$B$3,0,0))</f>
        <v/>
      </c>
      <c r="H39" s="6" t="str">
        <f t="shared" si="3"/>
        <v/>
      </c>
      <c r="I39" s="6" t="str">
        <f t="shared" si="5"/>
        <v/>
      </c>
    </row>
    <row r="40" spans="1:9" hidden="1" x14ac:dyDescent="0.3">
      <c r="A40" s="16" t="str">
        <f t="shared" si="0"/>
        <v/>
      </c>
      <c r="D40" s="14" t="str">
        <f t="shared" si="2"/>
        <v/>
      </c>
      <c r="E40" s="6" t="str">
        <f>IF(C40="","",PMT(INPUTS!$B$5,INPUTS!$B$6,-INPUTS!$B$3,0,0))</f>
        <v/>
      </c>
      <c r="F40" s="6" t="str">
        <f>IF(C40="","",IPMT(INPUTS!$B$5,C40,INPUTS!$B$6,-INPUTS!$B$3,0,0))</f>
        <v/>
      </c>
      <c r="G40" s="6" t="str">
        <f>IF(C40="","",PPMT(INPUTS!$B$5,C40,INPUTS!$B$6,-INPUTS!$B$3,0,0))</f>
        <v/>
      </c>
      <c r="H40" s="6" t="str">
        <f t="shared" si="3"/>
        <v/>
      </c>
      <c r="I40" s="6" t="str">
        <f t="shared" si="5"/>
        <v/>
      </c>
    </row>
    <row r="41" spans="1:9" hidden="1" x14ac:dyDescent="0.3">
      <c r="A41" s="16" t="str">
        <f t="shared" si="0"/>
        <v/>
      </c>
      <c r="D41" s="14" t="str">
        <f t="shared" si="2"/>
        <v/>
      </c>
      <c r="E41" s="6" t="str">
        <f>IF(C41="","",PMT(INPUTS!$B$5,INPUTS!$B$6,-INPUTS!$B$3,0,0))</f>
        <v/>
      </c>
      <c r="F41" s="6" t="str">
        <f>IF(C41="","",IPMT(INPUTS!$B$5,C41,INPUTS!$B$6,-INPUTS!$B$3,0,0))</f>
        <v/>
      </c>
      <c r="G41" s="6" t="str">
        <f>IF(C41="","",PPMT(INPUTS!$B$5,C41,INPUTS!$B$6,-INPUTS!$B$3,0,0))</f>
        <v/>
      </c>
      <c r="H41" s="6" t="str">
        <f t="shared" si="3"/>
        <v/>
      </c>
      <c r="I41" s="6" t="str">
        <f t="shared" si="5"/>
        <v/>
      </c>
    </row>
    <row r="42" spans="1:9" hidden="1" x14ac:dyDescent="0.3">
      <c r="A42" s="16" t="str">
        <f t="shared" si="0"/>
        <v/>
      </c>
      <c r="D42" s="14" t="str">
        <f t="shared" si="2"/>
        <v/>
      </c>
      <c r="E42" s="6" t="str">
        <f>IF(C42="","",PMT(INPUTS!$B$5,INPUTS!$B$6,-INPUTS!$B$3,0,0))</f>
        <v/>
      </c>
      <c r="F42" s="6" t="str">
        <f>IF(C42="","",IPMT(INPUTS!$B$5,C42,INPUTS!$B$6,-INPUTS!$B$3,0,0))</f>
        <v/>
      </c>
      <c r="G42" s="6" t="str">
        <f>IF(C42="","",PPMT(INPUTS!$B$5,C42,INPUTS!$B$6,-INPUTS!$B$3,0,0))</f>
        <v/>
      </c>
      <c r="H42" s="6" t="str">
        <f t="shared" si="3"/>
        <v/>
      </c>
      <c r="I42" s="6" t="str">
        <f t="shared" si="5"/>
        <v/>
      </c>
    </row>
    <row r="43" spans="1:9" hidden="1" x14ac:dyDescent="0.3">
      <c r="A43" s="16" t="str">
        <f t="shared" si="0"/>
        <v/>
      </c>
      <c r="D43" s="14" t="str">
        <f t="shared" si="2"/>
        <v/>
      </c>
      <c r="E43" s="6" t="str">
        <f>IF(C43="","",PMT(INPUTS!$B$5,INPUTS!$B$6,-INPUTS!$B$3,0,0))</f>
        <v/>
      </c>
      <c r="F43" s="6" t="str">
        <f>IF(C43="","",IPMT(INPUTS!$B$5,C43,INPUTS!$B$6,-INPUTS!$B$3,0,0))</f>
        <v/>
      </c>
      <c r="G43" s="6" t="str">
        <f>IF(C43="","",PPMT(INPUTS!$B$5,C43,INPUTS!$B$6,-INPUTS!$B$3,0,0))</f>
        <v/>
      </c>
      <c r="H43" s="6" t="str">
        <f t="shared" si="3"/>
        <v/>
      </c>
      <c r="I43" s="6" t="str">
        <f t="shared" si="5"/>
        <v/>
      </c>
    </row>
    <row r="44" spans="1:9" hidden="1" x14ac:dyDescent="0.3">
      <c r="A44" s="16" t="str">
        <f t="shared" si="0"/>
        <v/>
      </c>
      <c r="D44" s="14" t="str">
        <f t="shared" si="2"/>
        <v/>
      </c>
      <c r="E44" s="6" t="str">
        <f>IF(C44="","",PMT(INPUTS!$B$5,INPUTS!$B$6,-INPUTS!$B$3,0,0))</f>
        <v/>
      </c>
      <c r="F44" s="6" t="str">
        <f>IF(C44="","",IPMT(INPUTS!$B$5,C44,INPUTS!$B$6,-INPUTS!$B$3,0,0))</f>
        <v/>
      </c>
      <c r="G44" s="6" t="str">
        <f>IF(C44="","",PPMT(INPUTS!$B$5,C44,INPUTS!$B$6,-INPUTS!$B$3,0,0))</f>
        <v/>
      </c>
      <c r="H44" s="6" t="str">
        <f t="shared" si="3"/>
        <v/>
      </c>
      <c r="I44" s="6" t="str">
        <f t="shared" si="5"/>
        <v/>
      </c>
    </row>
    <row r="45" spans="1:9" hidden="1" x14ac:dyDescent="0.3">
      <c r="A45" s="16" t="str">
        <f t="shared" si="0"/>
        <v/>
      </c>
      <c r="D45" s="14" t="str">
        <f t="shared" si="2"/>
        <v/>
      </c>
      <c r="E45" s="6" t="str">
        <f>IF(C45="","",PMT(INPUTS!$B$5,INPUTS!$B$6,-INPUTS!$B$3,0,0))</f>
        <v/>
      </c>
      <c r="F45" s="6" t="str">
        <f>IF(C45="","",IPMT(INPUTS!$B$5,C45,INPUTS!$B$6,-INPUTS!$B$3,0,0))</f>
        <v/>
      </c>
      <c r="G45" s="6" t="str">
        <f>IF(C45="","",PPMT(INPUTS!$B$5,C45,INPUTS!$B$6,-INPUTS!$B$3,0,0))</f>
        <v/>
      </c>
      <c r="H45" s="6" t="str">
        <f t="shared" si="3"/>
        <v/>
      </c>
      <c r="I45" s="6" t="str">
        <f t="shared" si="5"/>
        <v/>
      </c>
    </row>
    <row r="46" spans="1:9" hidden="1" x14ac:dyDescent="0.3">
      <c r="A46" s="16" t="str">
        <f t="shared" si="0"/>
        <v/>
      </c>
      <c r="D46" s="14" t="str">
        <f t="shared" si="2"/>
        <v/>
      </c>
      <c r="E46" s="6" t="str">
        <f>IF(C46="","",PMT(INPUTS!$B$5,INPUTS!$B$6,-INPUTS!$B$3,0,0))</f>
        <v/>
      </c>
      <c r="F46" s="6" t="str">
        <f>IF(C46="","",IPMT(INPUTS!$B$5,C46,INPUTS!$B$6,-INPUTS!$B$3,0,0))</f>
        <v/>
      </c>
      <c r="G46" s="6" t="str">
        <f>IF(C46="","",PPMT(INPUTS!$B$5,C46,INPUTS!$B$6,-INPUTS!$B$3,0,0))</f>
        <v/>
      </c>
      <c r="H46" s="6" t="str">
        <f t="shared" si="3"/>
        <v/>
      </c>
      <c r="I46" s="6" t="str">
        <f t="shared" si="5"/>
        <v/>
      </c>
    </row>
    <row r="47" spans="1:9" hidden="1" x14ac:dyDescent="0.3">
      <c r="A47" s="16" t="str">
        <f t="shared" si="0"/>
        <v/>
      </c>
      <c r="D47" s="14" t="str">
        <f t="shared" si="2"/>
        <v/>
      </c>
      <c r="E47" s="6" t="str">
        <f>IF(C47="","",PMT(INPUTS!$B$5,INPUTS!$B$6,-INPUTS!$B$3,0,0))</f>
        <v/>
      </c>
      <c r="F47" s="6" t="str">
        <f>IF(C47="","",IPMT(INPUTS!$B$5,C47,INPUTS!$B$6,-INPUTS!$B$3,0,0))</f>
        <v/>
      </c>
      <c r="G47" s="6" t="str">
        <f>IF(C47="","",PPMT(INPUTS!$B$5,C47,INPUTS!$B$6,-INPUTS!$B$3,0,0))</f>
        <v/>
      </c>
      <c r="H47" s="6" t="str">
        <f t="shared" si="3"/>
        <v/>
      </c>
      <c r="I47" s="6" t="str">
        <f t="shared" si="5"/>
        <v/>
      </c>
    </row>
    <row r="48" spans="1:9" hidden="1" x14ac:dyDescent="0.3">
      <c r="A48" s="16" t="str">
        <f t="shared" si="0"/>
        <v/>
      </c>
      <c r="D48" s="14" t="str">
        <f t="shared" si="2"/>
        <v/>
      </c>
      <c r="E48" s="6" t="str">
        <f>IF(C48="","",PMT(INPUTS!$B$5,INPUTS!$B$6,-INPUTS!$B$3,0,0))</f>
        <v/>
      </c>
      <c r="F48" s="6" t="str">
        <f>IF(C48="","",IPMT(INPUTS!$B$5,C48,INPUTS!$B$6,-INPUTS!$B$3,0,0))</f>
        <v/>
      </c>
      <c r="G48" s="6" t="str">
        <f>IF(C48="","",PPMT(INPUTS!$B$5,C48,INPUTS!$B$6,-INPUTS!$B$3,0,0))</f>
        <v/>
      </c>
      <c r="H48" s="6" t="str">
        <f t="shared" si="3"/>
        <v/>
      </c>
      <c r="I48" s="6" t="str">
        <f t="shared" ref="I48:I111" si="6">IF(C48="","",H48-G48)</f>
        <v/>
      </c>
    </row>
    <row r="49" spans="1:9" hidden="1" x14ac:dyDescent="0.3">
      <c r="A49" s="16" t="str">
        <f t="shared" si="0"/>
        <v/>
      </c>
      <c r="D49" s="14" t="str">
        <f t="shared" si="2"/>
        <v/>
      </c>
      <c r="E49" s="6" t="str">
        <f>IF(C49="","",PMT(INPUTS!$B$5,INPUTS!$B$6,-INPUTS!$B$3,0,0))</f>
        <v/>
      </c>
      <c r="F49" s="6" t="str">
        <f>IF(C49="","",IPMT(INPUTS!$B$5,C49,INPUTS!$B$6,-INPUTS!$B$3,0,0))</f>
        <v/>
      </c>
      <c r="G49" s="6" t="str">
        <f>IF(C49="","",PPMT(INPUTS!$B$5,C49,INPUTS!$B$6,-INPUTS!$B$3,0,0))</f>
        <v/>
      </c>
      <c r="H49" s="6" t="str">
        <f t="shared" si="3"/>
        <v/>
      </c>
      <c r="I49" s="6" t="str">
        <f t="shared" si="6"/>
        <v/>
      </c>
    </row>
    <row r="50" spans="1:9" hidden="1" x14ac:dyDescent="0.3">
      <c r="A50" s="16" t="str">
        <f t="shared" si="0"/>
        <v/>
      </c>
      <c r="D50" s="14" t="str">
        <f t="shared" si="2"/>
        <v/>
      </c>
      <c r="E50" s="6" t="str">
        <f>IF(C50="","",PMT(INPUTS!$B$5,INPUTS!$B$6,-INPUTS!$B$3,0,0))</f>
        <v/>
      </c>
      <c r="F50" s="6" t="str">
        <f>IF(C50="","",IPMT(INPUTS!$B$5,C50,INPUTS!$B$6,-INPUTS!$B$3,0,0))</f>
        <v/>
      </c>
      <c r="G50" s="6" t="str">
        <f>IF(C50="","",PPMT(INPUTS!$B$5,C50,INPUTS!$B$6,-INPUTS!$B$3,0,0))</f>
        <v/>
      </c>
      <c r="H50" s="6" t="str">
        <f t="shared" si="3"/>
        <v/>
      </c>
      <c r="I50" s="6" t="str">
        <f t="shared" si="6"/>
        <v/>
      </c>
    </row>
    <row r="51" spans="1:9" hidden="1" x14ac:dyDescent="0.3">
      <c r="A51" s="16" t="str">
        <f t="shared" si="0"/>
        <v/>
      </c>
      <c r="D51" s="14" t="str">
        <f t="shared" si="2"/>
        <v/>
      </c>
      <c r="E51" s="6" t="str">
        <f>IF(C51="","",PMT(INPUTS!$B$5,INPUTS!$B$6,-INPUTS!$B$3,0,0))</f>
        <v/>
      </c>
      <c r="F51" s="6" t="str">
        <f>IF(C51="","",IPMT(INPUTS!$B$5,C51,INPUTS!$B$6,-INPUTS!$B$3,0,0))</f>
        <v/>
      </c>
      <c r="G51" s="6" t="str">
        <f>IF(C51="","",PPMT(INPUTS!$B$5,C51,INPUTS!$B$6,-INPUTS!$B$3,0,0))</f>
        <v/>
      </c>
      <c r="H51" s="6" t="str">
        <f t="shared" si="3"/>
        <v/>
      </c>
      <c r="I51" s="6" t="str">
        <f t="shared" si="6"/>
        <v/>
      </c>
    </row>
    <row r="52" spans="1:9" hidden="1" x14ac:dyDescent="0.3">
      <c r="A52" s="16" t="str">
        <f t="shared" si="0"/>
        <v/>
      </c>
      <c r="D52" s="14" t="str">
        <f t="shared" si="2"/>
        <v/>
      </c>
      <c r="E52" s="6" t="str">
        <f>IF(C52="","",PMT(INPUTS!$B$5,INPUTS!$B$6,-INPUTS!$B$3,0,0))</f>
        <v/>
      </c>
      <c r="F52" s="6" t="str">
        <f>IF(C52="","",IPMT(INPUTS!$B$5,C52,INPUTS!$B$6,-INPUTS!$B$3,0,0))</f>
        <v/>
      </c>
      <c r="G52" s="6" t="str">
        <f>IF(C52="","",PPMT(INPUTS!$B$5,C52,INPUTS!$B$6,-INPUTS!$B$3,0,0))</f>
        <v/>
      </c>
      <c r="H52" s="6" t="str">
        <f t="shared" si="3"/>
        <v/>
      </c>
      <c r="I52" s="6" t="str">
        <f t="shared" si="6"/>
        <v/>
      </c>
    </row>
    <row r="53" spans="1:9" hidden="1" x14ac:dyDescent="0.3">
      <c r="A53" s="16" t="str">
        <f t="shared" si="0"/>
        <v/>
      </c>
      <c r="D53" s="14" t="str">
        <f t="shared" si="2"/>
        <v/>
      </c>
      <c r="E53" s="6" t="str">
        <f>IF(C53="","",PMT(INPUTS!$B$5,INPUTS!$B$6,-INPUTS!$B$3,0,0))</f>
        <v/>
      </c>
      <c r="F53" s="6" t="str">
        <f>IF(C53="","",IPMT(INPUTS!$B$5,C53,INPUTS!$B$6,-INPUTS!$B$3,0,0))</f>
        <v/>
      </c>
      <c r="G53" s="6" t="str">
        <f>IF(C53="","",PPMT(INPUTS!$B$5,C53,INPUTS!$B$6,-INPUTS!$B$3,0,0))</f>
        <v/>
      </c>
      <c r="H53" s="6" t="str">
        <f t="shared" si="3"/>
        <v/>
      </c>
      <c r="I53" s="6" t="str">
        <f t="shared" si="6"/>
        <v/>
      </c>
    </row>
    <row r="54" spans="1:9" hidden="1" x14ac:dyDescent="0.3">
      <c r="A54" s="16" t="str">
        <f t="shared" si="0"/>
        <v/>
      </c>
      <c r="D54" s="14" t="str">
        <f t="shared" si="2"/>
        <v/>
      </c>
      <c r="E54" s="6" t="str">
        <f>IF(C54="","",PMT(INPUTS!$B$5,INPUTS!$B$6,-INPUTS!$B$3,0,0))</f>
        <v/>
      </c>
      <c r="F54" s="6" t="str">
        <f>IF(C54="","",IPMT(INPUTS!$B$5,C54,INPUTS!$B$6,-INPUTS!$B$3,0,0))</f>
        <v/>
      </c>
      <c r="G54" s="6" t="str">
        <f>IF(C54="","",PPMT(INPUTS!$B$5,C54,INPUTS!$B$6,-INPUTS!$B$3,0,0))</f>
        <v/>
      </c>
      <c r="H54" s="6" t="str">
        <f t="shared" si="3"/>
        <v/>
      </c>
      <c r="I54" s="6" t="str">
        <f t="shared" si="6"/>
        <v/>
      </c>
    </row>
    <row r="55" spans="1:9" hidden="1" x14ac:dyDescent="0.3">
      <c r="A55" s="16" t="str">
        <f t="shared" si="0"/>
        <v/>
      </c>
      <c r="D55" s="14" t="str">
        <f t="shared" si="2"/>
        <v/>
      </c>
      <c r="E55" s="6" t="str">
        <f>IF(C55="","",PMT(INPUTS!$B$5,INPUTS!$B$6,-INPUTS!$B$3,0,0))</f>
        <v/>
      </c>
      <c r="F55" s="6" t="str">
        <f>IF(C55="","",IPMT(INPUTS!$B$5,C55,INPUTS!$B$6,-INPUTS!$B$3,0,0))</f>
        <v/>
      </c>
      <c r="G55" s="6" t="str">
        <f>IF(C55="","",PPMT(INPUTS!$B$5,C55,INPUTS!$B$6,-INPUTS!$B$3,0,0))</f>
        <v/>
      </c>
      <c r="H55" s="6" t="str">
        <f t="shared" si="3"/>
        <v/>
      </c>
      <c r="I55" s="6" t="str">
        <f t="shared" si="6"/>
        <v/>
      </c>
    </row>
    <row r="56" spans="1:9" hidden="1" x14ac:dyDescent="0.3">
      <c r="A56" s="16" t="str">
        <f t="shared" si="0"/>
        <v/>
      </c>
      <c r="D56" s="14" t="str">
        <f t="shared" si="2"/>
        <v/>
      </c>
      <c r="E56" s="6" t="str">
        <f>IF(C56="","",PMT(INPUTS!$B$5,INPUTS!$B$6,-INPUTS!$B$3,0,0))</f>
        <v/>
      </c>
      <c r="F56" s="6" t="str">
        <f>IF(C56="","",IPMT(INPUTS!$B$5,C56,INPUTS!$B$6,-INPUTS!$B$3,0,0))</f>
        <v/>
      </c>
      <c r="G56" s="6" t="str">
        <f>IF(C56="","",PPMT(INPUTS!$B$5,C56,INPUTS!$B$6,-INPUTS!$B$3,0,0))</f>
        <v/>
      </c>
      <c r="H56" s="6" t="str">
        <f t="shared" si="3"/>
        <v/>
      </c>
      <c r="I56" s="6" t="str">
        <f t="shared" si="6"/>
        <v/>
      </c>
    </row>
    <row r="57" spans="1:9" hidden="1" x14ac:dyDescent="0.3">
      <c r="A57" s="16" t="str">
        <f t="shared" si="0"/>
        <v/>
      </c>
      <c r="D57" s="14" t="str">
        <f t="shared" si="2"/>
        <v/>
      </c>
      <c r="E57" s="6" t="str">
        <f>IF(C57="","",PMT(INPUTS!$B$5,INPUTS!$B$6,-INPUTS!$B$3,0,0))</f>
        <v/>
      </c>
      <c r="F57" s="6" t="str">
        <f>IF(C57="","",IPMT(INPUTS!$B$5,C57,INPUTS!$B$6,-INPUTS!$B$3,0,0))</f>
        <v/>
      </c>
      <c r="G57" s="6" t="str">
        <f>IF(C57="","",PPMT(INPUTS!$B$5,C57,INPUTS!$B$6,-INPUTS!$B$3,0,0))</f>
        <v/>
      </c>
      <c r="H57" s="6" t="str">
        <f t="shared" si="3"/>
        <v/>
      </c>
      <c r="I57" s="6" t="str">
        <f t="shared" si="6"/>
        <v/>
      </c>
    </row>
    <row r="58" spans="1:9" hidden="1" x14ac:dyDescent="0.3">
      <c r="A58" s="16" t="str">
        <f t="shared" si="0"/>
        <v/>
      </c>
      <c r="D58" s="14" t="str">
        <f t="shared" si="2"/>
        <v/>
      </c>
      <c r="E58" s="6" t="str">
        <f>IF(C58="","",PMT(INPUTS!$B$5,INPUTS!$B$6,-INPUTS!$B$3,0,0))</f>
        <v/>
      </c>
      <c r="F58" s="6" t="str">
        <f>IF(C58="","",IPMT(INPUTS!$B$5,C58,INPUTS!$B$6,-INPUTS!$B$3,0,0))</f>
        <v/>
      </c>
      <c r="G58" s="6" t="str">
        <f>IF(C58="","",PPMT(INPUTS!$B$5,C58,INPUTS!$B$6,-INPUTS!$B$3,0,0))</f>
        <v/>
      </c>
      <c r="H58" s="6" t="str">
        <f t="shared" si="3"/>
        <v/>
      </c>
      <c r="I58" s="6" t="str">
        <f t="shared" si="6"/>
        <v/>
      </c>
    </row>
    <row r="59" spans="1:9" hidden="1" x14ac:dyDescent="0.3">
      <c r="A59" s="16" t="str">
        <f t="shared" si="0"/>
        <v/>
      </c>
      <c r="D59" s="14" t="str">
        <f t="shared" si="2"/>
        <v/>
      </c>
      <c r="E59" s="6" t="str">
        <f>IF(C59="","",PMT(INPUTS!$B$5,INPUTS!$B$6,-INPUTS!$B$3,0,0))</f>
        <v/>
      </c>
      <c r="F59" s="6" t="str">
        <f>IF(C59="","",IPMT(INPUTS!$B$5,C59,INPUTS!$B$6,-INPUTS!$B$3,0,0))</f>
        <v/>
      </c>
      <c r="G59" s="6" t="str">
        <f>IF(C59="","",PPMT(INPUTS!$B$5,C59,INPUTS!$B$6,-INPUTS!$B$3,0,0))</f>
        <v/>
      </c>
      <c r="H59" s="6" t="str">
        <f t="shared" si="3"/>
        <v/>
      </c>
      <c r="I59" s="6" t="str">
        <f t="shared" si="6"/>
        <v/>
      </c>
    </row>
    <row r="60" spans="1:9" hidden="1" x14ac:dyDescent="0.3">
      <c r="A60" s="16" t="str">
        <f t="shared" si="0"/>
        <v/>
      </c>
      <c r="D60" s="14" t="str">
        <f t="shared" si="2"/>
        <v/>
      </c>
      <c r="E60" s="6" t="str">
        <f>IF(C60="","",PMT(INPUTS!$B$5,INPUTS!$B$6,-INPUTS!$B$3,0,0))</f>
        <v/>
      </c>
      <c r="F60" s="6" t="str">
        <f>IF(C60="","",IPMT(INPUTS!$B$5,C60,INPUTS!$B$6,-INPUTS!$B$3,0,0))</f>
        <v/>
      </c>
      <c r="G60" s="6" t="str">
        <f>IF(C60="","",PPMT(INPUTS!$B$5,C60,INPUTS!$B$6,-INPUTS!$B$3,0,0))</f>
        <v/>
      </c>
      <c r="H60" s="6" t="str">
        <f t="shared" si="3"/>
        <v/>
      </c>
      <c r="I60" s="6" t="str">
        <f t="shared" si="6"/>
        <v/>
      </c>
    </row>
    <row r="61" spans="1:9" hidden="1" x14ac:dyDescent="0.3">
      <c r="A61" s="16" t="str">
        <f t="shared" si="0"/>
        <v/>
      </c>
      <c r="D61" s="14" t="str">
        <f t="shared" si="2"/>
        <v/>
      </c>
      <c r="E61" s="6" t="str">
        <f>IF(C61="","",PMT(INPUTS!$B$5,INPUTS!$B$6,-INPUTS!$B$3,0,0))</f>
        <v/>
      </c>
      <c r="F61" s="6" t="str">
        <f>IF(C61="","",IPMT(INPUTS!$B$5,C61,INPUTS!$B$6,-INPUTS!$B$3,0,0))</f>
        <v/>
      </c>
      <c r="G61" s="6" t="str">
        <f>IF(C61="","",PPMT(INPUTS!$B$5,C61,INPUTS!$B$6,-INPUTS!$B$3,0,0))</f>
        <v/>
      </c>
      <c r="H61" s="6" t="str">
        <f t="shared" si="3"/>
        <v/>
      </c>
      <c r="I61" s="6" t="str">
        <f t="shared" si="6"/>
        <v/>
      </c>
    </row>
    <row r="62" spans="1:9" hidden="1" x14ac:dyDescent="0.3">
      <c r="A62" s="16" t="str">
        <f t="shared" si="0"/>
        <v/>
      </c>
      <c r="D62" s="14" t="str">
        <f t="shared" si="2"/>
        <v/>
      </c>
      <c r="E62" s="6" t="str">
        <f>IF(C62="","",PMT(INPUTS!$B$5,INPUTS!$B$6,-INPUTS!$B$3,0,0))</f>
        <v/>
      </c>
      <c r="F62" s="6" t="str">
        <f>IF(C62="","",IPMT(INPUTS!$B$5,C62,INPUTS!$B$6,-INPUTS!$B$3,0,0))</f>
        <v/>
      </c>
      <c r="G62" s="6" t="str">
        <f>IF(C62="","",PPMT(INPUTS!$B$5,C62,INPUTS!$B$6,-INPUTS!$B$3,0,0))</f>
        <v/>
      </c>
      <c r="H62" s="6" t="str">
        <f t="shared" si="3"/>
        <v/>
      </c>
      <c r="I62" s="6" t="str">
        <f t="shared" si="6"/>
        <v/>
      </c>
    </row>
    <row r="63" spans="1:9" hidden="1" x14ac:dyDescent="0.3">
      <c r="A63" s="16" t="str">
        <f t="shared" si="0"/>
        <v/>
      </c>
      <c r="D63" s="14" t="str">
        <f t="shared" si="2"/>
        <v/>
      </c>
      <c r="E63" s="6" t="str">
        <f>IF(C63="","",PMT(INPUTS!$B$5,INPUTS!$B$6,-INPUTS!$B$3,0,0))</f>
        <v/>
      </c>
      <c r="F63" s="6" t="str">
        <f>IF(C63="","",IPMT(INPUTS!$B$5,C63,INPUTS!$B$6,-INPUTS!$B$3,0,0))</f>
        <v/>
      </c>
      <c r="G63" s="6" t="str">
        <f>IF(C63="","",PPMT(INPUTS!$B$5,C63,INPUTS!$B$6,-INPUTS!$B$3,0,0))</f>
        <v/>
      </c>
      <c r="H63" s="6" t="str">
        <f t="shared" si="3"/>
        <v/>
      </c>
      <c r="I63" s="6" t="str">
        <f t="shared" si="6"/>
        <v/>
      </c>
    </row>
    <row r="64" spans="1:9" hidden="1" x14ac:dyDescent="0.3">
      <c r="A64" s="16" t="str">
        <f t="shared" si="0"/>
        <v/>
      </c>
      <c r="D64" s="14" t="str">
        <f t="shared" si="2"/>
        <v/>
      </c>
      <c r="E64" s="6" t="str">
        <f>IF(C64="","",PMT(INPUTS!$B$5,INPUTS!$B$6,-INPUTS!$B$3,0,0))</f>
        <v/>
      </c>
      <c r="F64" s="6" t="str">
        <f>IF(C64="","",IPMT(INPUTS!$B$5,C64,INPUTS!$B$6,-INPUTS!$B$3,0,0))</f>
        <v/>
      </c>
      <c r="G64" s="6" t="str">
        <f>IF(C64="","",PPMT(INPUTS!$B$5,C64,INPUTS!$B$6,-INPUTS!$B$3,0,0))</f>
        <v/>
      </c>
      <c r="H64" s="6" t="str">
        <f t="shared" si="3"/>
        <v/>
      </c>
      <c r="I64" s="6" t="str">
        <f t="shared" si="6"/>
        <v/>
      </c>
    </row>
    <row r="65" spans="1:9" hidden="1" x14ac:dyDescent="0.3">
      <c r="A65" s="16" t="str">
        <f t="shared" si="0"/>
        <v/>
      </c>
      <c r="D65" s="14" t="str">
        <f t="shared" si="2"/>
        <v/>
      </c>
      <c r="E65" s="6" t="str">
        <f>IF(C65="","",PMT(INPUTS!$B$5,INPUTS!$B$6,-INPUTS!$B$3,0,0))</f>
        <v/>
      </c>
      <c r="F65" s="6" t="str">
        <f>IF(C65="","",IPMT(INPUTS!$B$5,C65,INPUTS!$B$6,-INPUTS!$B$3,0,0))</f>
        <v/>
      </c>
      <c r="G65" s="6" t="str">
        <f>IF(C65="","",PPMT(INPUTS!$B$5,C65,INPUTS!$B$6,-INPUTS!$B$3,0,0))</f>
        <v/>
      </c>
      <c r="H65" s="6" t="str">
        <f t="shared" si="3"/>
        <v/>
      </c>
      <c r="I65" s="6" t="str">
        <f t="shared" si="6"/>
        <v/>
      </c>
    </row>
    <row r="66" spans="1:9" hidden="1" x14ac:dyDescent="0.3">
      <c r="A66" s="16" t="str">
        <f t="shared" si="0"/>
        <v/>
      </c>
      <c r="D66" s="14" t="str">
        <f t="shared" si="2"/>
        <v/>
      </c>
      <c r="E66" s="6" t="str">
        <f>IF(C66="","",PMT(INPUTS!$B$5,INPUTS!$B$6,-INPUTS!$B$3,0,0))</f>
        <v/>
      </c>
      <c r="F66" s="6" t="str">
        <f>IF(C66="","",IPMT(INPUTS!$B$5,C66,INPUTS!$B$6,-INPUTS!$B$3,0,0))</f>
        <v/>
      </c>
      <c r="G66" s="6" t="str">
        <f>IF(C66="","",PPMT(INPUTS!$B$5,C66,INPUTS!$B$6,-INPUTS!$B$3,0,0))</f>
        <v/>
      </c>
      <c r="H66" s="6" t="str">
        <f t="shared" si="3"/>
        <v/>
      </c>
      <c r="I66" s="6" t="str">
        <f t="shared" si="6"/>
        <v/>
      </c>
    </row>
    <row r="67" spans="1:9" hidden="1" x14ac:dyDescent="0.3">
      <c r="A67" s="16" t="str">
        <f t="shared" si="0"/>
        <v/>
      </c>
      <c r="D67" s="14" t="str">
        <f t="shared" si="2"/>
        <v/>
      </c>
      <c r="E67" s="6" t="str">
        <f>IF(C67="","",PMT(INPUTS!$B$5,INPUTS!$B$6,-INPUTS!$B$3,0,0))</f>
        <v/>
      </c>
      <c r="F67" s="6" t="str">
        <f>IF(C67="","",IPMT(INPUTS!$B$5,C67,INPUTS!$B$6,-INPUTS!$B$3,0,0))</f>
        <v/>
      </c>
      <c r="G67" s="6" t="str">
        <f>IF(C67="","",PPMT(INPUTS!$B$5,C67,INPUTS!$B$6,-INPUTS!$B$3,0,0))</f>
        <v/>
      </c>
      <c r="H67" s="6" t="str">
        <f t="shared" si="3"/>
        <v/>
      </c>
      <c r="I67" s="6" t="str">
        <f t="shared" si="6"/>
        <v/>
      </c>
    </row>
    <row r="68" spans="1:9" hidden="1" x14ac:dyDescent="0.3">
      <c r="A68" s="16" t="str">
        <f t="shared" si="0"/>
        <v/>
      </c>
      <c r="D68" s="14" t="str">
        <f t="shared" si="2"/>
        <v/>
      </c>
      <c r="E68" s="6" t="str">
        <f>IF(C68="","",PMT(INPUTS!$B$5,INPUTS!$B$6,-INPUTS!$B$3,0,0))</f>
        <v/>
      </c>
      <c r="F68" s="6" t="str">
        <f>IF(C68="","",IPMT(INPUTS!$B$5,C68,INPUTS!$B$6,-INPUTS!$B$3,0,0))</f>
        <v/>
      </c>
      <c r="G68" s="6" t="str">
        <f>IF(C68="","",PPMT(INPUTS!$B$5,C68,INPUTS!$B$6,-INPUTS!$B$3,0,0))</f>
        <v/>
      </c>
      <c r="H68" s="6" t="str">
        <f t="shared" si="3"/>
        <v/>
      </c>
      <c r="I68" s="6" t="str">
        <f t="shared" si="6"/>
        <v/>
      </c>
    </row>
    <row r="69" spans="1:9" hidden="1" x14ac:dyDescent="0.3">
      <c r="A69" s="16" t="str">
        <f t="shared" si="0"/>
        <v/>
      </c>
      <c r="D69" s="14" t="str">
        <f t="shared" si="2"/>
        <v/>
      </c>
      <c r="E69" s="6" t="str">
        <f>IF(C69="","",PMT(INPUTS!$B$5,INPUTS!$B$6,-INPUTS!$B$3,0,0))</f>
        <v/>
      </c>
      <c r="F69" s="6" t="str">
        <f>IF(C69="","",IPMT(INPUTS!$B$5,C69,INPUTS!$B$6,-INPUTS!$B$3,0,0))</f>
        <v/>
      </c>
      <c r="G69" s="6" t="str">
        <f>IF(C69="","",PPMT(INPUTS!$B$5,C69,INPUTS!$B$6,-INPUTS!$B$3,0,0))</f>
        <v/>
      </c>
      <c r="H69" s="6" t="str">
        <f t="shared" si="3"/>
        <v/>
      </c>
      <c r="I69" s="6" t="str">
        <f t="shared" si="6"/>
        <v/>
      </c>
    </row>
    <row r="70" spans="1:9" hidden="1" x14ac:dyDescent="0.3">
      <c r="A70" s="16" t="str">
        <f t="shared" si="0"/>
        <v/>
      </c>
      <c r="D70" s="14" t="str">
        <f t="shared" si="2"/>
        <v/>
      </c>
      <c r="E70" s="6" t="str">
        <f>IF(C70="","",PMT(INPUTS!$B$5,INPUTS!$B$6,-INPUTS!$B$3,0,0))</f>
        <v/>
      </c>
      <c r="F70" s="6" t="str">
        <f>IF(C70="","",IPMT(INPUTS!$B$5,C70,INPUTS!$B$6,-INPUTS!$B$3,0,0))</f>
        <v/>
      </c>
      <c r="G70" s="6" t="str">
        <f>IF(C70="","",PPMT(INPUTS!$B$5,C70,INPUTS!$B$6,-INPUTS!$B$3,0,0))</f>
        <v/>
      </c>
      <c r="H70" s="6" t="str">
        <f t="shared" si="3"/>
        <v/>
      </c>
      <c r="I70" s="6" t="str">
        <f t="shared" si="6"/>
        <v/>
      </c>
    </row>
    <row r="71" spans="1:9" hidden="1" x14ac:dyDescent="0.3">
      <c r="A71" s="16" t="str">
        <f t="shared" si="0"/>
        <v/>
      </c>
      <c r="D71" s="14" t="str">
        <f t="shared" si="2"/>
        <v/>
      </c>
      <c r="E71" s="6" t="str">
        <f>IF(C71="","",PMT(INPUTS!$B$5,INPUTS!$B$6,-INPUTS!$B$3,0,0))</f>
        <v/>
      </c>
      <c r="F71" s="6" t="str">
        <f>IF(C71="","",IPMT(INPUTS!$B$5,C71,INPUTS!$B$6,-INPUTS!$B$3,0,0))</f>
        <v/>
      </c>
      <c r="G71" s="6" t="str">
        <f>IF(C71="","",PPMT(INPUTS!$B$5,C71,INPUTS!$B$6,-INPUTS!$B$3,0,0))</f>
        <v/>
      </c>
      <c r="H71" s="6" t="str">
        <f t="shared" si="3"/>
        <v/>
      </c>
      <c r="I71" s="6" t="str">
        <f t="shared" si="6"/>
        <v/>
      </c>
    </row>
    <row r="72" spans="1:9" hidden="1" x14ac:dyDescent="0.3">
      <c r="A72" s="16" t="str">
        <f t="shared" si="0"/>
        <v/>
      </c>
      <c r="D72" s="14" t="str">
        <f t="shared" si="2"/>
        <v/>
      </c>
      <c r="E72" s="6" t="str">
        <f>IF(C72="","",PMT(INPUTS!$B$5,INPUTS!$B$6,-INPUTS!$B$3,0,0))</f>
        <v/>
      </c>
      <c r="F72" s="6" t="str">
        <f>IF(C72="","",IPMT(INPUTS!$B$5,C72,INPUTS!$B$6,-INPUTS!$B$3,0,0))</f>
        <v/>
      </c>
      <c r="G72" s="6" t="str">
        <f>IF(C72="","",PPMT(INPUTS!$B$5,C72,INPUTS!$B$6,-INPUTS!$B$3,0,0))</f>
        <v/>
      </c>
      <c r="H72" s="6" t="str">
        <f t="shared" si="3"/>
        <v/>
      </c>
      <c r="I72" s="6" t="str">
        <f t="shared" si="6"/>
        <v/>
      </c>
    </row>
    <row r="73" spans="1:9" hidden="1" x14ac:dyDescent="0.3">
      <c r="A73" s="16" t="str">
        <f t="shared" si="0"/>
        <v/>
      </c>
      <c r="D73" s="14" t="str">
        <f t="shared" si="2"/>
        <v/>
      </c>
      <c r="E73" s="6" t="str">
        <f>IF(C73="","",PMT(INPUTS!$B$5,INPUTS!$B$6,-INPUTS!$B$3,0,0))</f>
        <v/>
      </c>
      <c r="F73" s="6" t="str">
        <f>IF(C73="","",IPMT(INPUTS!$B$5,C73,INPUTS!$B$6,-INPUTS!$B$3,0,0))</f>
        <v/>
      </c>
      <c r="G73" s="6" t="str">
        <f>IF(C73="","",PPMT(INPUTS!$B$5,C73,INPUTS!$B$6,-INPUTS!$B$3,0,0))</f>
        <v/>
      </c>
      <c r="H73" s="6" t="str">
        <f t="shared" si="3"/>
        <v/>
      </c>
      <c r="I73" s="6" t="str">
        <f t="shared" si="6"/>
        <v/>
      </c>
    </row>
    <row r="74" spans="1:9" hidden="1" x14ac:dyDescent="0.3">
      <c r="A74" s="16" t="str">
        <f t="shared" si="0"/>
        <v/>
      </c>
      <c r="D74" s="14" t="str">
        <f t="shared" si="2"/>
        <v/>
      </c>
      <c r="E74" s="6" t="str">
        <f>IF(C74="","",PMT(INPUTS!$B$5,INPUTS!$B$6,-INPUTS!$B$3,0,0))</f>
        <v/>
      </c>
      <c r="F74" s="6" t="str">
        <f>IF(C74="","",IPMT(INPUTS!$B$5,C74,INPUTS!$B$6,-INPUTS!$B$3,0,0))</f>
        <v/>
      </c>
      <c r="G74" s="6" t="str">
        <f>IF(C74="","",PPMT(INPUTS!$B$5,C74,INPUTS!$B$6,-INPUTS!$B$3,0,0))</f>
        <v/>
      </c>
      <c r="H74" s="6" t="str">
        <f t="shared" si="3"/>
        <v/>
      </c>
      <c r="I74" s="6" t="str">
        <f t="shared" si="6"/>
        <v/>
      </c>
    </row>
    <row r="75" spans="1:9" hidden="1" x14ac:dyDescent="0.3">
      <c r="A75" s="16" t="str">
        <f t="shared" si="0"/>
        <v/>
      </c>
      <c r="D75" s="14" t="str">
        <f t="shared" si="2"/>
        <v/>
      </c>
      <c r="E75" s="6" t="str">
        <f>IF(C75="","",PMT(INPUTS!$B$5,INPUTS!$B$6,-INPUTS!$B$3,0,0))</f>
        <v/>
      </c>
      <c r="F75" s="6" t="str">
        <f>IF(C75="","",IPMT(INPUTS!$B$5,C75,INPUTS!$B$6,-INPUTS!$B$3,0,0))</f>
        <v/>
      </c>
      <c r="G75" s="6" t="str">
        <f>IF(C75="","",PPMT(INPUTS!$B$5,C75,INPUTS!$B$6,-INPUTS!$B$3,0,0))</f>
        <v/>
      </c>
      <c r="H75" s="6" t="str">
        <f t="shared" si="3"/>
        <v/>
      </c>
      <c r="I75" s="6" t="str">
        <f t="shared" si="6"/>
        <v/>
      </c>
    </row>
    <row r="76" spans="1:9" hidden="1" x14ac:dyDescent="0.3">
      <c r="A76" s="16" t="str">
        <f t="shared" si="0"/>
        <v/>
      </c>
      <c r="D76" s="14" t="str">
        <f t="shared" si="2"/>
        <v/>
      </c>
      <c r="E76" s="6" t="str">
        <f>IF(C76="","",PMT(INPUTS!$B$5,INPUTS!$B$6,-INPUTS!$B$3,0,0))</f>
        <v/>
      </c>
      <c r="F76" s="6" t="str">
        <f>IF(C76="","",IPMT(INPUTS!$B$5,C76,INPUTS!$B$6,-INPUTS!$B$3,0,0))</f>
        <v/>
      </c>
      <c r="G76" s="6" t="str">
        <f>IF(C76="","",PPMT(INPUTS!$B$5,C76,INPUTS!$B$6,-INPUTS!$B$3,0,0))</f>
        <v/>
      </c>
      <c r="H76" s="6" t="str">
        <f t="shared" si="3"/>
        <v/>
      </c>
      <c r="I76" s="6" t="str">
        <f t="shared" si="6"/>
        <v/>
      </c>
    </row>
    <row r="77" spans="1:9" hidden="1" x14ac:dyDescent="0.3">
      <c r="A77" s="16" t="str">
        <f t="shared" si="0"/>
        <v/>
      </c>
      <c r="D77" s="14" t="str">
        <f t="shared" si="2"/>
        <v/>
      </c>
      <c r="E77" s="6" t="str">
        <f>IF(C77="","",PMT(INPUTS!$B$5,INPUTS!$B$6,-INPUTS!$B$3,0,0))</f>
        <v/>
      </c>
      <c r="F77" s="6" t="str">
        <f>IF(C77="","",IPMT(INPUTS!$B$5,C77,INPUTS!$B$6,-INPUTS!$B$3,0,0))</f>
        <v/>
      </c>
      <c r="G77" s="6" t="str">
        <f>IF(C77="","",PPMT(INPUTS!$B$5,C77,INPUTS!$B$6,-INPUTS!$B$3,0,0))</f>
        <v/>
      </c>
      <c r="H77" s="6" t="str">
        <f t="shared" si="3"/>
        <v/>
      </c>
      <c r="I77" s="6" t="str">
        <f t="shared" si="6"/>
        <v/>
      </c>
    </row>
    <row r="78" spans="1:9" hidden="1" x14ac:dyDescent="0.3">
      <c r="A78" s="16" t="str">
        <f t="shared" si="0"/>
        <v/>
      </c>
      <c r="D78" s="14" t="str">
        <f t="shared" si="2"/>
        <v/>
      </c>
      <c r="E78" s="6" t="str">
        <f>IF(C78="","",PMT(INPUTS!$B$5,INPUTS!$B$6,-INPUTS!$B$3,0,0))</f>
        <v/>
      </c>
      <c r="F78" s="6" t="str">
        <f>IF(C78="","",IPMT(INPUTS!$B$5,C78,INPUTS!$B$6,-INPUTS!$B$3,0,0))</f>
        <v/>
      </c>
      <c r="G78" s="6" t="str">
        <f>IF(C78="","",PPMT(INPUTS!$B$5,C78,INPUTS!$B$6,-INPUTS!$B$3,0,0))</f>
        <v/>
      </c>
      <c r="H78" s="6" t="str">
        <f t="shared" si="3"/>
        <v/>
      </c>
      <c r="I78" s="6" t="str">
        <f t="shared" si="6"/>
        <v/>
      </c>
    </row>
    <row r="79" spans="1:9" hidden="1" x14ac:dyDescent="0.3">
      <c r="A79" s="16" t="str">
        <f t="shared" si="0"/>
        <v/>
      </c>
      <c r="D79" s="14" t="str">
        <f t="shared" si="2"/>
        <v/>
      </c>
      <c r="E79" s="6" t="str">
        <f>IF(C79="","",PMT(INPUTS!$B$5,INPUTS!$B$6,-INPUTS!$B$3,0,0))</f>
        <v/>
      </c>
      <c r="F79" s="6" t="str">
        <f>IF(C79="","",IPMT(INPUTS!$B$5,C79,INPUTS!$B$6,-INPUTS!$B$3,0,0))</f>
        <v/>
      </c>
      <c r="G79" s="6" t="str">
        <f>IF(C79="","",PPMT(INPUTS!$B$5,C79,INPUTS!$B$6,-INPUTS!$B$3,0,0))</f>
        <v/>
      </c>
      <c r="H79" s="6" t="str">
        <f t="shared" si="3"/>
        <v/>
      </c>
      <c r="I79" s="6" t="str">
        <f t="shared" si="6"/>
        <v/>
      </c>
    </row>
    <row r="80" spans="1:9" hidden="1" x14ac:dyDescent="0.3">
      <c r="A80" s="16" t="str">
        <f t="shared" si="0"/>
        <v/>
      </c>
      <c r="D80" s="14" t="str">
        <f t="shared" si="2"/>
        <v/>
      </c>
      <c r="E80" s="6" t="str">
        <f>IF(C80="","",PMT(INPUTS!$B$5,INPUTS!$B$6,-INPUTS!$B$3,0,0))</f>
        <v/>
      </c>
      <c r="F80" s="6" t="str">
        <f>IF(C80="","",IPMT(INPUTS!$B$5,C80,INPUTS!$B$6,-INPUTS!$B$3,0,0))</f>
        <v/>
      </c>
      <c r="G80" s="6" t="str">
        <f>IF(C80="","",PPMT(INPUTS!$B$5,C80,INPUTS!$B$6,-INPUTS!$B$3,0,0))</f>
        <v/>
      </c>
      <c r="H80" s="6" t="str">
        <f t="shared" si="3"/>
        <v/>
      </c>
      <c r="I80" s="6" t="str">
        <f t="shared" si="6"/>
        <v/>
      </c>
    </row>
    <row r="81" spans="1:9" hidden="1" x14ac:dyDescent="0.3">
      <c r="A81" s="16" t="str">
        <f t="shared" si="0"/>
        <v/>
      </c>
      <c r="D81" s="14" t="str">
        <f t="shared" si="2"/>
        <v/>
      </c>
      <c r="E81" s="6" t="str">
        <f>IF(C81="","",PMT(INPUTS!$B$5,INPUTS!$B$6,-INPUTS!$B$3,0,0))</f>
        <v/>
      </c>
      <c r="F81" s="6" t="str">
        <f>IF(C81="","",IPMT(INPUTS!$B$5,C81,INPUTS!$B$6,-INPUTS!$B$3,0,0))</f>
        <v/>
      </c>
      <c r="G81" s="6" t="str">
        <f>IF(C81="","",PPMT(INPUTS!$B$5,C81,INPUTS!$B$6,-INPUTS!$B$3,0,0))</f>
        <v/>
      </c>
      <c r="H81" s="6" t="str">
        <f t="shared" si="3"/>
        <v/>
      </c>
      <c r="I81" s="6" t="str">
        <f t="shared" si="6"/>
        <v/>
      </c>
    </row>
    <row r="82" spans="1:9" hidden="1" x14ac:dyDescent="0.3">
      <c r="A82" s="16" t="str">
        <f t="shared" ref="A82:A145" si="7">IF(D82="","",YEAR(D82))</f>
        <v/>
      </c>
      <c r="D82" s="14" t="str">
        <f t="shared" si="2"/>
        <v/>
      </c>
      <c r="E82" s="6" t="str">
        <f>IF(C82="","",PMT(INPUTS!$B$5,INPUTS!$B$6,-INPUTS!$B$3,0,0))</f>
        <v/>
      </c>
      <c r="F82" s="6" t="str">
        <f>IF(C82="","",IPMT(INPUTS!$B$5,C82,INPUTS!$B$6,-INPUTS!$B$3,0,0))</f>
        <v/>
      </c>
      <c r="G82" s="6" t="str">
        <f>IF(C82="","",PPMT(INPUTS!$B$5,C82,INPUTS!$B$6,-INPUTS!$B$3,0,0))</f>
        <v/>
      </c>
      <c r="H82" s="6" t="str">
        <f t="shared" si="3"/>
        <v/>
      </c>
      <c r="I82" s="6" t="str">
        <f t="shared" si="6"/>
        <v/>
      </c>
    </row>
    <row r="83" spans="1:9" hidden="1" x14ac:dyDescent="0.3">
      <c r="A83" s="16" t="str">
        <f t="shared" si="7"/>
        <v/>
      </c>
      <c r="D83" s="14" t="str">
        <f t="shared" si="2"/>
        <v/>
      </c>
      <c r="E83" s="6" t="str">
        <f>IF(C83="","",PMT(INPUTS!$B$5,INPUTS!$B$6,-INPUTS!$B$3,0,0))</f>
        <v/>
      </c>
      <c r="F83" s="6" t="str">
        <f>IF(C83="","",IPMT(INPUTS!$B$5,C83,INPUTS!$B$6,-INPUTS!$B$3,0,0))</f>
        <v/>
      </c>
      <c r="G83" s="6" t="str">
        <f>IF(C83="","",PPMT(INPUTS!$B$5,C83,INPUTS!$B$6,-INPUTS!$B$3,0,0))</f>
        <v/>
      </c>
      <c r="H83" s="6" t="str">
        <f t="shared" si="3"/>
        <v/>
      </c>
      <c r="I83" s="6" t="str">
        <f t="shared" si="6"/>
        <v/>
      </c>
    </row>
    <row r="84" spans="1:9" hidden="1" x14ac:dyDescent="0.3">
      <c r="A84" s="16" t="str">
        <f t="shared" si="7"/>
        <v/>
      </c>
      <c r="D84" s="14" t="str">
        <f t="shared" ref="D84:D147" si="8">IF(C83="","",DATE(YEAR($D83),MONTH($D83)+1,DAY($D83)))</f>
        <v/>
      </c>
      <c r="E84" s="6" t="str">
        <f>IF(C84="","",PMT(INPUTS!$B$5,INPUTS!$B$6,-INPUTS!$B$3,0,0))</f>
        <v/>
      </c>
      <c r="F84" s="6" t="str">
        <f>IF(C84="","",IPMT(INPUTS!$B$5,C84,INPUTS!$B$6,-INPUTS!$B$3,0,0))</f>
        <v/>
      </c>
      <c r="G84" s="6" t="str">
        <f>IF(C84="","",PPMT(INPUTS!$B$5,C84,INPUTS!$B$6,-INPUTS!$B$3,0,0))</f>
        <v/>
      </c>
      <c r="H84" s="6" t="str">
        <f t="shared" ref="H84:H147" si="9">I83</f>
        <v/>
      </c>
      <c r="I84" s="6" t="str">
        <f t="shared" si="6"/>
        <v/>
      </c>
    </row>
    <row r="85" spans="1:9" hidden="1" x14ac:dyDescent="0.3">
      <c r="A85" s="16" t="str">
        <f t="shared" si="7"/>
        <v/>
      </c>
      <c r="D85" s="14" t="str">
        <f t="shared" si="8"/>
        <v/>
      </c>
      <c r="E85" s="6" t="str">
        <f>IF(C85="","",PMT(INPUTS!$B$5,INPUTS!$B$6,-INPUTS!$B$3,0,0))</f>
        <v/>
      </c>
      <c r="F85" s="6" t="str">
        <f>IF(C85="","",IPMT(INPUTS!$B$5,C85,INPUTS!$B$6,-INPUTS!$B$3,0,0))</f>
        <v/>
      </c>
      <c r="G85" s="6" t="str">
        <f>IF(C85="","",PPMT(INPUTS!$B$5,C85,INPUTS!$B$6,-INPUTS!$B$3,0,0))</f>
        <v/>
      </c>
      <c r="H85" s="6" t="str">
        <f t="shared" si="9"/>
        <v/>
      </c>
      <c r="I85" s="6" t="str">
        <f t="shared" si="6"/>
        <v/>
      </c>
    </row>
    <row r="86" spans="1:9" hidden="1" x14ac:dyDescent="0.3">
      <c r="A86" s="16" t="str">
        <f t="shared" si="7"/>
        <v/>
      </c>
      <c r="D86" s="14" t="str">
        <f t="shared" si="8"/>
        <v/>
      </c>
      <c r="E86" s="6" t="str">
        <f>IF(C86="","",PMT(INPUTS!$B$5,INPUTS!$B$6,-INPUTS!$B$3,0,0))</f>
        <v/>
      </c>
      <c r="F86" s="6" t="str">
        <f>IF(C86="","",IPMT(INPUTS!$B$5,C86,INPUTS!$B$6,-INPUTS!$B$3,0,0))</f>
        <v/>
      </c>
      <c r="G86" s="6" t="str">
        <f>IF(C86="","",PPMT(INPUTS!$B$5,C86,INPUTS!$B$6,-INPUTS!$B$3,0,0))</f>
        <v/>
      </c>
      <c r="H86" s="6" t="str">
        <f t="shared" si="9"/>
        <v/>
      </c>
      <c r="I86" s="6" t="str">
        <f t="shared" si="6"/>
        <v/>
      </c>
    </row>
    <row r="87" spans="1:9" hidden="1" x14ac:dyDescent="0.3">
      <c r="A87" s="16" t="str">
        <f t="shared" si="7"/>
        <v/>
      </c>
      <c r="D87" s="14" t="str">
        <f t="shared" si="8"/>
        <v/>
      </c>
      <c r="E87" s="6" t="str">
        <f>IF(C87="","",PMT(INPUTS!$B$5,INPUTS!$B$6,-INPUTS!$B$3,0,0))</f>
        <v/>
      </c>
      <c r="F87" s="6" t="str">
        <f>IF(C87="","",IPMT(INPUTS!$B$5,C87,INPUTS!$B$6,-INPUTS!$B$3,0,0))</f>
        <v/>
      </c>
      <c r="G87" s="6" t="str">
        <f>IF(C87="","",PPMT(INPUTS!$B$5,C87,INPUTS!$B$6,-INPUTS!$B$3,0,0))</f>
        <v/>
      </c>
      <c r="H87" s="6" t="str">
        <f t="shared" si="9"/>
        <v/>
      </c>
      <c r="I87" s="6" t="str">
        <f t="shared" si="6"/>
        <v/>
      </c>
    </row>
    <row r="88" spans="1:9" hidden="1" x14ac:dyDescent="0.3">
      <c r="A88" s="16" t="str">
        <f t="shared" si="7"/>
        <v/>
      </c>
      <c r="D88" s="14" t="str">
        <f t="shared" si="8"/>
        <v/>
      </c>
      <c r="E88" s="6" t="str">
        <f>IF(C88="","",PMT(INPUTS!$B$5,INPUTS!$B$6,-INPUTS!$B$3,0,0))</f>
        <v/>
      </c>
      <c r="F88" s="6" t="str">
        <f>IF(C88="","",IPMT(INPUTS!$B$5,C88,INPUTS!$B$6,-INPUTS!$B$3,0,0))</f>
        <v/>
      </c>
      <c r="G88" s="6" t="str">
        <f>IF(C88="","",PPMT(INPUTS!$B$5,C88,INPUTS!$B$6,-INPUTS!$B$3,0,0))</f>
        <v/>
      </c>
      <c r="H88" s="6" t="str">
        <f t="shared" si="9"/>
        <v/>
      </c>
      <c r="I88" s="6" t="str">
        <f t="shared" si="6"/>
        <v/>
      </c>
    </row>
    <row r="89" spans="1:9" hidden="1" x14ac:dyDescent="0.3">
      <c r="A89" s="16" t="str">
        <f t="shared" si="7"/>
        <v/>
      </c>
      <c r="D89" s="14" t="str">
        <f t="shared" si="8"/>
        <v/>
      </c>
      <c r="E89" s="6" t="str">
        <f>IF(C89="","",PMT(INPUTS!$B$5,INPUTS!$B$6,-INPUTS!$B$3,0,0))</f>
        <v/>
      </c>
      <c r="F89" s="6" t="str">
        <f>IF(C89="","",IPMT(INPUTS!$B$5,C89,INPUTS!$B$6,-INPUTS!$B$3,0,0))</f>
        <v/>
      </c>
      <c r="G89" s="6" t="str">
        <f>IF(C89="","",PPMT(INPUTS!$B$5,C89,INPUTS!$B$6,-INPUTS!$B$3,0,0))</f>
        <v/>
      </c>
      <c r="H89" s="6" t="str">
        <f t="shared" si="9"/>
        <v/>
      </c>
      <c r="I89" s="6" t="str">
        <f t="shared" si="6"/>
        <v/>
      </c>
    </row>
    <row r="90" spans="1:9" hidden="1" x14ac:dyDescent="0.3">
      <c r="A90" s="16" t="str">
        <f t="shared" si="7"/>
        <v/>
      </c>
      <c r="D90" s="14" t="str">
        <f t="shared" si="8"/>
        <v/>
      </c>
      <c r="E90" s="6" t="str">
        <f>IF(C90="","",PMT(INPUTS!$B$5,INPUTS!$B$6,-INPUTS!$B$3,0,0))</f>
        <v/>
      </c>
      <c r="F90" s="6" t="str">
        <f>IF(C90="","",IPMT(INPUTS!$B$5,C90,INPUTS!$B$6,-INPUTS!$B$3,0,0))</f>
        <v/>
      </c>
      <c r="G90" s="6" t="str">
        <f>IF(C90="","",PPMT(INPUTS!$B$5,C90,INPUTS!$B$6,-INPUTS!$B$3,0,0))</f>
        <v/>
      </c>
      <c r="H90" s="6" t="str">
        <f t="shared" si="9"/>
        <v/>
      </c>
      <c r="I90" s="6" t="str">
        <f t="shared" si="6"/>
        <v/>
      </c>
    </row>
    <row r="91" spans="1:9" hidden="1" x14ac:dyDescent="0.3">
      <c r="A91" s="16" t="str">
        <f t="shared" si="7"/>
        <v/>
      </c>
      <c r="D91" s="14" t="str">
        <f t="shared" si="8"/>
        <v/>
      </c>
      <c r="E91" s="6" t="str">
        <f>IF(C91="","",PMT(INPUTS!$B$5,INPUTS!$B$6,-INPUTS!$B$3,0,0))</f>
        <v/>
      </c>
      <c r="F91" s="6" t="str">
        <f>IF(C91="","",IPMT(INPUTS!$B$5,C91,INPUTS!$B$6,-INPUTS!$B$3,0,0))</f>
        <v/>
      </c>
      <c r="G91" s="6" t="str">
        <f>IF(C91="","",PPMT(INPUTS!$B$5,C91,INPUTS!$B$6,-INPUTS!$B$3,0,0))</f>
        <v/>
      </c>
      <c r="H91" s="6" t="str">
        <f t="shared" si="9"/>
        <v/>
      </c>
      <c r="I91" s="6" t="str">
        <f t="shared" si="6"/>
        <v/>
      </c>
    </row>
    <row r="92" spans="1:9" hidden="1" x14ac:dyDescent="0.3">
      <c r="A92" s="16" t="str">
        <f t="shared" si="7"/>
        <v/>
      </c>
      <c r="D92" s="14" t="str">
        <f t="shared" si="8"/>
        <v/>
      </c>
      <c r="E92" s="6" t="str">
        <f>IF(C92="","",PMT(INPUTS!$B$5,INPUTS!$B$6,-INPUTS!$B$3,0,0))</f>
        <v/>
      </c>
      <c r="F92" s="6" t="str">
        <f>IF(C92="","",IPMT(INPUTS!$B$5,C92,INPUTS!$B$6,-INPUTS!$B$3,0,0))</f>
        <v/>
      </c>
      <c r="G92" s="6" t="str">
        <f>IF(C92="","",PPMT(INPUTS!$B$5,C92,INPUTS!$B$6,-INPUTS!$B$3,0,0))</f>
        <v/>
      </c>
      <c r="H92" s="6" t="str">
        <f t="shared" si="9"/>
        <v/>
      </c>
      <c r="I92" s="6" t="str">
        <f t="shared" si="6"/>
        <v/>
      </c>
    </row>
    <row r="93" spans="1:9" hidden="1" x14ac:dyDescent="0.3">
      <c r="A93" s="16" t="str">
        <f t="shared" si="7"/>
        <v/>
      </c>
      <c r="D93" s="14" t="str">
        <f t="shared" si="8"/>
        <v/>
      </c>
      <c r="E93" s="6" t="str">
        <f>IF(C93="","",PMT(INPUTS!$B$5,INPUTS!$B$6,-INPUTS!$B$3,0,0))</f>
        <v/>
      </c>
      <c r="F93" s="6" t="str">
        <f>IF(C93="","",IPMT(INPUTS!$B$5,C93,INPUTS!$B$6,-INPUTS!$B$3,0,0))</f>
        <v/>
      </c>
      <c r="G93" s="6" t="str">
        <f>IF(C93="","",PPMT(INPUTS!$B$5,C93,INPUTS!$B$6,-INPUTS!$B$3,0,0))</f>
        <v/>
      </c>
      <c r="H93" s="6" t="str">
        <f t="shared" si="9"/>
        <v/>
      </c>
      <c r="I93" s="6" t="str">
        <f t="shared" si="6"/>
        <v/>
      </c>
    </row>
    <row r="94" spans="1:9" hidden="1" x14ac:dyDescent="0.3">
      <c r="A94" s="16" t="str">
        <f t="shared" si="7"/>
        <v/>
      </c>
      <c r="D94" s="14" t="str">
        <f t="shared" si="8"/>
        <v/>
      </c>
      <c r="E94" s="6" t="str">
        <f>IF(C94="","",PMT(INPUTS!$B$5,INPUTS!$B$6,-INPUTS!$B$3,0,0))</f>
        <v/>
      </c>
      <c r="F94" s="6" t="str">
        <f>IF(C94="","",IPMT(INPUTS!$B$5,C94,INPUTS!$B$6,-INPUTS!$B$3,0,0))</f>
        <v/>
      </c>
      <c r="G94" s="6" t="str">
        <f>IF(C94="","",PPMT(INPUTS!$B$5,C94,INPUTS!$B$6,-INPUTS!$B$3,0,0))</f>
        <v/>
      </c>
      <c r="H94" s="6" t="str">
        <f t="shared" si="9"/>
        <v/>
      </c>
      <c r="I94" s="6" t="str">
        <f t="shared" si="6"/>
        <v/>
      </c>
    </row>
    <row r="95" spans="1:9" hidden="1" x14ac:dyDescent="0.3">
      <c r="A95" s="16" t="str">
        <f t="shared" si="7"/>
        <v/>
      </c>
      <c r="D95" s="14" t="str">
        <f t="shared" si="8"/>
        <v/>
      </c>
      <c r="E95" s="6" t="str">
        <f>IF(C95="","",PMT(INPUTS!$B$5,INPUTS!$B$6,-INPUTS!$B$3,0,0))</f>
        <v/>
      </c>
      <c r="F95" s="6" t="str">
        <f>IF(C95="","",IPMT(INPUTS!$B$5,C95,INPUTS!$B$6,-INPUTS!$B$3,0,0))</f>
        <v/>
      </c>
      <c r="G95" s="6" t="str">
        <f>IF(C95="","",PPMT(INPUTS!$B$5,C95,INPUTS!$B$6,-INPUTS!$B$3,0,0))</f>
        <v/>
      </c>
      <c r="H95" s="6" t="str">
        <f t="shared" si="9"/>
        <v/>
      </c>
      <c r="I95" s="6" t="str">
        <f t="shared" si="6"/>
        <v/>
      </c>
    </row>
    <row r="96" spans="1:9" hidden="1" x14ac:dyDescent="0.3">
      <c r="A96" s="16" t="str">
        <f t="shared" si="7"/>
        <v/>
      </c>
      <c r="D96" s="14" t="str">
        <f t="shared" si="8"/>
        <v/>
      </c>
      <c r="E96" s="6" t="str">
        <f>IF(C96="","",PMT(INPUTS!$B$5,INPUTS!$B$6,-INPUTS!$B$3,0,0))</f>
        <v/>
      </c>
      <c r="F96" s="6" t="str">
        <f>IF(C96="","",IPMT(INPUTS!$B$5,C96,INPUTS!$B$6,-INPUTS!$B$3,0,0))</f>
        <v/>
      </c>
      <c r="G96" s="6" t="str">
        <f>IF(C96="","",PPMT(INPUTS!$B$5,C96,INPUTS!$B$6,-INPUTS!$B$3,0,0))</f>
        <v/>
      </c>
      <c r="H96" s="6" t="str">
        <f t="shared" si="9"/>
        <v/>
      </c>
      <c r="I96" s="6" t="str">
        <f t="shared" si="6"/>
        <v/>
      </c>
    </row>
    <row r="97" spans="1:9" hidden="1" x14ac:dyDescent="0.3">
      <c r="A97" s="16" t="str">
        <f t="shared" si="7"/>
        <v/>
      </c>
      <c r="D97" s="14" t="str">
        <f t="shared" si="8"/>
        <v/>
      </c>
      <c r="E97" s="6" t="str">
        <f>IF(C97="","",PMT(INPUTS!$B$5,INPUTS!$B$6,-INPUTS!$B$3,0,0))</f>
        <v/>
      </c>
      <c r="F97" s="6" t="str">
        <f>IF(C97="","",IPMT(INPUTS!$B$5,C97,INPUTS!$B$6,-INPUTS!$B$3,0,0))</f>
        <v/>
      </c>
      <c r="G97" s="6" t="str">
        <f>IF(C97="","",PPMT(INPUTS!$B$5,C97,INPUTS!$B$6,-INPUTS!$B$3,0,0))</f>
        <v/>
      </c>
      <c r="H97" s="6" t="str">
        <f t="shared" si="9"/>
        <v/>
      </c>
      <c r="I97" s="6" t="str">
        <f t="shared" si="6"/>
        <v/>
      </c>
    </row>
    <row r="98" spans="1:9" hidden="1" x14ac:dyDescent="0.3">
      <c r="A98" s="16" t="str">
        <f t="shared" si="7"/>
        <v/>
      </c>
      <c r="D98" s="14" t="str">
        <f t="shared" si="8"/>
        <v/>
      </c>
      <c r="E98" s="6" t="str">
        <f>IF(C98="","",PMT(INPUTS!$B$5,INPUTS!$B$6,-INPUTS!$B$3,0,0))</f>
        <v/>
      </c>
      <c r="F98" s="6" t="str">
        <f>IF(C98="","",IPMT(INPUTS!$B$5,C98,INPUTS!$B$6,-INPUTS!$B$3,0,0))</f>
        <v/>
      </c>
      <c r="G98" s="6" t="str">
        <f>IF(C98="","",PPMT(INPUTS!$B$5,C98,INPUTS!$B$6,-INPUTS!$B$3,0,0))</f>
        <v/>
      </c>
      <c r="H98" s="6" t="str">
        <f t="shared" si="9"/>
        <v/>
      </c>
      <c r="I98" s="6" t="str">
        <f t="shared" si="6"/>
        <v/>
      </c>
    </row>
    <row r="99" spans="1:9" hidden="1" x14ac:dyDescent="0.3">
      <c r="A99" s="16" t="str">
        <f t="shared" si="7"/>
        <v/>
      </c>
      <c r="D99" s="14" t="str">
        <f t="shared" si="8"/>
        <v/>
      </c>
      <c r="E99" s="6" t="str">
        <f>IF(C99="","",PMT(INPUTS!$B$5,INPUTS!$B$6,-INPUTS!$B$3,0,0))</f>
        <v/>
      </c>
      <c r="F99" s="6" t="str">
        <f>IF(C99="","",IPMT(INPUTS!$B$5,C99,INPUTS!$B$6,-INPUTS!$B$3,0,0))</f>
        <v/>
      </c>
      <c r="G99" s="6" t="str">
        <f>IF(C99="","",PPMT(INPUTS!$B$5,C99,INPUTS!$B$6,-INPUTS!$B$3,0,0))</f>
        <v/>
      </c>
      <c r="H99" s="6" t="str">
        <f t="shared" si="9"/>
        <v/>
      </c>
      <c r="I99" s="6" t="str">
        <f t="shared" si="6"/>
        <v/>
      </c>
    </row>
    <row r="100" spans="1:9" hidden="1" x14ac:dyDescent="0.3">
      <c r="A100" s="16" t="str">
        <f t="shared" si="7"/>
        <v/>
      </c>
      <c r="D100" s="14" t="str">
        <f t="shared" si="8"/>
        <v/>
      </c>
      <c r="E100" s="6" t="str">
        <f>IF(C100="","",PMT(INPUTS!$B$5,INPUTS!$B$6,-INPUTS!$B$3,0,0))</f>
        <v/>
      </c>
      <c r="F100" s="6" t="str">
        <f>IF(C100="","",IPMT(INPUTS!$B$5,C100,INPUTS!$B$6,-INPUTS!$B$3,0,0))</f>
        <v/>
      </c>
      <c r="G100" s="6" t="str">
        <f>IF(C100="","",PPMT(INPUTS!$B$5,C100,INPUTS!$B$6,-INPUTS!$B$3,0,0))</f>
        <v/>
      </c>
      <c r="H100" s="6" t="str">
        <f t="shared" si="9"/>
        <v/>
      </c>
      <c r="I100" s="6" t="str">
        <f t="shared" si="6"/>
        <v/>
      </c>
    </row>
    <row r="101" spans="1:9" hidden="1" x14ac:dyDescent="0.3">
      <c r="A101" s="16" t="str">
        <f t="shared" si="7"/>
        <v/>
      </c>
      <c r="D101" s="14" t="str">
        <f t="shared" si="8"/>
        <v/>
      </c>
      <c r="E101" s="6" t="str">
        <f>IF(C101="","",PMT(INPUTS!$B$5,INPUTS!$B$6,-INPUTS!$B$3,0,0))</f>
        <v/>
      </c>
      <c r="F101" s="6" t="str">
        <f>IF(C101="","",IPMT(INPUTS!$B$5,C101,INPUTS!$B$6,-INPUTS!$B$3,0,0))</f>
        <v/>
      </c>
      <c r="G101" s="6" t="str">
        <f>IF(C101="","",PPMT(INPUTS!$B$5,C101,INPUTS!$B$6,-INPUTS!$B$3,0,0))</f>
        <v/>
      </c>
      <c r="H101" s="6" t="str">
        <f t="shared" si="9"/>
        <v/>
      </c>
      <c r="I101" s="6" t="str">
        <f t="shared" si="6"/>
        <v/>
      </c>
    </row>
    <row r="102" spans="1:9" hidden="1" x14ac:dyDescent="0.3">
      <c r="A102" s="16" t="str">
        <f t="shared" si="7"/>
        <v/>
      </c>
      <c r="D102" s="14" t="str">
        <f t="shared" si="8"/>
        <v/>
      </c>
      <c r="E102" s="6" t="str">
        <f>IF(C102="","",PMT(INPUTS!$B$5,INPUTS!$B$6,-INPUTS!$B$3,0,0))</f>
        <v/>
      </c>
      <c r="F102" s="6" t="str">
        <f>IF(C102="","",IPMT(INPUTS!$B$5,C102,INPUTS!$B$6,-INPUTS!$B$3,0,0))</f>
        <v/>
      </c>
      <c r="G102" s="6" t="str">
        <f>IF(C102="","",PPMT(INPUTS!$B$5,C102,INPUTS!$B$6,-INPUTS!$B$3,0,0))</f>
        <v/>
      </c>
      <c r="H102" s="6" t="str">
        <f t="shared" si="9"/>
        <v/>
      </c>
      <c r="I102" s="6" t="str">
        <f t="shared" si="6"/>
        <v/>
      </c>
    </row>
    <row r="103" spans="1:9" hidden="1" x14ac:dyDescent="0.3">
      <c r="A103" s="16" t="str">
        <f t="shared" si="7"/>
        <v/>
      </c>
      <c r="D103" s="14" t="str">
        <f t="shared" si="8"/>
        <v/>
      </c>
      <c r="E103" s="6" t="str">
        <f>IF(C103="","",PMT(INPUTS!$B$5,INPUTS!$B$6,-INPUTS!$B$3,0,0))</f>
        <v/>
      </c>
      <c r="F103" s="6" t="str">
        <f>IF(C103="","",IPMT(INPUTS!$B$5,C103,INPUTS!$B$6,-INPUTS!$B$3,0,0))</f>
        <v/>
      </c>
      <c r="G103" s="6" t="str">
        <f>IF(C103="","",PPMT(INPUTS!$B$5,C103,INPUTS!$B$6,-INPUTS!$B$3,0,0))</f>
        <v/>
      </c>
      <c r="H103" s="6" t="str">
        <f t="shared" si="9"/>
        <v/>
      </c>
      <c r="I103" s="6" t="str">
        <f t="shared" si="6"/>
        <v/>
      </c>
    </row>
    <row r="104" spans="1:9" hidden="1" x14ac:dyDescent="0.3">
      <c r="A104" s="16" t="str">
        <f t="shared" si="7"/>
        <v/>
      </c>
      <c r="D104" s="14" t="str">
        <f t="shared" si="8"/>
        <v/>
      </c>
      <c r="E104" s="6" t="str">
        <f>IF(C104="","",PMT(INPUTS!$B$5,INPUTS!$B$6,-INPUTS!$B$3,0,0))</f>
        <v/>
      </c>
      <c r="F104" s="6" t="str">
        <f>IF(C104="","",IPMT(INPUTS!$B$5,C104,INPUTS!$B$6,-INPUTS!$B$3,0,0))</f>
        <v/>
      </c>
      <c r="G104" s="6" t="str">
        <f>IF(C104="","",PPMT(INPUTS!$B$5,C104,INPUTS!$B$6,-INPUTS!$B$3,0,0))</f>
        <v/>
      </c>
      <c r="H104" s="6" t="str">
        <f t="shared" si="9"/>
        <v/>
      </c>
      <c r="I104" s="6" t="str">
        <f t="shared" si="6"/>
        <v/>
      </c>
    </row>
    <row r="105" spans="1:9" hidden="1" x14ac:dyDescent="0.3">
      <c r="A105" s="16" t="str">
        <f t="shared" si="7"/>
        <v/>
      </c>
      <c r="D105" s="14" t="str">
        <f t="shared" si="8"/>
        <v/>
      </c>
      <c r="E105" s="6" t="str">
        <f>IF(C105="","",PMT(INPUTS!$B$5,INPUTS!$B$6,-INPUTS!$B$3,0,0))</f>
        <v/>
      </c>
      <c r="F105" s="6" t="str">
        <f>IF(C105="","",IPMT(INPUTS!$B$5,C105,INPUTS!$B$6,-INPUTS!$B$3,0,0))</f>
        <v/>
      </c>
      <c r="G105" s="6" t="str">
        <f>IF(C105="","",PPMT(INPUTS!$B$5,C105,INPUTS!$B$6,-INPUTS!$B$3,0,0))</f>
        <v/>
      </c>
      <c r="H105" s="6" t="str">
        <f t="shared" si="9"/>
        <v/>
      </c>
      <c r="I105" s="6" t="str">
        <f t="shared" si="6"/>
        <v/>
      </c>
    </row>
    <row r="106" spans="1:9" hidden="1" x14ac:dyDescent="0.3">
      <c r="A106" s="16" t="str">
        <f t="shared" si="7"/>
        <v/>
      </c>
      <c r="D106" s="14" t="str">
        <f t="shared" si="8"/>
        <v/>
      </c>
      <c r="E106" s="6" t="str">
        <f>IF(C106="","",PMT(INPUTS!$B$5,INPUTS!$B$6,-INPUTS!$B$3,0,0))</f>
        <v/>
      </c>
      <c r="F106" s="6" t="str">
        <f>IF(C106="","",IPMT(INPUTS!$B$5,C106,INPUTS!$B$6,-INPUTS!$B$3,0,0))</f>
        <v/>
      </c>
      <c r="G106" s="6" t="str">
        <f>IF(C106="","",PPMT(INPUTS!$B$5,C106,INPUTS!$B$6,-INPUTS!$B$3,0,0))</f>
        <v/>
      </c>
      <c r="H106" s="6" t="str">
        <f t="shared" si="9"/>
        <v/>
      </c>
      <c r="I106" s="6" t="str">
        <f t="shared" si="6"/>
        <v/>
      </c>
    </row>
    <row r="107" spans="1:9" hidden="1" x14ac:dyDescent="0.3">
      <c r="A107" s="16" t="str">
        <f t="shared" si="7"/>
        <v/>
      </c>
      <c r="D107" s="14" t="str">
        <f t="shared" si="8"/>
        <v/>
      </c>
      <c r="E107" s="6" t="str">
        <f>IF(C107="","",PMT(INPUTS!$B$5,INPUTS!$B$6,-INPUTS!$B$3,0,0))</f>
        <v/>
      </c>
      <c r="F107" s="6" t="str">
        <f>IF(C107="","",IPMT(INPUTS!$B$5,C107,INPUTS!$B$6,-INPUTS!$B$3,0,0))</f>
        <v/>
      </c>
      <c r="G107" s="6" t="str">
        <f>IF(C107="","",PPMT(INPUTS!$B$5,C107,INPUTS!$B$6,-INPUTS!$B$3,0,0))</f>
        <v/>
      </c>
      <c r="H107" s="6" t="str">
        <f t="shared" si="9"/>
        <v/>
      </c>
      <c r="I107" s="6" t="str">
        <f t="shared" si="6"/>
        <v/>
      </c>
    </row>
    <row r="108" spans="1:9" hidden="1" x14ac:dyDescent="0.3">
      <c r="A108" s="16" t="str">
        <f t="shared" si="7"/>
        <v/>
      </c>
      <c r="D108" s="14" t="str">
        <f t="shared" si="8"/>
        <v/>
      </c>
      <c r="E108" s="6" t="str">
        <f>IF(C108="","",PMT(INPUTS!$B$5,INPUTS!$B$6,-INPUTS!$B$3,0,0))</f>
        <v/>
      </c>
      <c r="F108" s="6" t="str">
        <f>IF(C108="","",IPMT(INPUTS!$B$5,C108,INPUTS!$B$6,-INPUTS!$B$3,0,0))</f>
        <v/>
      </c>
      <c r="G108" s="6" t="str">
        <f>IF(C108="","",PPMT(INPUTS!$B$5,C108,INPUTS!$B$6,-INPUTS!$B$3,0,0))</f>
        <v/>
      </c>
      <c r="H108" s="6" t="str">
        <f t="shared" si="9"/>
        <v/>
      </c>
      <c r="I108" s="6" t="str">
        <f t="shared" si="6"/>
        <v/>
      </c>
    </row>
    <row r="109" spans="1:9" hidden="1" x14ac:dyDescent="0.3">
      <c r="A109" s="16" t="str">
        <f t="shared" si="7"/>
        <v/>
      </c>
      <c r="D109" s="14" t="str">
        <f t="shared" si="8"/>
        <v/>
      </c>
      <c r="E109" s="6" t="str">
        <f>IF(C109="","",PMT(INPUTS!$B$5,INPUTS!$B$6,-INPUTS!$B$3,0,0))</f>
        <v/>
      </c>
      <c r="F109" s="6" t="str">
        <f>IF(C109="","",IPMT(INPUTS!$B$5,C109,INPUTS!$B$6,-INPUTS!$B$3,0,0))</f>
        <v/>
      </c>
      <c r="G109" s="6" t="str">
        <f>IF(C109="","",PPMT(INPUTS!$B$5,C109,INPUTS!$B$6,-INPUTS!$B$3,0,0))</f>
        <v/>
      </c>
      <c r="H109" s="6" t="str">
        <f t="shared" si="9"/>
        <v/>
      </c>
      <c r="I109" s="6" t="str">
        <f t="shared" si="6"/>
        <v/>
      </c>
    </row>
    <row r="110" spans="1:9" hidden="1" x14ac:dyDescent="0.3">
      <c r="A110" s="16" t="str">
        <f t="shared" si="7"/>
        <v/>
      </c>
      <c r="D110" s="14" t="str">
        <f t="shared" si="8"/>
        <v/>
      </c>
      <c r="E110" s="6" t="str">
        <f>IF(C110="","",PMT(INPUTS!$B$5,INPUTS!$B$6,-INPUTS!$B$3,0,0))</f>
        <v/>
      </c>
      <c r="F110" s="6" t="str">
        <f>IF(C110="","",IPMT(INPUTS!$B$5,C110,INPUTS!$B$6,-INPUTS!$B$3,0,0))</f>
        <v/>
      </c>
      <c r="G110" s="6" t="str">
        <f>IF(C110="","",PPMT(INPUTS!$B$5,C110,INPUTS!$B$6,-INPUTS!$B$3,0,0))</f>
        <v/>
      </c>
      <c r="H110" s="6" t="str">
        <f t="shared" si="9"/>
        <v/>
      </c>
      <c r="I110" s="6" t="str">
        <f t="shared" si="6"/>
        <v/>
      </c>
    </row>
    <row r="111" spans="1:9" hidden="1" x14ac:dyDescent="0.3">
      <c r="A111" s="16" t="str">
        <f t="shared" si="7"/>
        <v/>
      </c>
      <c r="D111" s="14" t="str">
        <f t="shared" si="8"/>
        <v/>
      </c>
      <c r="E111" s="6" t="str">
        <f>IF(C111="","",PMT(INPUTS!$B$5,INPUTS!$B$6,-INPUTS!$B$3,0,0))</f>
        <v/>
      </c>
      <c r="F111" s="6" t="str">
        <f>IF(C111="","",IPMT(INPUTS!$B$5,C111,INPUTS!$B$6,-INPUTS!$B$3,0,0))</f>
        <v/>
      </c>
      <c r="G111" s="6" t="str">
        <f>IF(C111="","",PPMT(INPUTS!$B$5,C111,INPUTS!$B$6,-INPUTS!$B$3,0,0))</f>
        <v/>
      </c>
      <c r="H111" s="6" t="str">
        <f t="shared" si="9"/>
        <v/>
      </c>
      <c r="I111" s="6" t="str">
        <f t="shared" si="6"/>
        <v/>
      </c>
    </row>
    <row r="112" spans="1:9" hidden="1" x14ac:dyDescent="0.3">
      <c r="A112" s="16" t="str">
        <f t="shared" si="7"/>
        <v/>
      </c>
      <c r="D112" s="14" t="str">
        <f t="shared" si="8"/>
        <v/>
      </c>
      <c r="E112" s="6" t="str">
        <f>IF(C112="","",PMT(INPUTS!$B$5,INPUTS!$B$6,-INPUTS!$B$3,0,0))</f>
        <v/>
      </c>
      <c r="F112" s="6" t="str">
        <f>IF(C112="","",IPMT(INPUTS!$B$5,C112,INPUTS!$B$6,-INPUTS!$B$3,0,0))</f>
        <v/>
      </c>
      <c r="G112" s="6" t="str">
        <f>IF(C112="","",PPMT(INPUTS!$B$5,C112,INPUTS!$B$6,-INPUTS!$B$3,0,0))</f>
        <v/>
      </c>
      <c r="H112" s="6" t="str">
        <f t="shared" si="9"/>
        <v/>
      </c>
      <c r="I112" s="6" t="str">
        <f t="shared" ref="I112:I175" si="10">IF(C112="","",H112-G112)</f>
        <v/>
      </c>
    </row>
    <row r="113" spans="1:9" hidden="1" x14ac:dyDescent="0.3">
      <c r="A113" s="16" t="str">
        <f t="shared" si="7"/>
        <v/>
      </c>
      <c r="D113" s="14" t="str">
        <f t="shared" si="8"/>
        <v/>
      </c>
      <c r="E113" s="6" t="str">
        <f>IF(C113="","",PMT(INPUTS!$B$5,INPUTS!$B$6,-INPUTS!$B$3,0,0))</f>
        <v/>
      </c>
      <c r="F113" s="6" t="str">
        <f>IF(C113="","",IPMT(INPUTS!$B$5,C113,INPUTS!$B$6,-INPUTS!$B$3,0,0))</f>
        <v/>
      </c>
      <c r="G113" s="6" t="str">
        <f>IF(C113="","",PPMT(INPUTS!$B$5,C113,INPUTS!$B$6,-INPUTS!$B$3,0,0))</f>
        <v/>
      </c>
      <c r="H113" s="6" t="str">
        <f t="shared" si="9"/>
        <v/>
      </c>
      <c r="I113" s="6" t="str">
        <f t="shared" si="10"/>
        <v/>
      </c>
    </row>
    <row r="114" spans="1:9" hidden="1" x14ac:dyDescent="0.3">
      <c r="A114" s="16" t="str">
        <f t="shared" si="7"/>
        <v/>
      </c>
      <c r="D114" s="14" t="str">
        <f t="shared" si="8"/>
        <v/>
      </c>
      <c r="E114" s="6" t="str">
        <f>IF(C114="","",PMT(INPUTS!$B$5,INPUTS!$B$6,-INPUTS!$B$3,0,0))</f>
        <v/>
      </c>
      <c r="F114" s="6" t="str">
        <f>IF(C114="","",IPMT(INPUTS!$B$5,C114,INPUTS!$B$6,-INPUTS!$B$3,0,0))</f>
        <v/>
      </c>
      <c r="G114" s="6" t="str">
        <f>IF(C114="","",PPMT(INPUTS!$B$5,C114,INPUTS!$B$6,-INPUTS!$B$3,0,0))</f>
        <v/>
      </c>
      <c r="H114" s="6" t="str">
        <f t="shared" si="9"/>
        <v/>
      </c>
      <c r="I114" s="6" t="str">
        <f t="shared" si="10"/>
        <v/>
      </c>
    </row>
    <row r="115" spans="1:9" hidden="1" x14ac:dyDescent="0.3">
      <c r="A115" s="16" t="str">
        <f t="shared" si="7"/>
        <v/>
      </c>
      <c r="D115" s="14" t="str">
        <f t="shared" si="8"/>
        <v/>
      </c>
      <c r="E115" s="6" t="str">
        <f>IF(C115="","",PMT(INPUTS!$B$5,INPUTS!$B$6,-INPUTS!$B$3,0,0))</f>
        <v/>
      </c>
      <c r="F115" s="6" t="str">
        <f>IF(C115="","",IPMT(INPUTS!$B$5,C115,INPUTS!$B$6,-INPUTS!$B$3,0,0))</f>
        <v/>
      </c>
      <c r="G115" s="6" t="str">
        <f>IF(C115="","",PPMT(INPUTS!$B$5,C115,INPUTS!$B$6,-INPUTS!$B$3,0,0))</f>
        <v/>
      </c>
      <c r="H115" s="6" t="str">
        <f t="shared" si="9"/>
        <v/>
      </c>
      <c r="I115" s="6" t="str">
        <f t="shared" si="10"/>
        <v/>
      </c>
    </row>
    <row r="116" spans="1:9" hidden="1" x14ac:dyDescent="0.3">
      <c r="A116" s="16" t="str">
        <f t="shared" si="7"/>
        <v/>
      </c>
      <c r="D116" s="14" t="str">
        <f t="shared" si="8"/>
        <v/>
      </c>
      <c r="E116" s="6" t="str">
        <f>IF(C116="","",PMT(INPUTS!$B$5,INPUTS!$B$6,-INPUTS!$B$3,0,0))</f>
        <v/>
      </c>
      <c r="F116" s="6" t="str">
        <f>IF(C116="","",IPMT(INPUTS!$B$5,C116,INPUTS!$B$6,-INPUTS!$B$3,0,0))</f>
        <v/>
      </c>
      <c r="G116" s="6" t="str">
        <f>IF(C116="","",PPMT(INPUTS!$B$5,C116,INPUTS!$B$6,-INPUTS!$B$3,0,0))</f>
        <v/>
      </c>
      <c r="H116" s="6" t="str">
        <f t="shared" si="9"/>
        <v/>
      </c>
      <c r="I116" s="6" t="str">
        <f t="shared" si="10"/>
        <v/>
      </c>
    </row>
    <row r="117" spans="1:9" hidden="1" x14ac:dyDescent="0.3">
      <c r="A117" s="16" t="str">
        <f t="shared" si="7"/>
        <v/>
      </c>
      <c r="D117" s="14" t="str">
        <f t="shared" si="8"/>
        <v/>
      </c>
      <c r="E117" s="6" t="str">
        <f>IF(C117="","",PMT(INPUTS!$B$5,INPUTS!$B$6,-INPUTS!$B$3,0,0))</f>
        <v/>
      </c>
      <c r="F117" s="6" t="str">
        <f>IF(C117="","",IPMT(INPUTS!$B$5,C117,INPUTS!$B$6,-INPUTS!$B$3,0,0))</f>
        <v/>
      </c>
      <c r="G117" s="6" t="str">
        <f>IF(C117="","",PPMT(INPUTS!$B$5,C117,INPUTS!$B$6,-INPUTS!$B$3,0,0))</f>
        <v/>
      </c>
      <c r="H117" s="6" t="str">
        <f t="shared" si="9"/>
        <v/>
      </c>
      <c r="I117" s="6" t="str">
        <f t="shared" si="10"/>
        <v/>
      </c>
    </row>
    <row r="118" spans="1:9" hidden="1" x14ac:dyDescent="0.3">
      <c r="A118" s="16" t="str">
        <f t="shared" si="7"/>
        <v/>
      </c>
      <c r="D118" s="14" t="str">
        <f t="shared" si="8"/>
        <v/>
      </c>
      <c r="E118" s="6" t="str">
        <f>IF(C118="","",PMT(INPUTS!$B$5,INPUTS!$B$6,-INPUTS!$B$3,0,0))</f>
        <v/>
      </c>
      <c r="F118" s="6" t="str">
        <f>IF(C118="","",IPMT(INPUTS!$B$5,C118,INPUTS!$B$6,-INPUTS!$B$3,0,0))</f>
        <v/>
      </c>
      <c r="G118" s="6" t="str">
        <f>IF(C118="","",PPMT(INPUTS!$B$5,C118,INPUTS!$B$6,-INPUTS!$B$3,0,0))</f>
        <v/>
      </c>
      <c r="H118" s="6" t="str">
        <f t="shared" si="9"/>
        <v/>
      </c>
      <c r="I118" s="6" t="str">
        <f t="shared" si="10"/>
        <v/>
      </c>
    </row>
    <row r="119" spans="1:9" hidden="1" x14ac:dyDescent="0.3">
      <c r="A119" s="16" t="str">
        <f t="shared" si="7"/>
        <v/>
      </c>
      <c r="D119" s="14" t="str">
        <f t="shared" si="8"/>
        <v/>
      </c>
      <c r="E119" s="6" t="str">
        <f>IF(C119="","",PMT(INPUTS!$B$5,INPUTS!$B$6,-INPUTS!$B$3,0,0))</f>
        <v/>
      </c>
      <c r="F119" s="6" t="str">
        <f>IF(C119="","",IPMT(INPUTS!$B$5,C119,INPUTS!$B$6,-INPUTS!$B$3,0,0))</f>
        <v/>
      </c>
      <c r="G119" s="6" t="str">
        <f>IF(C119="","",PPMT(INPUTS!$B$5,C119,INPUTS!$B$6,-INPUTS!$B$3,0,0))</f>
        <v/>
      </c>
      <c r="H119" s="6" t="str">
        <f t="shared" si="9"/>
        <v/>
      </c>
      <c r="I119" s="6" t="str">
        <f t="shared" si="10"/>
        <v/>
      </c>
    </row>
    <row r="120" spans="1:9" hidden="1" x14ac:dyDescent="0.3">
      <c r="A120" s="16" t="str">
        <f t="shared" si="7"/>
        <v/>
      </c>
      <c r="D120" s="14" t="str">
        <f t="shared" si="8"/>
        <v/>
      </c>
      <c r="E120" s="6" t="str">
        <f>IF(C120="","",PMT(INPUTS!$B$5,INPUTS!$B$6,-INPUTS!$B$3,0,0))</f>
        <v/>
      </c>
      <c r="F120" s="6" t="str">
        <f>IF(C120="","",IPMT(INPUTS!$B$5,C120,INPUTS!$B$6,-INPUTS!$B$3,0,0))</f>
        <v/>
      </c>
      <c r="G120" s="6" t="str">
        <f>IF(C120="","",PPMT(INPUTS!$B$5,C120,INPUTS!$B$6,-INPUTS!$B$3,0,0))</f>
        <v/>
      </c>
      <c r="H120" s="6" t="str">
        <f t="shared" si="9"/>
        <v/>
      </c>
      <c r="I120" s="6" t="str">
        <f t="shared" si="10"/>
        <v/>
      </c>
    </row>
    <row r="121" spans="1:9" hidden="1" x14ac:dyDescent="0.3">
      <c r="A121" s="16" t="str">
        <f t="shared" si="7"/>
        <v/>
      </c>
      <c r="D121" s="14" t="str">
        <f t="shared" si="8"/>
        <v/>
      </c>
      <c r="E121" s="6" t="str">
        <f>IF(C121="","",PMT(INPUTS!$B$5,INPUTS!$B$6,-INPUTS!$B$3,0,0))</f>
        <v/>
      </c>
      <c r="F121" s="6" t="str">
        <f>IF(C121="","",IPMT(INPUTS!$B$5,C121,INPUTS!$B$6,-INPUTS!$B$3,0,0))</f>
        <v/>
      </c>
      <c r="G121" s="6" t="str">
        <f>IF(C121="","",PPMT(INPUTS!$B$5,C121,INPUTS!$B$6,-INPUTS!$B$3,0,0))</f>
        <v/>
      </c>
      <c r="H121" s="6" t="str">
        <f t="shared" si="9"/>
        <v/>
      </c>
      <c r="I121" s="6" t="str">
        <f t="shared" si="10"/>
        <v/>
      </c>
    </row>
    <row r="122" spans="1:9" hidden="1" x14ac:dyDescent="0.3">
      <c r="A122" s="16" t="str">
        <f t="shared" si="7"/>
        <v/>
      </c>
      <c r="D122" s="14" t="str">
        <f t="shared" si="8"/>
        <v/>
      </c>
      <c r="E122" s="6" t="str">
        <f>IF(C122="","",PMT(INPUTS!$B$5,INPUTS!$B$6,-INPUTS!$B$3,0,0))</f>
        <v/>
      </c>
      <c r="F122" s="6" t="str">
        <f>IF(C122="","",IPMT(INPUTS!$B$5,C122,INPUTS!$B$6,-INPUTS!$B$3,0,0))</f>
        <v/>
      </c>
      <c r="G122" s="6" t="str">
        <f>IF(C122="","",PPMT(INPUTS!$B$5,C122,INPUTS!$B$6,-INPUTS!$B$3,0,0))</f>
        <v/>
      </c>
      <c r="H122" s="6" t="str">
        <f t="shared" si="9"/>
        <v/>
      </c>
      <c r="I122" s="6" t="str">
        <f t="shared" si="10"/>
        <v/>
      </c>
    </row>
    <row r="123" spans="1:9" hidden="1" x14ac:dyDescent="0.3">
      <c r="A123" s="16" t="str">
        <f t="shared" si="7"/>
        <v/>
      </c>
      <c r="D123" s="14" t="str">
        <f t="shared" si="8"/>
        <v/>
      </c>
      <c r="E123" s="6" t="str">
        <f>IF(C123="","",PMT(INPUTS!$B$5,INPUTS!$B$6,-INPUTS!$B$3,0,0))</f>
        <v/>
      </c>
      <c r="F123" s="6" t="str">
        <f>IF(C123="","",IPMT(INPUTS!$B$5,C123,INPUTS!$B$6,-INPUTS!$B$3,0,0))</f>
        <v/>
      </c>
      <c r="G123" s="6" t="str">
        <f>IF(C123="","",PPMT(INPUTS!$B$5,C123,INPUTS!$B$6,-INPUTS!$B$3,0,0))</f>
        <v/>
      </c>
      <c r="H123" s="6" t="str">
        <f t="shared" si="9"/>
        <v/>
      </c>
      <c r="I123" s="6" t="str">
        <f t="shared" si="10"/>
        <v/>
      </c>
    </row>
    <row r="124" spans="1:9" hidden="1" x14ac:dyDescent="0.3">
      <c r="A124" s="16" t="str">
        <f t="shared" si="7"/>
        <v/>
      </c>
      <c r="D124" s="14" t="str">
        <f t="shared" si="8"/>
        <v/>
      </c>
      <c r="E124" s="6" t="str">
        <f>IF(C124="","",PMT(INPUTS!$B$5,INPUTS!$B$6,-INPUTS!$B$3,0,0))</f>
        <v/>
      </c>
      <c r="F124" s="6" t="str">
        <f>IF(C124="","",IPMT(INPUTS!$B$5,C124,INPUTS!$B$6,-INPUTS!$B$3,0,0))</f>
        <v/>
      </c>
      <c r="G124" s="6" t="str">
        <f>IF(C124="","",PPMT(INPUTS!$B$5,C124,INPUTS!$B$6,-INPUTS!$B$3,0,0))</f>
        <v/>
      </c>
      <c r="H124" s="6" t="str">
        <f t="shared" si="9"/>
        <v/>
      </c>
      <c r="I124" s="6" t="str">
        <f t="shared" si="10"/>
        <v/>
      </c>
    </row>
    <row r="125" spans="1:9" hidden="1" x14ac:dyDescent="0.3">
      <c r="A125" s="16" t="str">
        <f t="shared" si="7"/>
        <v/>
      </c>
      <c r="D125" s="14" t="str">
        <f t="shared" si="8"/>
        <v/>
      </c>
      <c r="E125" s="6" t="str">
        <f>IF(C125="","",PMT(INPUTS!$B$5,INPUTS!$B$6,-INPUTS!$B$3,0,0))</f>
        <v/>
      </c>
      <c r="F125" s="6" t="str">
        <f>IF(C125="","",IPMT(INPUTS!$B$5,C125,INPUTS!$B$6,-INPUTS!$B$3,0,0))</f>
        <v/>
      </c>
      <c r="G125" s="6" t="str">
        <f>IF(C125="","",PPMT(INPUTS!$B$5,C125,INPUTS!$B$6,-INPUTS!$B$3,0,0))</f>
        <v/>
      </c>
      <c r="H125" s="6" t="str">
        <f t="shared" si="9"/>
        <v/>
      </c>
      <c r="I125" s="6" t="str">
        <f t="shared" si="10"/>
        <v/>
      </c>
    </row>
    <row r="126" spans="1:9" hidden="1" x14ac:dyDescent="0.3">
      <c r="A126" s="16" t="str">
        <f t="shared" si="7"/>
        <v/>
      </c>
      <c r="D126" s="14" t="str">
        <f t="shared" si="8"/>
        <v/>
      </c>
      <c r="E126" s="6" t="str">
        <f>IF(C126="","",PMT(INPUTS!$B$5,INPUTS!$B$6,-INPUTS!$B$3,0,0))</f>
        <v/>
      </c>
      <c r="F126" s="6" t="str">
        <f>IF(C126="","",IPMT(INPUTS!$B$5,C126,INPUTS!$B$6,-INPUTS!$B$3,0,0))</f>
        <v/>
      </c>
      <c r="G126" s="6" t="str">
        <f>IF(C126="","",PPMT(INPUTS!$B$5,C126,INPUTS!$B$6,-INPUTS!$B$3,0,0))</f>
        <v/>
      </c>
      <c r="H126" s="6" t="str">
        <f t="shared" si="9"/>
        <v/>
      </c>
      <c r="I126" s="6" t="str">
        <f t="shared" si="10"/>
        <v/>
      </c>
    </row>
    <row r="127" spans="1:9" hidden="1" x14ac:dyDescent="0.3">
      <c r="A127" s="16" t="str">
        <f t="shared" si="7"/>
        <v/>
      </c>
      <c r="D127" s="14" t="str">
        <f t="shared" si="8"/>
        <v/>
      </c>
      <c r="E127" s="6" t="str">
        <f>IF(C127="","",PMT(INPUTS!$B$5,INPUTS!$B$6,-INPUTS!$B$3,0,0))</f>
        <v/>
      </c>
      <c r="F127" s="6" t="str">
        <f>IF(C127="","",IPMT(INPUTS!$B$5,C127,INPUTS!$B$6,-INPUTS!$B$3,0,0))</f>
        <v/>
      </c>
      <c r="G127" s="6" t="str">
        <f>IF(C127="","",PPMT(INPUTS!$B$5,C127,INPUTS!$B$6,-INPUTS!$B$3,0,0))</f>
        <v/>
      </c>
      <c r="H127" s="6" t="str">
        <f t="shared" si="9"/>
        <v/>
      </c>
      <c r="I127" s="6" t="str">
        <f t="shared" si="10"/>
        <v/>
      </c>
    </row>
    <row r="128" spans="1:9" hidden="1" x14ac:dyDescent="0.3">
      <c r="A128" s="16" t="str">
        <f t="shared" si="7"/>
        <v/>
      </c>
      <c r="D128" s="14" t="str">
        <f t="shared" si="8"/>
        <v/>
      </c>
      <c r="E128" s="6" t="str">
        <f>IF(C128="","",PMT(INPUTS!$B$5,INPUTS!$B$6,-INPUTS!$B$3,0,0))</f>
        <v/>
      </c>
      <c r="F128" s="6" t="str">
        <f>IF(C128="","",IPMT(INPUTS!$B$5,C128,INPUTS!$B$6,-INPUTS!$B$3,0,0))</f>
        <v/>
      </c>
      <c r="G128" s="6" t="str">
        <f>IF(C128="","",PPMT(INPUTS!$B$5,C128,INPUTS!$B$6,-INPUTS!$B$3,0,0))</f>
        <v/>
      </c>
      <c r="H128" s="6" t="str">
        <f t="shared" si="9"/>
        <v/>
      </c>
      <c r="I128" s="6" t="str">
        <f t="shared" si="10"/>
        <v/>
      </c>
    </row>
    <row r="129" spans="1:9" hidden="1" x14ac:dyDescent="0.3">
      <c r="A129" s="16" t="str">
        <f t="shared" si="7"/>
        <v/>
      </c>
      <c r="D129" s="14" t="str">
        <f t="shared" si="8"/>
        <v/>
      </c>
      <c r="E129" s="6" t="str">
        <f>IF(C129="","",PMT(INPUTS!$B$5,INPUTS!$B$6,-INPUTS!$B$3,0,0))</f>
        <v/>
      </c>
      <c r="F129" s="6" t="str">
        <f>IF(C129="","",IPMT(INPUTS!$B$5,C129,INPUTS!$B$6,-INPUTS!$B$3,0,0))</f>
        <v/>
      </c>
      <c r="G129" s="6" t="str">
        <f>IF(C129="","",PPMT(INPUTS!$B$5,C129,INPUTS!$B$6,-INPUTS!$B$3,0,0))</f>
        <v/>
      </c>
      <c r="H129" s="6" t="str">
        <f t="shared" si="9"/>
        <v/>
      </c>
      <c r="I129" s="6" t="str">
        <f t="shared" si="10"/>
        <v/>
      </c>
    </row>
    <row r="130" spans="1:9" hidden="1" x14ac:dyDescent="0.3">
      <c r="A130" s="16" t="str">
        <f t="shared" si="7"/>
        <v/>
      </c>
      <c r="D130" s="14" t="str">
        <f t="shared" si="8"/>
        <v/>
      </c>
      <c r="E130" s="6" t="str">
        <f>IF(C130="","",PMT(INPUTS!$B$5,INPUTS!$B$6,-INPUTS!$B$3,0,0))</f>
        <v/>
      </c>
      <c r="F130" s="6" t="str">
        <f>IF(C130="","",IPMT(INPUTS!$B$5,C130,INPUTS!$B$6,-INPUTS!$B$3,0,0))</f>
        <v/>
      </c>
      <c r="G130" s="6" t="str">
        <f>IF(C130="","",PPMT(INPUTS!$B$5,C130,INPUTS!$B$6,-INPUTS!$B$3,0,0))</f>
        <v/>
      </c>
      <c r="H130" s="6" t="str">
        <f t="shared" si="9"/>
        <v/>
      </c>
      <c r="I130" s="6" t="str">
        <f t="shared" si="10"/>
        <v/>
      </c>
    </row>
    <row r="131" spans="1:9" hidden="1" x14ac:dyDescent="0.3">
      <c r="A131" s="16" t="str">
        <f t="shared" si="7"/>
        <v/>
      </c>
      <c r="D131" s="14" t="str">
        <f t="shared" si="8"/>
        <v/>
      </c>
      <c r="E131" s="6" t="str">
        <f>IF(C131="","",PMT(INPUTS!$B$5,INPUTS!$B$6,-INPUTS!$B$3,0,0))</f>
        <v/>
      </c>
      <c r="F131" s="6" t="str">
        <f>IF(C131="","",IPMT(INPUTS!$B$5,C131,INPUTS!$B$6,-INPUTS!$B$3,0,0))</f>
        <v/>
      </c>
      <c r="G131" s="6" t="str">
        <f>IF(C131="","",PPMT(INPUTS!$B$5,C131,INPUTS!$B$6,-INPUTS!$B$3,0,0))</f>
        <v/>
      </c>
      <c r="H131" s="6" t="str">
        <f t="shared" si="9"/>
        <v/>
      </c>
      <c r="I131" s="6" t="str">
        <f t="shared" si="10"/>
        <v/>
      </c>
    </row>
    <row r="132" spans="1:9" hidden="1" x14ac:dyDescent="0.3">
      <c r="A132" s="16" t="str">
        <f t="shared" si="7"/>
        <v/>
      </c>
      <c r="D132" s="14" t="str">
        <f t="shared" si="8"/>
        <v/>
      </c>
      <c r="E132" s="6" t="str">
        <f>IF(C132="","",PMT(INPUTS!$B$5,INPUTS!$B$6,-INPUTS!$B$3,0,0))</f>
        <v/>
      </c>
      <c r="F132" s="6" t="str">
        <f>IF(C132="","",IPMT(INPUTS!$B$5,C132,INPUTS!$B$6,-INPUTS!$B$3,0,0))</f>
        <v/>
      </c>
      <c r="G132" s="6" t="str">
        <f>IF(C132="","",PPMT(INPUTS!$B$5,C132,INPUTS!$B$6,-INPUTS!$B$3,0,0))</f>
        <v/>
      </c>
      <c r="H132" s="6" t="str">
        <f t="shared" si="9"/>
        <v/>
      </c>
      <c r="I132" s="6" t="str">
        <f t="shared" si="10"/>
        <v/>
      </c>
    </row>
    <row r="133" spans="1:9" hidden="1" x14ac:dyDescent="0.3">
      <c r="A133" s="16" t="str">
        <f t="shared" si="7"/>
        <v/>
      </c>
      <c r="D133" s="14" t="str">
        <f t="shared" si="8"/>
        <v/>
      </c>
      <c r="E133" s="6" t="str">
        <f>IF(C133="","",PMT(INPUTS!$B$5,INPUTS!$B$6,-INPUTS!$B$3,0,0))</f>
        <v/>
      </c>
      <c r="F133" s="6" t="str">
        <f>IF(C133="","",IPMT(INPUTS!$B$5,C133,INPUTS!$B$6,-INPUTS!$B$3,0,0))</f>
        <v/>
      </c>
      <c r="G133" s="6" t="str">
        <f>IF(C133="","",PPMT(INPUTS!$B$5,C133,INPUTS!$B$6,-INPUTS!$B$3,0,0))</f>
        <v/>
      </c>
      <c r="H133" s="6" t="str">
        <f t="shared" si="9"/>
        <v/>
      </c>
      <c r="I133" s="6" t="str">
        <f t="shared" si="10"/>
        <v/>
      </c>
    </row>
    <row r="134" spans="1:9" hidden="1" x14ac:dyDescent="0.3">
      <c r="A134" s="16" t="str">
        <f t="shared" si="7"/>
        <v/>
      </c>
      <c r="D134" s="14" t="str">
        <f t="shared" si="8"/>
        <v/>
      </c>
      <c r="E134" s="6" t="str">
        <f>IF(C134="","",PMT(INPUTS!$B$5,INPUTS!$B$6,-INPUTS!$B$3,0,0))</f>
        <v/>
      </c>
      <c r="F134" s="6" t="str">
        <f>IF(C134="","",IPMT(INPUTS!$B$5,C134,INPUTS!$B$6,-INPUTS!$B$3,0,0))</f>
        <v/>
      </c>
      <c r="G134" s="6" t="str">
        <f>IF(C134="","",PPMT(INPUTS!$B$5,C134,INPUTS!$B$6,-INPUTS!$B$3,0,0))</f>
        <v/>
      </c>
      <c r="H134" s="6" t="str">
        <f t="shared" si="9"/>
        <v/>
      </c>
      <c r="I134" s="6" t="str">
        <f t="shared" si="10"/>
        <v/>
      </c>
    </row>
    <row r="135" spans="1:9" hidden="1" x14ac:dyDescent="0.3">
      <c r="A135" s="16" t="str">
        <f t="shared" si="7"/>
        <v/>
      </c>
      <c r="D135" s="14" t="str">
        <f t="shared" si="8"/>
        <v/>
      </c>
      <c r="E135" s="6" t="str">
        <f>IF(C135="","",PMT(INPUTS!$B$5,INPUTS!$B$6,-INPUTS!$B$3,0,0))</f>
        <v/>
      </c>
      <c r="F135" s="6" t="str">
        <f>IF(C135="","",IPMT(INPUTS!$B$5,C135,INPUTS!$B$6,-INPUTS!$B$3,0,0))</f>
        <v/>
      </c>
      <c r="G135" s="6" t="str">
        <f>IF(C135="","",PPMT(INPUTS!$B$5,C135,INPUTS!$B$6,-INPUTS!$B$3,0,0))</f>
        <v/>
      </c>
      <c r="H135" s="6" t="str">
        <f t="shared" si="9"/>
        <v/>
      </c>
      <c r="I135" s="6" t="str">
        <f t="shared" si="10"/>
        <v/>
      </c>
    </row>
    <row r="136" spans="1:9" hidden="1" x14ac:dyDescent="0.3">
      <c r="A136" s="16" t="str">
        <f t="shared" si="7"/>
        <v/>
      </c>
      <c r="D136" s="14" t="str">
        <f t="shared" si="8"/>
        <v/>
      </c>
      <c r="E136" s="6" t="str">
        <f>IF(C136="","",PMT(INPUTS!$B$5,INPUTS!$B$6,-INPUTS!$B$3,0,0))</f>
        <v/>
      </c>
      <c r="F136" s="6" t="str">
        <f>IF(C136="","",IPMT(INPUTS!$B$5,C136,INPUTS!$B$6,-INPUTS!$B$3,0,0))</f>
        <v/>
      </c>
      <c r="G136" s="6" t="str">
        <f>IF(C136="","",PPMT(INPUTS!$B$5,C136,INPUTS!$B$6,-INPUTS!$B$3,0,0))</f>
        <v/>
      </c>
      <c r="H136" s="6" t="str">
        <f t="shared" si="9"/>
        <v/>
      </c>
      <c r="I136" s="6" t="str">
        <f t="shared" si="10"/>
        <v/>
      </c>
    </row>
    <row r="137" spans="1:9" hidden="1" x14ac:dyDescent="0.3">
      <c r="A137" s="16" t="str">
        <f t="shared" si="7"/>
        <v/>
      </c>
      <c r="D137" s="14" t="str">
        <f t="shared" si="8"/>
        <v/>
      </c>
      <c r="E137" s="6" t="str">
        <f>IF(C137="","",PMT(INPUTS!$B$5,INPUTS!$B$6,-INPUTS!$B$3,0,0))</f>
        <v/>
      </c>
      <c r="F137" s="6" t="str">
        <f>IF(C137="","",IPMT(INPUTS!$B$5,C137,INPUTS!$B$6,-INPUTS!$B$3,0,0))</f>
        <v/>
      </c>
      <c r="G137" s="6" t="str">
        <f>IF(C137="","",PPMT(INPUTS!$B$5,C137,INPUTS!$B$6,-INPUTS!$B$3,0,0))</f>
        <v/>
      </c>
      <c r="H137" s="6" t="str">
        <f t="shared" si="9"/>
        <v/>
      </c>
      <c r="I137" s="6" t="str">
        <f t="shared" si="10"/>
        <v/>
      </c>
    </row>
    <row r="138" spans="1:9" hidden="1" x14ac:dyDescent="0.3">
      <c r="A138" s="16" t="str">
        <f t="shared" si="7"/>
        <v/>
      </c>
      <c r="D138" s="14" t="str">
        <f t="shared" si="8"/>
        <v/>
      </c>
      <c r="E138" s="6" t="str">
        <f>IF(C138="","",PMT(INPUTS!$B$5,INPUTS!$B$6,-INPUTS!$B$3,0,0))</f>
        <v/>
      </c>
      <c r="F138" s="6" t="str">
        <f>IF(C138="","",IPMT(INPUTS!$B$5,C138,INPUTS!$B$6,-INPUTS!$B$3,0,0))</f>
        <v/>
      </c>
      <c r="G138" s="6" t="str">
        <f>IF(C138="","",PPMT(INPUTS!$B$5,C138,INPUTS!$B$6,-INPUTS!$B$3,0,0))</f>
        <v/>
      </c>
      <c r="H138" s="6" t="str">
        <f t="shared" si="9"/>
        <v/>
      </c>
      <c r="I138" s="6" t="str">
        <f t="shared" si="10"/>
        <v/>
      </c>
    </row>
    <row r="139" spans="1:9" hidden="1" x14ac:dyDescent="0.3">
      <c r="A139" s="16" t="str">
        <f t="shared" si="7"/>
        <v/>
      </c>
      <c r="D139" s="14" t="str">
        <f t="shared" si="8"/>
        <v/>
      </c>
      <c r="E139" s="6" t="str">
        <f>IF(C139="","",PMT(INPUTS!$B$5,INPUTS!$B$6,-INPUTS!$B$3,0,0))</f>
        <v/>
      </c>
      <c r="F139" s="6" t="str">
        <f>IF(C139="","",IPMT(INPUTS!$B$5,C139,INPUTS!$B$6,-INPUTS!$B$3,0,0))</f>
        <v/>
      </c>
      <c r="G139" s="6" t="str">
        <f>IF(C139="","",PPMT(INPUTS!$B$5,C139,INPUTS!$B$6,-INPUTS!$B$3,0,0))</f>
        <v/>
      </c>
      <c r="H139" s="6" t="str">
        <f t="shared" si="9"/>
        <v/>
      </c>
      <c r="I139" s="6" t="str">
        <f t="shared" si="10"/>
        <v/>
      </c>
    </row>
    <row r="140" spans="1:9" hidden="1" x14ac:dyDescent="0.3">
      <c r="A140" s="16" t="str">
        <f t="shared" si="7"/>
        <v/>
      </c>
      <c r="D140" s="14" t="str">
        <f t="shared" si="8"/>
        <v/>
      </c>
      <c r="E140" s="6" t="str">
        <f>IF(C140="","",PMT(INPUTS!$B$5,INPUTS!$B$6,-INPUTS!$B$3,0,0))</f>
        <v/>
      </c>
      <c r="F140" s="6" t="str">
        <f>IF(C140="","",IPMT(INPUTS!$B$5,C140,INPUTS!$B$6,-INPUTS!$B$3,0,0))</f>
        <v/>
      </c>
      <c r="G140" s="6" t="str">
        <f>IF(C140="","",PPMT(INPUTS!$B$5,C140,INPUTS!$B$6,-INPUTS!$B$3,0,0))</f>
        <v/>
      </c>
      <c r="H140" s="6" t="str">
        <f t="shared" si="9"/>
        <v/>
      </c>
      <c r="I140" s="6" t="str">
        <f t="shared" si="10"/>
        <v/>
      </c>
    </row>
    <row r="141" spans="1:9" hidden="1" x14ac:dyDescent="0.3">
      <c r="A141" s="16" t="str">
        <f t="shared" si="7"/>
        <v/>
      </c>
      <c r="D141" s="14" t="str">
        <f t="shared" si="8"/>
        <v/>
      </c>
      <c r="E141" s="6" t="str">
        <f>IF(C141="","",PMT(INPUTS!$B$5,INPUTS!$B$6,-INPUTS!$B$3,0,0))</f>
        <v/>
      </c>
      <c r="F141" s="6" t="str">
        <f>IF(C141="","",IPMT(INPUTS!$B$5,C141,INPUTS!$B$6,-INPUTS!$B$3,0,0))</f>
        <v/>
      </c>
      <c r="G141" s="6" t="str">
        <f>IF(C141="","",PPMT(INPUTS!$B$5,C141,INPUTS!$B$6,-INPUTS!$B$3,0,0))</f>
        <v/>
      </c>
      <c r="H141" s="6" t="str">
        <f t="shared" si="9"/>
        <v/>
      </c>
      <c r="I141" s="6" t="str">
        <f t="shared" si="10"/>
        <v/>
      </c>
    </row>
    <row r="142" spans="1:9" hidden="1" x14ac:dyDescent="0.3">
      <c r="A142" s="16" t="str">
        <f t="shared" si="7"/>
        <v/>
      </c>
      <c r="D142" s="14" t="str">
        <f t="shared" si="8"/>
        <v/>
      </c>
      <c r="E142" s="6" t="str">
        <f>IF(C142="","",PMT(INPUTS!$B$5,INPUTS!$B$6,-INPUTS!$B$3,0,0))</f>
        <v/>
      </c>
      <c r="F142" s="6" t="str">
        <f>IF(C142="","",IPMT(INPUTS!$B$5,C142,INPUTS!$B$6,-INPUTS!$B$3,0,0))</f>
        <v/>
      </c>
      <c r="G142" s="6" t="str">
        <f>IF(C142="","",PPMT(INPUTS!$B$5,C142,INPUTS!$B$6,-INPUTS!$B$3,0,0))</f>
        <v/>
      </c>
      <c r="H142" s="6" t="str">
        <f t="shared" si="9"/>
        <v/>
      </c>
      <c r="I142" s="6" t="str">
        <f t="shared" si="10"/>
        <v/>
      </c>
    </row>
    <row r="143" spans="1:9" hidden="1" x14ac:dyDescent="0.3">
      <c r="A143" s="16" t="str">
        <f t="shared" si="7"/>
        <v/>
      </c>
      <c r="D143" s="14" t="str">
        <f t="shared" si="8"/>
        <v/>
      </c>
      <c r="E143" s="6" t="str">
        <f>IF(C143="","",PMT(INPUTS!$B$5,INPUTS!$B$6,-INPUTS!$B$3,0,0))</f>
        <v/>
      </c>
      <c r="F143" s="6" t="str">
        <f>IF(C143="","",IPMT(INPUTS!$B$5,C143,INPUTS!$B$6,-INPUTS!$B$3,0,0))</f>
        <v/>
      </c>
      <c r="G143" s="6" t="str">
        <f>IF(C143="","",PPMT(INPUTS!$B$5,C143,INPUTS!$B$6,-INPUTS!$B$3,0,0))</f>
        <v/>
      </c>
      <c r="H143" s="6" t="str">
        <f t="shared" si="9"/>
        <v/>
      </c>
      <c r="I143" s="6" t="str">
        <f t="shared" si="10"/>
        <v/>
      </c>
    </row>
    <row r="144" spans="1:9" hidden="1" x14ac:dyDescent="0.3">
      <c r="A144" s="16" t="str">
        <f t="shared" si="7"/>
        <v/>
      </c>
      <c r="D144" s="14" t="str">
        <f t="shared" si="8"/>
        <v/>
      </c>
      <c r="E144" s="6" t="str">
        <f>IF(C144="","",PMT(INPUTS!$B$5,INPUTS!$B$6,-INPUTS!$B$3,0,0))</f>
        <v/>
      </c>
      <c r="F144" s="6" t="str">
        <f>IF(C144="","",IPMT(INPUTS!$B$5,C144,INPUTS!$B$6,-INPUTS!$B$3,0,0))</f>
        <v/>
      </c>
      <c r="G144" s="6" t="str">
        <f>IF(C144="","",PPMT(INPUTS!$B$5,C144,INPUTS!$B$6,-INPUTS!$B$3,0,0))</f>
        <v/>
      </c>
      <c r="H144" s="6" t="str">
        <f t="shared" si="9"/>
        <v/>
      </c>
      <c r="I144" s="6" t="str">
        <f t="shared" si="10"/>
        <v/>
      </c>
    </row>
    <row r="145" spans="1:9" hidden="1" x14ac:dyDescent="0.3">
      <c r="A145" s="16" t="str">
        <f t="shared" si="7"/>
        <v/>
      </c>
      <c r="D145" s="14" t="str">
        <f t="shared" si="8"/>
        <v/>
      </c>
      <c r="E145" s="6" t="str">
        <f>IF(C145="","",PMT(INPUTS!$B$5,INPUTS!$B$6,-INPUTS!$B$3,0,0))</f>
        <v/>
      </c>
      <c r="F145" s="6" t="str">
        <f>IF(C145="","",IPMT(INPUTS!$B$5,C145,INPUTS!$B$6,-INPUTS!$B$3,0,0))</f>
        <v/>
      </c>
      <c r="G145" s="6" t="str">
        <f>IF(C145="","",PPMT(INPUTS!$B$5,C145,INPUTS!$B$6,-INPUTS!$B$3,0,0))</f>
        <v/>
      </c>
      <c r="H145" s="6" t="str">
        <f t="shared" si="9"/>
        <v/>
      </c>
      <c r="I145" s="6" t="str">
        <f t="shared" si="10"/>
        <v/>
      </c>
    </row>
    <row r="146" spans="1:9" hidden="1" x14ac:dyDescent="0.3">
      <c r="A146" s="16" t="str">
        <f t="shared" ref="A146:A209" si="11">IF(D146="","",YEAR(D146))</f>
        <v/>
      </c>
      <c r="D146" s="14" t="str">
        <f t="shared" si="8"/>
        <v/>
      </c>
      <c r="E146" s="6" t="str">
        <f>IF(C146="","",PMT(INPUTS!$B$5,INPUTS!$B$6,-INPUTS!$B$3,0,0))</f>
        <v/>
      </c>
      <c r="F146" s="6" t="str">
        <f>IF(C146="","",IPMT(INPUTS!$B$5,C146,INPUTS!$B$6,-INPUTS!$B$3,0,0))</f>
        <v/>
      </c>
      <c r="G146" s="6" t="str">
        <f>IF(C146="","",PPMT(INPUTS!$B$5,C146,INPUTS!$B$6,-INPUTS!$B$3,0,0))</f>
        <v/>
      </c>
      <c r="H146" s="6" t="str">
        <f t="shared" si="9"/>
        <v/>
      </c>
      <c r="I146" s="6" t="str">
        <f t="shared" si="10"/>
        <v/>
      </c>
    </row>
    <row r="147" spans="1:9" hidden="1" x14ac:dyDescent="0.3">
      <c r="A147" s="16" t="str">
        <f t="shared" si="11"/>
        <v/>
      </c>
      <c r="D147" s="14" t="str">
        <f t="shared" si="8"/>
        <v/>
      </c>
      <c r="E147" s="6" t="str">
        <f>IF(C147="","",PMT(INPUTS!$B$5,INPUTS!$B$6,-INPUTS!$B$3,0,0))</f>
        <v/>
      </c>
      <c r="F147" s="6" t="str">
        <f>IF(C147="","",IPMT(INPUTS!$B$5,C147,INPUTS!$B$6,-INPUTS!$B$3,0,0))</f>
        <v/>
      </c>
      <c r="G147" s="6" t="str">
        <f>IF(C147="","",PPMT(INPUTS!$B$5,C147,INPUTS!$B$6,-INPUTS!$B$3,0,0))</f>
        <v/>
      </c>
      <c r="H147" s="6" t="str">
        <f t="shared" si="9"/>
        <v/>
      </c>
      <c r="I147" s="6" t="str">
        <f t="shared" si="10"/>
        <v/>
      </c>
    </row>
    <row r="148" spans="1:9" hidden="1" x14ac:dyDescent="0.3">
      <c r="A148" s="16" t="str">
        <f t="shared" si="11"/>
        <v/>
      </c>
      <c r="D148" s="14" t="str">
        <f t="shared" ref="D148:D211" si="12">IF(C147="","",DATE(YEAR($D147),MONTH($D147)+1,DAY($D147)))</f>
        <v/>
      </c>
      <c r="E148" s="6" t="str">
        <f>IF(C148="","",PMT(INPUTS!$B$5,INPUTS!$B$6,-INPUTS!$B$3,0,0))</f>
        <v/>
      </c>
      <c r="F148" s="6" t="str">
        <f>IF(C148="","",IPMT(INPUTS!$B$5,C148,INPUTS!$B$6,-INPUTS!$B$3,0,0))</f>
        <v/>
      </c>
      <c r="G148" s="6" t="str">
        <f>IF(C148="","",PPMT(INPUTS!$B$5,C148,INPUTS!$B$6,-INPUTS!$B$3,0,0))</f>
        <v/>
      </c>
      <c r="H148" s="6" t="str">
        <f t="shared" ref="H148:H211" si="13">I147</f>
        <v/>
      </c>
      <c r="I148" s="6" t="str">
        <f t="shared" si="10"/>
        <v/>
      </c>
    </row>
    <row r="149" spans="1:9" hidden="1" x14ac:dyDescent="0.3">
      <c r="A149" s="16" t="str">
        <f t="shared" si="11"/>
        <v/>
      </c>
      <c r="D149" s="14" t="str">
        <f t="shared" si="12"/>
        <v/>
      </c>
      <c r="E149" s="6" t="str">
        <f>IF(C149="","",PMT(INPUTS!$B$5,INPUTS!$B$6,-INPUTS!$B$3,0,0))</f>
        <v/>
      </c>
      <c r="F149" s="6" t="str">
        <f>IF(C149="","",IPMT(INPUTS!$B$5,C149,INPUTS!$B$6,-INPUTS!$B$3,0,0))</f>
        <v/>
      </c>
      <c r="G149" s="6" t="str">
        <f>IF(C149="","",PPMT(INPUTS!$B$5,C149,INPUTS!$B$6,-INPUTS!$B$3,0,0))</f>
        <v/>
      </c>
      <c r="H149" s="6" t="str">
        <f t="shared" si="13"/>
        <v/>
      </c>
      <c r="I149" s="6" t="str">
        <f t="shared" si="10"/>
        <v/>
      </c>
    </row>
    <row r="150" spans="1:9" hidden="1" x14ac:dyDescent="0.3">
      <c r="A150" s="16" t="str">
        <f t="shared" si="11"/>
        <v/>
      </c>
      <c r="D150" s="14" t="str">
        <f t="shared" si="12"/>
        <v/>
      </c>
      <c r="E150" s="6" t="str">
        <f>IF(C150="","",PMT(INPUTS!$B$5,INPUTS!$B$6,-INPUTS!$B$3,0,0))</f>
        <v/>
      </c>
      <c r="F150" s="6" t="str">
        <f>IF(C150="","",IPMT(INPUTS!$B$5,C150,INPUTS!$B$6,-INPUTS!$B$3,0,0))</f>
        <v/>
      </c>
      <c r="G150" s="6" t="str">
        <f>IF(C150="","",PPMT(INPUTS!$B$5,C150,INPUTS!$B$6,-INPUTS!$B$3,0,0))</f>
        <v/>
      </c>
      <c r="H150" s="6" t="str">
        <f t="shared" si="13"/>
        <v/>
      </c>
      <c r="I150" s="6" t="str">
        <f t="shared" si="10"/>
        <v/>
      </c>
    </row>
    <row r="151" spans="1:9" hidden="1" x14ac:dyDescent="0.3">
      <c r="A151" s="16" t="str">
        <f t="shared" si="11"/>
        <v/>
      </c>
      <c r="D151" s="14" t="str">
        <f t="shared" si="12"/>
        <v/>
      </c>
      <c r="E151" s="6" t="str">
        <f>IF(C151="","",PMT(INPUTS!$B$5,INPUTS!$B$6,-INPUTS!$B$3,0,0))</f>
        <v/>
      </c>
      <c r="F151" s="6" t="str">
        <f>IF(C151="","",IPMT(INPUTS!$B$5,C151,INPUTS!$B$6,-INPUTS!$B$3,0,0))</f>
        <v/>
      </c>
      <c r="G151" s="6" t="str">
        <f>IF(C151="","",PPMT(INPUTS!$B$5,C151,INPUTS!$B$6,-INPUTS!$B$3,0,0))</f>
        <v/>
      </c>
      <c r="H151" s="6" t="str">
        <f t="shared" si="13"/>
        <v/>
      </c>
      <c r="I151" s="6" t="str">
        <f t="shared" si="10"/>
        <v/>
      </c>
    </row>
    <row r="152" spans="1:9" hidden="1" x14ac:dyDescent="0.3">
      <c r="A152" s="16" t="str">
        <f t="shared" si="11"/>
        <v/>
      </c>
      <c r="D152" s="14" t="str">
        <f t="shared" si="12"/>
        <v/>
      </c>
      <c r="E152" s="6" t="str">
        <f>IF(C152="","",PMT(INPUTS!$B$5,INPUTS!$B$6,-INPUTS!$B$3,0,0))</f>
        <v/>
      </c>
      <c r="F152" s="6" t="str">
        <f>IF(C152="","",IPMT(INPUTS!$B$5,C152,INPUTS!$B$6,-INPUTS!$B$3,0,0))</f>
        <v/>
      </c>
      <c r="G152" s="6" t="str">
        <f>IF(C152="","",PPMT(INPUTS!$B$5,C152,INPUTS!$B$6,-INPUTS!$B$3,0,0))</f>
        <v/>
      </c>
      <c r="H152" s="6" t="str">
        <f t="shared" si="13"/>
        <v/>
      </c>
      <c r="I152" s="6" t="str">
        <f t="shared" si="10"/>
        <v/>
      </c>
    </row>
    <row r="153" spans="1:9" hidden="1" x14ac:dyDescent="0.3">
      <c r="A153" s="16" t="str">
        <f t="shared" si="11"/>
        <v/>
      </c>
      <c r="D153" s="14" t="str">
        <f t="shared" si="12"/>
        <v/>
      </c>
      <c r="E153" s="6" t="str">
        <f>IF(C153="","",PMT(INPUTS!$B$5,INPUTS!$B$6,-INPUTS!$B$3,0,0))</f>
        <v/>
      </c>
      <c r="F153" s="6" t="str">
        <f>IF(C153="","",IPMT(INPUTS!$B$5,C153,INPUTS!$B$6,-INPUTS!$B$3,0,0))</f>
        <v/>
      </c>
      <c r="G153" s="6" t="str">
        <f>IF(C153="","",PPMT(INPUTS!$B$5,C153,INPUTS!$B$6,-INPUTS!$B$3,0,0))</f>
        <v/>
      </c>
      <c r="H153" s="6" t="str">
        <f t="shared" si="13"/>
        <v/>
      </c>
      <c r="I153" s="6" t="str">
        <f t="shared" si="10"/>
        <v/>
      </c>
    </row>
    <row r="154" spans="1:9" hidden="1" x14ac:dyDescent="0.3">
      <c r="A154" s="16" t="str">
        <f t="shared" si="11"/>
        <v/>
      </c>
      <c r="D154" s="14" t="str">
        <f t="shared" si="12"/>
        <v/>
      </c>
      <c r="E154" s="6" t="str">
        <f>IF(C154="","",PMT(INPUTS!$B$5,INPUTS!$B$6,-INPUTS!$B$3,0,0))</f>
        <v/>
      </c>
      <c r="F154" s="6" t="str">
        <f>IF(C154="","",IPMT(INPUTS!$B$5,C154,INPUTS!$B$6,-INPUTS!$B$3,0,0))</f>
        <v/>
      </c>
      <c r="G154" s="6" t="str">
        <f>IF(C154="","",PPMT(INPUTS!$B$5,C154,INPUTS!$B$6,-INPUTS!$B$3,0,0))</f>
        <v/>
      </c>
      <c r="H154" s="6" t="str">
        <f t="shared" si="13"/>
        <v/>
      </c>
      <c r="I154" s="6" t="str">
        <f t="shared" si="10"/>
        <v/>
      </c>
    </row>
    <row r="155" spans="1:9" hidden="1" x14ac:dyDescent="0.3">
      <c r="A155" s="16" t="str">
        <f t="shared" si="11"/>
        <v/>
      </c>
      <c r="D155" s="14" t="str">
        <f t="shared" si="12"/>
        <v/>
      </c>
      <c r="E155" s="6" t="str">
        <f>IF(C155="","",PMT(INPUTS!$B$5,INPUTS!$B$6,-INPUTS!$B$3,0,0))</f>
        <v/>
      </c>
      <c r="F155" s="6" t="str">
        <f>IF(C155="","",IPMT(INPUTS!$B$5,C155,INPUTS!$B$6,-INPUTS!$B$3,0,0))</f>
        <v/>
      </c>
      <c r="G155" s="6" t="str">
        <f>IF(C155="","",PPMT(INPUTS!$B$5,C155,INPUTS!$B$6,-INPUTS!$B$3,0,0))</f>
        <v/>
      </c>
      <c r="H155" s="6" t="str">
        <f t="shared" si="13"/>
        <v/>
      </c>
      <c r="I155" s="6" t="str">
        <f t="shared" si="10"/>
        <v/>
      </c>
    </row>
    <row r="156" spans="1:9" hidden="1" x14ac:dyDescent="0.3">
      <c r="A156" s="16" t="str">
        <f t="shared" si="11"/>
        <v/>
      </c>
      <c r="D156" s="14" t="str">
        <f t="shared" si="12"/>
        <v/>
      </c>
      <c r="E156" s="6" t="str">
        <f>IF(C156="","",PMT(INPUTS!$B$5,INPUTS!$B$6,-INPUTS!$B$3,0,0))</f>
        <v/>
      </c>
      <c r="F156" s="6" t="str">
        <f>IF(C156="","",IPMT(INPUTS!$B$5,C156,INPUTS!$B$6,-INPUTS!$B$3,0,0))</f>
        <v/>
      </c>
      <c r="G156" s="6" t="str">
        <f>IF(C156="","",PPMT(INPUTS!$B$5,C156,INPUTS!$B$6,-INPUTS!$B$3,0,0))</f>
        <v/>
      </c>
      <c r="H156" s="6" t="str">
        <f t="shared" si="13"/>
        <v/>
      </c>
      <c r="I156" s="6" t="str">
        <f t="shared" si="10"/>
        <v/>
      </c>
    </row>
    <row r="157" spans="1:9" hidden="1" x14ac:dyDescent="0.3">
      <c r="A157" s="16" t="str">
        <f t="shared" si="11"/>
        <v/>
      </c>
      <c r="D157" s="14" t="str">
        <f t="shared" si="12"/>
        <v/>
      </c>
      <c r="E157" s="6" t="str">
        <f>IF(C157="","",PMT(INPUTS!$B$5,INPUTS!$B$6,-INPUTS!$B$3,0,0))</f>
        <v/>
      </c>
      <c r="F157" s="6" t="str">
        <f>IF(C157="","",IPMT(INPUTS!$B$5,C157,INPUTS!$B$6,-INPUTS!$B$3,0,0))</f>
        <v/>
      </c>
      <c r="G157" s="6" t="str">
        <f>IF(C157="","",PPMT(INPUTS!$B$5,C157,INPUTS!$B$6,-INPUTS!$B$3,0,0))</f>
        <v/>
      </c>
      <c r="H157" s="6" t="str">
        <f t="shared" si="13"/>
        <v/>
      </c>
      <c r="I157" s="6" t="str">
        <f t="shared" si="10"/>
        <v/>
      </c>
    </row>
    <row r="158" spans="1:9" hidden="1" x14ac:dyDescent="0.3">
      <c r="A158" s="16" t="str">
        <f t="shared" si="11"/>
        <v/>
      </c>
      <c r="D158" s="14" t="str">
        <f t="shared" si="12"/>
        <v/>
      </c>
      <c r="E158" s="6" t="str">
        <f>IF(C158="","",PMT(INPUTS!$B$5,INPUTS!$B$6,-INPUTS!$B$3,0,0))</f>
        <v/>
      </c>
      <c r="F158" s="6" t="str">
        <f>IF(C158="","",IPMT(INPUTS!$B$5,C158,INPUTS!$B$6,-INPUTS!$B$3,0,0))</f>
        <v/>
      </c>
      <c r="G158" s="6" t="str">
        <f>IF(C158="","",PPMT(INPUTS!$B$5,C158,INPUTS!$B$6,-INPUTS!$B$3,0,0))</f>
        <v/>
      </c>
      <c r="H158" s="6" t="str">
        <f t="shared" si="13"/>
        <v/>
      </c>
      <c r="I158" s="6" t="str">
        <f t="shared" si="10"/>
        <v/>
      </c>
    </row>
    <row r="159" spans="1:9" hidden="1" x14ac:dyDescent="0.3">
      <c r="A159" s="16" t="str">
        <f t="shared" si="11"/>
        <v/>
      </c>
      <c r="D159" s="14" t="str">
        <f t="shared" si="12"/>
        <v/>
      </c>
      <c r="E159" s="6" t="str">
        <f>IF(C159="","",PMT(INPUTS!$B$5,INPUTS!$B$6,-INPUTS!$B$3,0,0))</f>
        <v/>
      </c>
      <c r="F159" s="6" t="str">
        <f>IF(C159="","",IPMT(INPUTS!$B$5,C159,INPUTS!$B$6,-INPUTS!$B$3,0,0))</f>
        <v/>
      </c>
      <c r="G159" s="6" t="str">
        <f>IF(C159="","",PPMT(INPUTS!$B$5,C159,INPUTS!$B$6,-INPUTS!$B$3,0,0))</f>
        <v/>
      </c>
      <c r="H159" s="6" t="str">
        <f t="shared" si="13"/>
        <v/>
      </c>
      <c r="I159" s="6" t="str">
        <f t="shared" si="10"/>
        <v/>
      </c>
    </row>
    <row r="160" spans="1:9" hidden="1" x14ac:dyDescent="0.3">
      <c r="A160" s="16" t="str">
        <f t="shared" si="11"/>
        <v/>
      </c>
      <c r="D160" s="14" t="str">
        <f t="shared" si="12"/>
        <v/>
      </c>
      <c r="E160" s="6" t="str">
        <f>IF(C160="","",PMT(INPUTS!$B$5,INPUTS!$B$6,-INPUTS!$B$3,0,0))</f>
        <v/>
      </c>
      <c r="F160" s="6" t="str">
        <f>IF(C160="","",IPMT(INPUTS!$B$5,C160,INPUTS!$B$6,-INPUTS!$B$3,0,0))</f>
        <v/>
      </c>
      <c r="G160" s="6" t="str">
        <f>IF(C160="","",PPMT(INPUTS!$B$5,C160,INPUTS!$B$6,-INPUTS!$B$3,0,0))</f>
        <v/>
      </c>
      <c r="H160" s="6" t="str">
        <f t="shared" si="13"/>
        <v/>
      </c>
      <c r="I160" s="6" t="str">
        <f t="shared" si="10"/>
        <v/>
      </c>
    </row>
    <row r="161" spans="1:9" hidden="1" x14ac:dyDescent="0.3">
      <c r="A161" s="16" t="str">
        <f t="shared" si="11"/>
        <v/>
      </c>
      <c r="D161" s="14" t="str">
        <f t="shared" si="12"/>
        <v/>
      </c>
      <c r="E161" s="6" t="str">
        <f>IF(C161="","",PMT(INPUTS!$B$5,INPUTS!$B$6,-INPUTS!$B$3,0,0))</f>
        <v/>
      </c>
      <c r="F161" s="6" t="str">
        <f>IF(C161="","",IPMT(INPUTS!$B$5,C161,INPUTS!$B$6,-INPUTS!$B$3,0,0))</f>
        <v/>
      </c>
      <c r="G161" s="6" t="str">
        <f>IF(C161="","",PPMT(INPUTS!$B$5,C161,INPUTS!$B$6,-INPUTS!$B$3,0,0))</f>
        <v/>
      </c>
      <c r="H161" s="6" t="str">
        <f t="shared" si="13"/>
        <v/>
      </c>
      <c r="I161" s="6" t="str">
        <f t="shared" si="10"/>
        <v/>
      </c>
    </row>
    <row r="162" spans="1:9" hidden="1" x14ac:dyDescent="0.3">
      <c r="A162" s="16" t="str">
        <f t="shared" si="11"/>
        <v/>
      </c>
      <c r="D162" s="14" t="str">
        <f t="shared" si="12"/>
        <v/>
      </c>
      <c r="E162" s="6" t="str">
        <f>IF(C162="","",PMT(INPUTS!$B$5,INPUTS!$B$6,-INPUTS!$B$3,0,0))</f>
        <v/>
      </c>
      <c r="F162" s="6" t="str">
        <f>IF(C162="","",IPMT(INPUTS!$B$5,C162,INPUTS!$B$6,-INPUTS!$B$3,0,0))</f>
        <v/>
      </c>
      <c r="G162" s="6" t="str">
        <f>IF(C162="","",PPMT(INPUTS!$B$5,C162,INPUTS!$B$6,-INPUTS!$B$3,0,0))</f>
        <v/>
      </c>
      <c r="H162" s="6" t="str">
        <f t="shared" si="13"/>
        <v/>
      </c>
      <c r="I162" s="6" t="str">
        <f t="shared" si="10"/>
        <v/>
      </c>
    </row>
    <row r="163" spans="1:9" hidden="1" x14ac:dyDescent="0.3">
      <c r="A163" s="16" t="str">
        <f t="shared" si="11"/>
        <v/>
      </c>
      <c r="D163" s="14" t="str">
        <f t="shared" si="12"/>
        <v/>
      </c>
      <c r="E163" s="6" t="str">
        <f>IF(C163="","",PMT(INPUTS!$B$5,INPUTS!$B$6,-INPUTS!$B$3,0,0))</f>
        <v/>
      </c>
      <c r="F163" s="6" t="str">
        <f>IF(C163="","",IPMT(INPUTS!$B$5,C163,INPUTS!$B$6,-INPUTS!$B$3,0,0))</f>
        <v/>
      </c>
      <c r="G163" s="6" t="str">
        <f>IF(C163="","",PPMT(INPUTS!$B$5,C163,INPUTS!$B$6,-INPUTS!$B$3,0,0))</f>
        <v/>
      </c>
      <c r="H163" s="6" t="str">
        <f t="shared" si="13"/>
        <v/>
      </c>
      <c r="I163" s="6" t="str">
        <f t="shared" si="10"/>
        <v/>
      </c>
    </row>
    <row r="164" spans="1:9" hidden="1" x14ac:dyDescent="0.3">
      <c r="A164" s="16" t="str">
        <f t="shared" si="11"/>
        <v/>
      </c>
      <c r="D164" s="14" t="str">
        <f t="shared" si="12"/>
        <v/>
      </c>
      <c r="E164" s="6" t="str">
        <f>IF(C164="","",PMT(INPUTS!$B$5,INPUTS!$B$6,-INPUTS!$B$3,0,0))</f>
        <v/>
      </c>
      <c r="F164" s="6" t="str">
        <f>IF(C164="","",IPMT(INPUTS!$B$5,C164,INPUTS!$B$6,-INPUTS!$B$3,0,0))</f>
        <v/>
      </c>
      <c r="G164" s="6" t="str">
        <f>IF(C164="","",PPMT(INPUTS!$B$5,C164,INPUTS!$B$6,-INPUTS!$B$3,0,0))</f>
        <v/>
      </c>
      <c r="H164" s="6" t="str">
        <f t="shared" si="13"/>
        <v/>
      </c>
      <c r="I164" s="6" t="str">
        <f t="shared" si="10"/>
        <v/>
      </c>
    </row>
    <row r="165" spans="1:9" hidden="1" x14ac:dyDescent="0.3">
      <c r="A165" s="16" t="str">
        <f t="shared" si="11"/>
        <v/>
      </c>
      <c r="D165" s="14" t="str">
        <f t="shared" si="12"/>
        <v/>
      </c>
      <c r="E165" s="6" t="str">
        <f>IF(C165="","",PMT(INPUTS!$B$5,INPUTS!$B$6,-INPUTS!$B$3,0,0))</f>
        <v/>
      </c>
      <c r="F165" s="6" t="str">
        <f>IF(C165="","",IPMT(INPUTS!$B$5,C165,INPUTS!$B$6,-INPUTS!$B$3,0,0))</f>
        <v/>
      </c>
      <c r="G165" s="6" t="str">
        <f>IF(C165="","",PPMT(INPUTS!$B$5,C165,INPUTS!$B$6,-INPUTS!$B$3,0,0))</f>
        <v/>
      </c>
      <c r="H165" s="6" t="str">
        <f t="shared" si="13"/>
        <v/>
      </c>
      <c r="I165" s="6" t="str">
        <f t="shared" si="10"/>
        <v/>
      </c>
    </row>
    <row r="166" spans="1:9" hidden="1" x14ac:dyDescent="0.3">
      <c r="A166" s="16" t="str">
        <f t="shared" si="11"/>
        <v/>
      </c>
      <c r="D166" s="14" t="str">
        <f t="shared" si="12"/>
        <v/>
      </c>
      <c r="E166" s="6" t="str">
        <f>IF(C166="","",PMT(INPUTS!$B$5,INPUTS!$B$6,-INPUTS!$B$3,0,0))</f>
        <v/>
      </c>
      <c r="F166" s="6" t="str">
        <f>IF(C166="","",IPMT(INPUTS!$B$5,C166,INPUTS!$B$6,-INPUTS!$B$3,0,0))</f>
        <v/>
      </c>
      <c r="G166" s="6" t="str">
        <f>IF(C166="","",PPMT(INPUTS!$B$5,C166,INPUTS!$B$6,-INPUTS!$B$3,0,0))</f>
        <v/>
      </c>
      <c r="H166" s="6" t="str">
        <f t="shared" si="13"/>
        <v/>
      </c>
      <c r="I166" s="6" t="str">
        <f t="shared" si="10"/>
        <v/>
      </c>
    </row>
    <row r="167" spans="1:9" hidden="1" x14ac:dyDescent="0.3">
      <c r="A167" s="16" t="str">
        <f t="shared" si="11"/>
        <v/>
      </c>
      <c r="D167" s="14" t="str">
        <f t="shared" si="12"/>
        <v/>
      </c>
      <c r="E167" s="6" t="str">
        <f>IF(C167="","",PMT(INPUTS!$B$5,INPUTS!$B$6,-INPUTS!$B$3,0,0))</f>
        <v/>
      </c>
      <c r="F167" s="6" t="str">
        <f>IF(C167="","",IPMT(INPUTS!$B$5,C167,INPUTS!$B$6,-INPUTS!$B$3,0,0))</f>
        <v/>
      </c>
      <c r="G167" s="6" t="str">
        <f>IF(C167="","",PPMT(INPUTS!$B$5,C167,INPUTS!$B$6,-INPUTS!$B$3,0,0))</f>
        <v/>
      </c>
      <c r="H167" s="6" t="str">
        <f t="shared" si="13"/>
        <v/>
      </c>
      <c r="I167" s="6" t="str">
        <f t="shared" si="10"/>
        <v/>
      </c>
    </row>
    <row r="168" spans="1:9" hidden="1" x14ac:dyDescent="0.3">
      <c r="A168" s="16" t="str">
        <f t="shared" si="11"/>
        <v/>
      </c>
      <c r="D168" s="14" t="str">
        <f t="shared" si="12"/>
        <v/>
      </c>
      <c r="E168" s="6" t="str">
        <f>IF(C168="","",PMT(INPUTS!$B$5,INPUTS!$B$6,-INPUTS!$B$3,0,0))</f>
        <v/>
      </c>
      <c r="F168" s="6" t="str">
        <f>IF(C168="","",IPMT(INPUTS!$B$5,C168,INPUTS!$B$6,-INPUTS!$B$3,0,0))</f>
        <v/>
      </c>
      <c r="G168" s="6" t="str">
        <f>IF(C168="","",PPMT(INPUTS!$B$5,C168,INPUTS!$B$6,-INPUTS!$B$3,0,0))</f>
        <v/>
      </c>
      <c r="H168" s="6" t="str">
        <f t="shared" si="13"/>
        <v/>
      </c>
      <c r="I168" s="6" t="str">
        <f t="shared" si="10"/>
        <v/>
      </c>
    </row>
    <row r="169" spans="1:9" hidden="1" x14ac:dyDescent="0.3">
      <c r="A169" s="16" t="str">
        <f t="shared" si="11"/>
        <v/>
      </c>
      <c r="D169" s="14" t="str">
        <f t="shared" si="12"/>
        <v/>
      </c>
      <c r="E169" s="6" t="str">
        <f>IF(C169="","",PMT(INPUTS!$B$5,INPUTS!$B$6,-INPUTS!$B$3,0,0))</f>
        <v/>
      </c>
      <c r="F169" s="6" t="str">
        <f>IF(C169="","",IPMT(INPUTS!$B$5,C169,INPUTS!$B$6,-INPUTS!$B$3,0,0))</f>
        <v/>
      </c>
      <c r="G169" s="6" t="str">
        <f>IF(C169="","",PPMT(INPUTS!$B$5,C169,INPUTS!$B$6,-INPUTS!$B$3,0,0))</f>
        <v/>
      </c>
      <c r="H169" s="6" t="str">
        <f t="shared" si="13"/>
        <v/>
      </c>
      <c r="I169" s="6" t="str">
        <f t="shared" si="10"/>
        <v/>
      </c>
    </row>
    <row r="170" spans="1:9" hidden="1" x14ac:dyDescent="0.3">
      <c r="A170" s="16" t="str">
        <f t="shared" si="11"/>
        <v/>
      </c>
      <c r="D170" s="14" t="str">
        <f t="shared" si="12"/>
        <v/>
      </c>
      <c r="E170" s="6" t="str">
        <f>IF(C170="","",PMT(INPUTS!$B$5,INPUTS!$B$6,-INPUTS!$B$3,0,0))</f>
        <v/>
      </c>
      <c r="F170" s="6" t="str">
        <f>IF(C170="","",IPMT(INPUTS!$B$5,C170,INPUTS!$B$6,-INPUTS!$B$3,0,0))</f>
        <v/>
      </c>
      <c r="G170" s="6" t="str">
        <f>IF(C170="","",PPMT(INPUTS!$B$5,C170,INPUTS!$B$6,-INPUTS!$B$3,0,0))</f>
        <v/>
      </c>
      <c r="H170" s="6" t="str">
        <f t="shared" si="13"/>
        <v/>
      </c>
      <c r="I170" s="6" t="str">
        <f t="shared" si="10"/>
        <v/>
      </c>
    </row>
    <row r="171" spans="1:9" hidden="1" x14ac:dyDescent="0.3">
      <c r="A171" s="16" t="str">
        <f t="shared" si="11"/>
        <v/>
      </c>
      <c r="D171" s="14" t="str">
        <f t="shared" si="12"/>
        <v/>
      </c>
      <c r="E171" s="6" t="str">
        <f>IF(C171="","",PMT(INPUTS!$B$5,INPUTS!$B$6,-INPUTS!$B$3,0,0))</f>
        <v/>
      </c>
      <c r="F171" s="6" t="str">
        <f>IF(C171="","",IPMT(INPUTS!$B$5,C171,INPUTS!$B$6,-INPUTS!$B$3,0,0))</f>
        <v/>
      </c>
      <c r="G171" s="6" t="str">
        <f>IF(C171="","",PPMT(INPUTS!$B$5,C171,INPUTS!$B$6,-INPUTS!$B$3,0,0))</f>
        <v/>
      </c>
      <c r="H171" s="6" t="str">
        <f t="shared" si="13"/>
        <v/>
      </c>
      <c r="I171" s="6" t="str">
        <f t="shared" si="10"/>
        <v/>
      </c>
    </row>
    <row r="172" spans="1:9" hidden="1" x14ac:dyDescent="0.3">
      <c r="A172" s="16" t="str">
        <f t="shared" si="11"/>
        <v/>
      </c>
      <c r="D172" s="14" t="str">
        <f t="shared" si="12"/>
        <v/>
      </c>
      <c r="E172" s="6" t="str">
        <f>IF(C172="","",PMT(INPUTS!$B$5,INPUTS!$B$6,-INPUTS!$B$3,0,0))</f>
        <v/>
      </c>
      <c r="F172" s="6" t="str">
        <f>IF(C172="","",IPMT(INPUTS!$B$5,C172,INPUTS!$B$6,-INPUTS!$B$3,0,0))</f>
        <v/>
      </c>
      <c r="G172" s="6" t="str">
        <f>IF(C172="","",PPMT(INPUTS!$B$5,C172,INPUTS!$B$6,-INPUTS!$B$3,0,0))</f>
        <v/>
      </c>
      <c r="H172" s="6" t="str">
        <f t="shared" si="13"/>
        <v/>
      </c>
      <c r="I172" s="6" t="str">
        <f t="shared" si="10"/>
        <v/>
      </c>
    </row>
    <row r="173" spans="1:9" hidden="1" x14ac:dyDescent="0.3">
      <c r="A173" s="16" t="str">
        <f t="shared" si="11"/>
        <v/>
      </c>
      <c r="D173" s="14" t="str">
        <f t="shared" si="12"/>
        <v/>
      </c>
      <c r="E173" s="6" t="str">
        <f>IF(C173="","",PMT(INPUTS!$B$5,INPUTS!$B$6,-INPUTS!$B$3,0,0))</f>
        <v/>
      </c>
      <c r="F173" s="6" t="str">
        <f>IF(C173="","",IPMT(INPUTS!$B$5,C173,INPUTS!$B$6,-INPUTS!$B$3,0,0))</f>
        <v/>
      </c>
      <c r="G173" s="6" t="str">
        <f>IF(C173="","",PPMT(INPUTS!$B$5,C173,INPUTS!$B$6,-INPUTS!$B$3,0,0))</f>
        <v/>
      </c>
      <c r="H173" s="6" t="str">
        <f t="shared" si="13"/>
        <v/>
      </c>
      <c r="I173" s="6" t="str">
        <f t="shared" si="10"/>
        <v/>
      </c>
    </row>
    <row r="174" spans="1:9" hidden="1" x14ac:dyDescent="0.3">
      <c r="A174" s="16" t="str">
        <f t="shared" si="11"/>
        <v/>
      </c>
      <c r="D174" s="14" t="str">
        <f t="shared" si="12"/>
        <v/>
      </c>
      <c r="E174" s="6" t="str">
        <f>IF(C174="","",PMT(INPUTS!$B$5,INPUTS!$B$6,-INPUTS!$B$3,0,0))</f>
        <v/>
      </c>
      <c r="F174" s="6" t="str">
        <f>IF(C174="","",IPMT(INPUTS!$B$5,C174,INPUTS!$B$6,-INPUTS!$B$3,0,0))</f>
        <v/>
      </c>
      <c r="G174" s="6" t="str">
        <f>IF(C174="","",PPMT(INPUTS!$B$5,C174,INPUTS!$B$6,-INPUTS!$B$3,0,0))</f>
        <v/>
      </c>
      <c r="H174" s="6" t="str">
        <f t="shared" si="13"/>
        <v/>
      </c>
      <c r="I174" s="6" t="str">
        <f t="shared" si="10"/>
        <v/>
      </c>
    </row>
    <row r="175" spans="1:9" hidden="1" x14ac:dyDescent="0.3">
      <c r="A175" s="16" t="str">
        <f t="shared" si="11"/>
        <v/>
      </c>
      <c r="D175" s="14" t="str">
        <f t="shared" si="12"/>
        <v/>
      </c>
      <c r="E175" s="6" t="str">
        <f>IF(C175="","",PMT(INPUTS!$B$5,INPUTS!$B$6,-INPUTS!$B$3,0,0))</f>
        <v/>
      </c>
      <c r="F175" s="6" t="str">
        <f>IF(C175="","",IPMT(INPUTS!$B$5,C175,INPUTS!$B$6,-INPUTS!$B$3,0,0))</f>
        <v/>
      </c>
      <c r="G175" s="6" t="str">
        <f>IF(C175="","",PPMT(INPUTS!$B$5,C175,INPUTS!$B$6,-INPUTS!$B$3,0,0))</f>
        <v/>
      </c>
      <c r="H175" s="6" t="str">
        <f t="shared" si="13"/>
        <v/>
      </c>
      <c r="I175" s="6" t="str">
        <f t="shared" si="10"/>
        <v/>
      </c>
    </row>
    <row r="176" spans="1:9" hidden="1" x14ac:dyDescent="0.3">
      <c r="A176" s="16" t="str">
        <f t="shared" si="11"/>
        <v/>
      </c>
      <c r="D176" s="14" t="str">
        <f t="shared" si="12"/>
        <v/>
      </c>
      <c r="E176" s="6" t="str">
        <f>IF(C176="","",PMT(INPUTS!$B$5,INPUTS!$B$6,-INPUTS!$B$3,0,0))</f>
        <v/>
      </c>
      <c r="F176" s="6" t="str">
        <f>IF(C176="","",IPMT(INPUTS!$B$5,C176,INPUTS!$B$6,-INPUTS!$B$3,0,0))</f>
        <v/>
      </c>
      <c r="G176" s="6" t="str">
        <f>IF(C176="","",PPMT(INPUTS!$B$5,C176,INPUTS!$B$6,-INPUTS!$B$3,0,0))</f>
        <v/>
      </c>
      <c r="H176" s="6" t="str">
        <f t="shared" si="13"/>
        <v/>
      </c>
      <c r="I176" s="6" t="str">
        <f t="shared" ref="I176:I239" si="14">IF(C176="","",H176-G176)</f>
        <v/>
      </c>
    </row>
    <row r="177" spans="1:9" hidden="1" x14ac:dyDescent="0.3">
      <c r="A177" s="16" t="str">
        <f t="shared" si="11"/>
        <v/>
      </c>
      <c r="D177" s="14" t="str">
        <f t="shared" si="12"/>
        <v/>
      </c>
      <c r="E177" s="6" t="str">
        <f>IF(C177="","",PMT(INPUTS!$B$5,INPUTS!$B$6,-INPUTS!$B$3,0,0))</f>
        <v/>
      </c>
      <c r="F177" s="6" t="str">
        <f>IF(C177="","",IPMT(INPUTS!$B$5,C177,INPUTS!$B$6,-INPUTS!$B$3,0,0))</f>
        <v/>
      </c>
      <c r="G177" s="6" t="str">
        <f>IF(C177="","",PPMT(INPUTS!$B$5,C177,INPUTS!$B$6,-INPUTS!$B$3,0,0))</f>
        <v/>
      </c>
      <c r="H177" s="6" t="str">
        <f t="shared" si="13"/>
        <v/>
      </c>
      <c r="I177" s="6" t="str">
        <f t="shared" si="14"/>
        <v/>
      </c>
    </row>
    <row r="178" spans="1:9" hidden="1" x14ac:dyDescent="0.3">
      <c r="A178" s="16" t="str">
        <f t="shared" si="11"/>
        <v/>
      </c>
      <c r="D178" s="14" t="str">
        <f t="shared" si="12"/>
        <v/>
      </c>
      <c r="E178" s="6" t="str">
        <f>IF(C178="","",PMT(INPUTS!$B$5,INPUTS!$B$6,-INPUTS!$B$3,0,0))</f>
        <v/>
      </c>
      <c r="F178" s="6" t="str">
        <f>IF(C178="","",IPMT(INPUTS!$B$5,C178,INPUTS!$B$6,-INPUTS!$B$3,0,0))</f>
        <v/>
      </c>
      <c r="G178" s="6" t="str">
        <f>IF(C178="","",PPMT(INPUTS!$B$5,C178,INPUTS!$B$6,-INPUTS!$B$3,0,0))</f>
        <v/>
      </c>
      <c r="H178" s="6" t="str">
        <f t="shared" si="13"/>
        <v/>
      </c>
      <c r="I178" s="6" t="str">
        <f t="shared" si="14"/>
        <v/>
      </c>
    </row>
    <row r="179" spans="1:9" hidden="1" x14ac:dyDescent="0.3">
      <c r="A179" s="16" t="str">
        <f t="shared" si="11"/>
        <v/>
      </c>
      <c r="D179" s="14" t="str">
        <f t="shared" si="12"/>
        <v/>
      </c>
      <c r="E179" s="6" t="str">
        <f>IF(C179="","",PMT(INPUTS!$B$5,INPUTS!$B$6,-INPUTS!$B$3,0,0))</f>
        <v/>
      </c>
      <c r="F179" s="6" t="str">
        <f>IF(C179="","",IPMT(INPUTS!$B$5,C179,INPUTS!$B$6,-INPUTS!$B$3,0,0))</f>
        <v/>
      </c>
      <c r="G179" s="6" t="str">
        <f>IF(C179="","",PPMT(INPUTS!$B$5,C179,INPUTS!$B$6,-INPUTS!$B$3,0,0))</f>
        <v/>
      </c>
      <c r="H179" s="6" t="str">
        <f t="shared" si="13"/>
        <v/>
      </c>
      <c r="I179" s="6" t="str">
        <f t="shared" si="14"/>
        <v/>
      </c>
    </row>
    <row r="180" spans="1:9" hidden="1" x14ac:dyDescent="0.3">
      <c r="A180" s="16" t="str">
        <f t="shared" si="11"/>
        <v/>
      </c>
      <c r="D180" s="14" t="str">
        <f t="shared" si="12"/>
        <v/>
      </c>
      <c r="E180" s="6" t="str">
        <f>IF(C180="","",PMT(INPUTS!$B$5,INPUTS!$B$6,-INPUTS!$B$3,0,0))</f>
        <v/>
      </c>
      <c r="F180" s="6" t="str">
        <f>IF(C180="","",IPMT(INPUTS!$B$5,C180,INPUTS!$B$6,-INPUTS!$B$3,0,0))</f>
        <v/>
      </c>
      <c r="G180" s="6" t="str">
        <f>IF(C180="","",PPMT(INPUTS!$B$5,C180,INPUTS!$B$6,-INPUTS!$B$3,0,0))</f>
        <v/>
      </c>
      <c r="H180" s="6" t="str">
        <f t="shared" si="13"/>
        <v/>
      </c>
      <c r="I180" s="6" t="str">
        <f t="shared" si="14"/>
        <v/>
      </c>
    </row>
    <row r="181" spans="1:9" hidden="1" x14ac:dyDescent="0.3">
      <c r="A181" s="16" t="str">
        <f t="shared" si="11"/>
        <v/>
      </c>
      <c r="D181" s="14" t="str">
        <f t="shared" si="12"/>
        <v/>
      </c>
      <c r="E181" s="6" t="str">
        <f>IF(C181="","",PMT(INPUTS!$B$5,INPUTS!$B$6,-INPUTS!$B$3,0,0))</f>
        <v/>
      </c>
      <c r="F181" s="6" t="str">
        <f>IF(C181="","",IPMT(INPUTS!$B$5,C181,INPUTS!$B$6,-INPUTS!$B$3,0,0))</f>
        <v/>
      </c>
      <c r="G181" s="6" t="str">
        <f>IF(C181="","",PPMT(INPUTS!$B$5,C181,INPUTS!$B$6,-INPUTS!$B$3,0,0))</f>
        <v/>
      </c>
      <c r="H181" s="6" t="str">
        <f t="shared" si="13"/>
        <v/>
      </c>
      <c r="I181" s="6" t="str">
        <f t="shared" si="14"/>
        <v/>
      </c>
    </row>
    <row r="182" spans="1:9" hidden="1" x14ac:dyDescent="0.3">
      <c r="A182" s="16" t="str">
        <f t="shared" si="11"/>
        <v/>
      </c>
      <c r="D182" s="14" t="str">
        <f t="shared" si="12"/>
        <v/>
      </c>
      <c r="E182" s="6" t="str">
        <f>IF(C182="","",PMT(INPUTS!$B$5,INPUTS!$B$6,-INPUTS!$B$3,0,0))</f>
        <v/>
      </c>
      <c r="F182" s="6" t="str">
        <f>IF(C182="","",IPMT(INPUTS!$B$5,C182,INPUTS!$B$6,-INPUTS!$B$3,0,0))</f>
        <v/>
      </c>
      <c r="G182" s="6" t="str">
        <f>IF(C182="","",PPMT(INPUTS!$B$5,C182,INPUTS!$B$6,-INPUTS!$B$3,0,0))</f>
        <v/>
      </c>
      <c r="H182" s="6" t="str">
        <f t="shared" si="13"/>
        <v/>
      </c>
      <c r="I182" s="6" t="str">
        <f t="shared" si="14"/>
        <v/>
      </c>
    </row>
    <row r="183" spans="1:9" hidden="1" x14ac:dyDescent="0.3">
      <c r="A183" s="16" t="str">
        <f t="shared" si="11"/>
        <v/>
      </c>
      <c r="D183" s="14" t="str">
        <f t="shared" si="12"/>
        <v/>
      </c>
      <c r="E183" s="6" t="str">
        <f>IF(C183="","",PMT(INPUTS!$B$5,INPUTS!$B$6,-INPUTS!$B$3,0,0))</f>
        <v/>
      </c>
      <c r="F183" s="6" t="str">
        <f>IF(C183="","",IPMT(INPUTS!$B$5,C183,INPUTS!$B$6,-INPUTS!$B$3,0,0))</f>
        <v/>
      </c>
      <c r="G183" s="6" t="str">
        <f>IF(C183="","",PPMT(INPUTS!$B$5,C183,INPUTS!$B$6,-INPUTS!$B$3,0,0))</f>
        <v/>
      </c>
      <c r="H183" s="6" t="str">
        <f t="shared" si="13"/>
        <v/>
      </c>
      <c r="I183" s="6" t="str">
        <f t="shared" si="14"/>
        <v/>
      </c>
    </row>
    <row r="184" spans="1:9" hidden="1" x14ac:dyDescent="0.3">
      <c r="A184" s="16" t="str">
        <f t="shared" si="11"/>
        <v/>
      </c>
      <c r="D184" s="14" t="str">
        <f t="shared" si="12"/>
        <v/>
      </c>
      <c r="E184" s="6" t="str">
        <f>IF(C184="","",PMT(INPUTS!$B$5,INPUTS!$B$6,-INPUTS!$B$3,0,0))</f>
        <v/>
      </c>
      <c r="F184" s="6" t="str">
        <f>IF(C184="","",IPMT(INPUTS!$B$5,C184,INPUTS!$B$6,-INPUTS!$B$3,0,0))</f>
        <v/>
      </c>
      <c r="G184" s="6" t="str">
        <f>IF(C184="","",PPMT(INPUTS!$B$5,C184,INPUTS!$B$6,-INPUTS!$B$3,0,0))</f>
        <v/>
      </c>
      <c r="H184" s="6" t="str">
        <f t="shared" si="13"/>
        <v/>
      </c>
      <c r="I184" s="6" t="str">
        <f t="shared" si="14"/>
        <v/>
      </c>
    </row>
    <row r="185" spans="1:9" hidden="1" x14ac:dyDescent="0.3">
      <c r="A185" s="16" t="str">
        <f t="shared" si="11"/>
        <v/>
      </c>
      <c r="D185" s="14" t="str">
        <f t="shared" si="12"/>
        <v/>
      </c>
      <c r="E185" s="6" t="str">
        <f>IF(C185="","",PMT(INPUTS!$B$5,INPUTS!$B$6,-INPUTS!$B$3,0,0))</f>
        <v/>
      </c>
      <c r="F185" s="6" t="str">
        <f>IF(C185="","",IPMT(INPUTS!$B$5,C185,INPUTS!$B$6,-INPUTS!$B$3,0,0))</f>
        <v/>
      </c>
      <c r="G185" s="6" t="str">
        <f>IF(C185="","",PPMT(INPUTS!$B$5,C185,INPUTS!$B$6,-INPUTS!$B$3,0,0))</f>
        <v/>
      </c>
      <c r="H185" s="6" t="str">
        <f t="shared" si="13"/>
        <v/>
      </c>
      <c r="I185" s="6" t="str">
        <f t="shared" si="14"/>
        <v/>
      </c>
    </row>
    <row r="186" spans="1:9" hidden="1" x14ac:dyDescent="0.3">
      <c r="A186" s="16" t="str">
        <f t="shared" si="11"/>
        <v/>
      </c>
      <c r="D186" s="14" t="str">
        <f t="shared" si="12"/>
        <v/>
      </c>
      <c r="E186" s="6" t="str">
        <f>IF(C186="","",PMT(INPUTS!$B$5,INPUTS!$B$6,-INPUTS!$B$3,0,0))</f>
        <v/>
      </c>
      <c r="F186" s="6" t="str">
        <f>IF(C186="","",IPMT(INPUTS!$B$5,C186,INPUTS!$B$6,-INPUTS!$B$3,0,0))</f>
        <v/>
      </c>
      <c r="G186" s="6" t="str">
        <f>IF(C186="","",PPMT(INPUTS!$B$5,C186,INPUTS!$B$6,-INPUTS!$B$3,0,0))</f>
        <v/>
      </c>
      <c r="H186" s="6" t="str">
        <f t="shared" si="13"/>
        <v/>
      </c>
      <c r="I186" s="6" t="str">
        <f t="shared" si="14"/>
        <v/>
      </c>
    </row>
    <row r="187" spans="1:9" hidden="1" x14ac:dyDescent="0.3">
      <c r="A187" s="16" t="str">
        <f t="shared" si="11"/>
        <v/>
      </c>
      <c r="D187" s="14" t="str">
        <f t="shared" si="12"/>
        <v/>
      </c>
      <c r="E187" s="6" t="str">
        <f>IF(C187="","",PMT(INPUTS!$B$5,INPUTS!$B$6,-INPUTS!$B$3,0,0))</f>
        <v/>
      </c>
      <c r="F187" s="6" t="str">
        <f>IF(C187="","",IPMT(INPUTS!$B$5,C187,INPUTS!$B$6,-INPUTS!$B$3,0,0))</f>
        <v/>
      </c>
      <c r="G187" s="6" t="str">
        <f>IF(C187="","",PPMT(INPUTS!$B$5,C187,INPUTS!$B$6,-INPUTS!$B$3,0,0))</f>
        <v/>
      </c>
      <c r="H187" s="6" t="str">
        <f t="shared" si="13"/>
        <v/>
      </c>
      <c r="I187" s="6" t="str">
        <f t="shared" si="14"/>
        <v/>
      </c>
    </row>
    <row r="188" spans="1:9" hidden="1" x14ac:dyDescent="0.3">
      <c r="A188" s="16" t="str">
        <f t="shared" si="11"/>
        <v/>
      </c>
      <c r="D188" s="14" t="str">
        <f t="shared" si="12"/>
        <v/>
      </c>
      <c r="E188" s="6" t="str">
        <f>IF(C188="","",PMT(INPUTS!$B$5,INPUTS!$B$6,-INPUTS!$B$3,0,0))</f>
        <v/>
      </c>
      <c r="F188" s="6" t="str">
        <f>IF(C188="","",IPMT(INPUTS!$B$5,C188,INPUTS!$B$6,-INPUTS!$B$3,0,0))</f>
        <v/>
      </c>
      <c r="G188" s="6" t="str">
        <f>IF(C188="","",PPMT(INPUTS!$B$5,C188,INPUTS!$B$6,-INPUTS!$B$3,0,0))</f>
        <v/>
      </c>
      <c r="H188" s="6" t="str">
        <f t="shared" si="13"/>
        <v/>
      </c>
      <c r="I188" s="6" t="str">
        <f t="shared" si="14"/>
        <v/>
      </c>
    </row>
    <row r="189" spans="1:9" hidden="1" x14ac:dyDescent="0.3">
      <c r="A189" s="16" t="str">
        <f t="shared" si="11"/>
        <v/>
      </c>
      <c r="D189" s="14" t="str">
        <f t="shared" si="12"/>
        <v/>
      </c>
      <c r="E189" s="6" t="str">
        <f>IF(C189="","",PMT(INPUTS!$B$5,INPUTS!$B$6,-INPUTS!$B$3,0,0))</f>
        <v/>
      </c>
      <c r="F189" s="6" t="str">
        <f>IF(C189="","",IPMT(INPUTS!$B$5,C189,INPUTS!$B$6,-INPUTS!$B$3,0,0))</f>
        <v/>
      </c>
      <c r="G189" s="6" t="str">
        <f>IF(C189="","",PPMT(INPUTS!$B$5,C189,INPUTS!$B$6,-INPUTS!$B$3,0,0))</f>
        <v/>
      </c>
      <c r="H189" s="6" t="str">
        <f t="shared" si="13"/>
        <v/>
      </c>
      <c r="I189" s="6" t="str">
        <f t="shared" si="14"/>
        <v/>
      </c>
    </row>
    <row r="190" spans="1:9" hidden="1" x14ac:dyDescent="0.3">
      <c r="A190" s="16" t="str">
        <f t="shared" si="11"/>
        <v/>
      </c>
      <c r="D190" s="14" t="str">
        <f t="shared" si="12"/>
        <v/>
      </c>
      <c r="E190" s="6" t="str">
        <f>IF(C190="","",PMT(INPUTS!$B$5,INPUTS!$B$6,-INPUTS!$B$3,0,0))</f>
        <v/>
      </c>
      <c r="F190" s="6" t="str">
        <f>IF(C190="","",IPMT(INPUTS!$B$5,C190,INPUTS!$B$6,-INPUTS!$B$3,0,0))</f>
        <v/>
      </c>
      <c r="G190" s="6" t="str">
        <f>IF(C190="","",PPMT(INPUTS!$B$5,C190,INPUTS!$B$6,-INPUTS!$B$3,0,0))</f>
        <v/>
      </c>
      <c r="H190" s="6" t="str">
        <f t="shared" si="13"/>
        <v/>
      </c>
      <c r="I190" s="6" t="str">
        <f t="shared" si="14"/>
        <v/>
      </c>
    </row>
    <row r="191" spans="1:9" hidden="1" x14ac:dyDescent="0.3">
      <c r="A191" s="16" t="str">
        <f t="shared" si="11"/>
        <v/>
      </c>
      <c r="D191" s="14" t="str">
        <f t="shared" si="12"/>
        <v/>
      </c>
      <c r="E191" s="6" t="str">
        <f>IF(C191="","",PMT(INPUTS!$B$5,INPUTS!$B$6,-INPUTS!$B$3,0,0))</f>
        <v/>
      </c>
      <c r="F191" s="6" t="str">
        <f>IF(C191="","",IPMT(INPUTS!$B$5,C191,INPUTS!$B$6,-INPUTS!$B$3,0,0))</f>
        <v/>
      </c>
      <c r="G191" s="6" t="str">
        <f>IF(C191="","",PPMT(INPUTS!$B$5,C191,INPUTS!$B$6,-INPUTS!$B$3,0,0))</f>
        <v/>
      </c>
      <c r="H191" s="6" t="str">
        <f t="shared" si="13"/>
        <v/>
      </c>
      <c r="I191" s="6" t="str">
        <f t="shared" si="14"/>
        <v/>
      </c>
    </row>
    <row r="192" spans="1:9" hidden="1" x14ac:dyDescent="0.3">
      <c r="A192" s="16" t="str">
        <f t="shared" si="11"/>
        <v/>
      </c>
      <c r="D192" s="14" t="str">
        <f t="shared" si="12"/>
        <v/>
      </c>
      <c r="E192" s="6" t="str">
        <f>IF(C192="","",PMT(INPUTS!$B$5,INPUTS!$B$6,-INPUTS!$B$3,0,0))</f>
        <v/>
      </c>
      <c r="F192" s="6" t="str">
        <f>IF(C192="","",IPMT(INPUTS!$B$5,C192,INPUTS!$B$6,-INPUTS!$B$3,0,0))</f>
        <v/>
      </c>
      <c r="G192" s="6" t="str">
        <f>IF(C192="","",PPMT(INPUTS!$B$5,C192,INPUTS!$B$6,-INPUTS!$B$3,0,0))</f>
        <v/>
      </c>
      <c r="H192" s="6" t="str">
        <f t="shared" si="13"/>
        <v/>
      </c>
      <c r="I192" s="6" t="str">
        <f t="shared" si="14"/>
        <v/>
      </c>
    </row>
    <row r="193" spans="1:9" hidden="1" x14ac:dyDescent="0.3">
      <c r="A193" s="16" t="str">
        <f t="shared" si="11"/>
        <v/>
      </c>
      <c r="D193" s="14" t="str">
        <f t="shared" si="12"/>
        <v/>
      </c>
      <c r="E193" s="6" t="str">
        <f>IF(C193="","",PMT(INPUTS!$B$5,INPUTS!$B$6,-INPUTS!$B$3,0,0))</f>
        <v/>
      </c>
      <c r="F193" s="6" t="str">
        <f>IF(C193="","",IPMT(INPUTS!$B$5,C193,INPUTS!$B$6,-INPUTS!$B$3,0,0))</f>
        <v/>
      </c>
      <c r="G193" s="6" t="str">
        <f>IF(C193="","",PPMT(INPUTS!$B$5,C193,INPUTS!$B$6,-INPUTS!$B$3,0,0))</f>
        <v/>
      </c>
      <c r="H193" s="6" t="str">
        <f t="shared" si="13"/>
        <v/>
      </c>
      <c r="I193" s="6" t="str">
        <f t="shared" si="14"/>
        <v/>
      </c>
    </row>
    <row r="194" spans="1:9" hidden="1" x14ac:dyDescent="0.3">
      <c r="A194" s="16" t="str">
        <f t="shared" si="11"/>
        <v/>
      </c>
      <c r="D194" s="14" t="str">
        <f t="shared" si="12"/>
        <v/>
      </c>
      <c r="E194" s="6" t="str">
        <f>IF(C194="","",PMT(INPUTS!$B$5,INPUTS!$B$6,-INPUTS!$B$3,0,0))</f>
        <v/>
      </c>
      <c r="F194" s="6" t="str">
        <f>IF(C194="","",IPMT(INPUTS!$B$5,C194,INPUTS!$B$6,-INPUTS!$B$3,0,0))</f>
        <v/>
      </c>
      <c r="G194" s="6" t="str">
        <f>IF(C194="","",PPMT(INPUTS!$B$5,C194,INPUTS!$B$6,-INPUTS!$B$3,0,0))</f>
        <v/>
      </c>
      <c r="H194" s="6" t="str">
        <f t="shared" si="13"/>
        <v/>
      </c>
      <c r="I194" s="6" t="str">
        <f t="shared" si="14"/>
        <v/>
      </c>
    </row>
    <row r="195" spans="1:9" hidden="1" x14ac:dyDescent="0.3">
      <c r="A195" s="16" t="str">
        <f t="shared" si="11"/>
        <v/>
      </c>
      <c r="D195" s="14" t="str">
        <f t="shared" si="12"/>
        <v/>
      </c>
      <c r="E195" s="6" t="str">
        <f>IF(C195="","",PMT(INPUTS!$B$5,INPUTS!$B$6,-INPUTS!$B$3,0,0))</f>
        <v/>
      </c>
      <c r="F195" s="6" t="str">
        <f>IF(C195="","",IPMT(INPUTS!$B$5,C195,INPUTS!$B$6,-INPUTS!$B$3,0,0))</f>
        <v/>
      </c>
      <c r="G195" s="6" t="str">
        <f>IF(C195="","",PPMT(INPUTS!$B$5,C195,INPUTS!$B$6,-INPUTS!$B$3,0,0))</f>
        <v/>
      </c>
      <c r="H195" s="6" t="str">
        <f t="shared" si="13"/>
        <v/>
      </c>
      <c r="I195" s="6" t="str">
        <f t="shared" si="14"/>
        <v/>
      </c>
    </row>
    <row r="196" spans="1:9" hidden="1" x14ac:dyDescent="0.3">
      <c r="A196" s="16" t="str">
        <f t="shared" si="11"/>
        <v/>
      </c>
      <c r="D196" s="14" t="str">
        <f t="shared" si="12"/>
        <v/>
      </c>
      <c r="E196" s="6" t="str">
        <f>IF(C196="","",PMT(INPUTS!$B$5,INPUTS!$B$6,-INPUTS!$B$3,0,0))</f>
        <v/>
      </c>
      <c r="F196" s="6" t="str">
        <f>IF(C196="","",IPMT(INPUTS!$B$5,C196,INPUTS!$B$6,-INPUTS!$B$3,0,0))</f>
        <v/>
      </c>
      <c r="G196" s="6" t="str">
        <f>IF(C196="","",PPMT(INPUTS!$B$5,C196,INPUTS!$B$6,-INPUTS!$B$3,0,0))</f>
        <v/>
      </c>
      <c r="H196" s="6" t="str">
        <f t="shared" si="13"/>
        <v/>
      </c>
      <c r="I196" s="6" t="str">
        <f t="shared" si="14"/>
        <v/>
      </c>
    </row>
    <row r="197" spans="1:9" hidden="1" x14ac:dyDescent="0.3">
      <c r="A197" s="16" t="str">
        <f t="shared" si="11"/>
        <v/>
      </c>
      <c r="D197" s="14" t="str">
        <f t="shared" si="12"/>
        <v/>
      </c>
      <c r="E197" s="6" t="str">
        <f>IF(C197="","",PMT(INPUTS!$B$5,INPUTS!$B$6,-INPUTS!$B$3,0,0))</f>
        <v/>
      </c>
      <c r="F197" s="6" t="str">
        <f>IF(C197="","",IPMT(INPUTS!$B$5,C197,INPUTS!$B$6,-INPUTS!$B$3,0,0))</f>
        <v/>
      </c>
      <c r="G197" s="6" t="str">
        <f>IF(C197="","",PPMT(INPUTS!$B$5,C197,INPUTS!$B$6,-INPUTS!$B$3,0,0))</f>
        <v/>
      </c>
      <c r="H197" s="6" t="str">
        <f t="shared" si="13"/>
        <v/>
      </c>
      <c r="I197" s="6" t="str">
        <f t="shared" si="14"/>
        <v/>
      </c>
    </row>
    <row r="198" spans="1:9" hidden="1" x14ac:dyDescent="0.3">
      <c r="A198" s="16" t="str">
        <f t="shared" si="11"/>
        <v/>
      </c>
      <c r="D198" s="14" t="str">
        <f t="shared" si="12"/>
        <v/>
      </c>
      <c r="E198" s="6" t="str">
        <f>IF(C198="","",PMT(INPUTS!$B$5,INPUTS!$B$6,-INPUTS!$B$3,0,0))</f>
        <v/>
      </c>
      <c r="F198" s="6" t="str">
        <f>IF(C198="","",IPMT(INPUTS!$B$5,C198,INPUTS!$B$6,-INPUTS!$B$3,0,0))</f>
        <v/>
      </c>
      <c r="G198" s="6" t="str">
        <f>IF(C198="","",PPMT(INPUTS!$B$5,C198,INPUTS!$B$6,-INPUTS!$B$3,0,0))</f>
        <v/>
      </c>
      <c r="H198" s="6" t="str">
        <f t="shared" si="13"/>
        <v/>
      </c>
      <c r="I198" s="6" t="str">
        <f t="shared" si="14"/>
        <v/>
      </c>
    </row>
    <row r="199" spans="1:9" hidden="1" x14ac:dyDescent="0.3">
      <c r="A199" s="16" t="str">
        <f t="shared" si="11"/>
        <v/>
      </c>
      <c r="D199" s="14" t="str">
        <f t="shared" si="12"/>
        <v/>
      </c>
      <c r="E199" s="6" t="str">
        <f>IF(C199="","",PMT(INPUTS!$B$5,INPUTS!$B$6,-INPUTS!$B$3,0,0))</f>
        <v/>
      </c>
      <c r="F199" s="6" t="str">
        <f>IF(C199="","",IPMT(INPUTS!$B$5,C199,INPUTS!$B$6,-INPUTS!$B$3,0,0))</f>
        <v/>
      </c>
      <c r="G199" s="6" t="str">
        <f>IF(C199="","",PPMT(INPUTS!$B$5,C199,INPUTS!$B$6,-INPUTS!$B$3,0,0))</f>
        <v/>
      </c>
      <c r="H199" s="6" t="str">
        <f t="shared" si="13"/>
        <v/>
      </c>
      <c r="I199" s="6" t="str">
        <f t="shared" si="14"/>
        <v/>
      </c>
    </row>
    <row r="200" spans="1:9" hidden="1" x14ac:dyDescent="0.3">
      <c r="A200" s="16" t="str">
        <f t="shared" si="11"/>
        <v/>
      </c>
      <c r="D200" s="14" t="str">
        <f t="shared" si="12"/>
        <v/>
      </c>
      <c r="E200" s="6" t="str">
        <f>IF(C200="","",PMT(INPUTS!$B$5,INPUTS!$B$6,-INPUTS!$B$3,0,0))</f>
        <v/>
      </c>
      <c r="F200" s="6" t="str">
        <f>IF(C200="","",IPMT(INPUTS!$B$5,C200,INPUTS!$B$6,-INPUTS!$B$3,0,0))</f>
        <v/>
      </c>
      <c r="G200" s="6" t="str">
        <f>IF(C200="","",PPMT(INPUTS!$B$5,C200,INPUTS!$B$6,-INPUTS!$B$3,0,0))</f>
        <v/>
      </c>
      <c r="H200" s="6" t="str">
        <f t="shared" si="13"/>
        <v/>
      </c>
      <c r="I200" s="6" t="str">
        <f t="shared" si="14"/>
        <v/>
      </c>
    </row>
    <row r="201" spans="1:9" hidden="1" x14ac:dyDescent="0.3">
      <c r="A201" s="16" t="str">
        <f t="shared" si="11"/>
        <v/>
      </c>
      <c r="D201" s="14" t="str">
        <f t="shared" si="12"/>
        <v/>
      </c>
      <c r="E201" s="6" t="str">
        <f>IF(C201="","",PMT(INPUTS!$B$5,INPUTS!$B$6,-INPUTS!$B$3,0,0))</f>
        <v/>
      </c>
      <c r="F201" s="6" t="str">
        <f>IF(C201="","",IPMT(INPUTS!$B$5,C201,INPUTS!$B$6,-INPUTS!$B$3,0,0))</f>
        <v/>
      </c>
      <c r="G201" s="6" t="str">
        <f>IF(C201="","",PPMT(INPUTS!$B$5,C201,INPUTS!$B$6,-INPUTS!$B$3,0,0))</f>
        <v/>
      </c>
      <c r="H201" s="6" t="str">
        <f t="shared" si="13"/>
        <v/>
      </c>
      <c r="I201" s="6" t="str">
        <f t="shared" si="14"/>
        <v/>
      </c>
    </row>
    <row r="202" spans="1:9" hidden="1" x14ac:dyDescent="0.3">
      <c r="A202" s="16" t="str">
        <f t="shared" si="11"/>
        <v/>
      </c>
      <c r="D202" s="14" t="str">
        <f t="shared" si="12"/>
        <v/>
      </c>
      <c r="E202" s="6" t="str">
        <f>IF(C202="","",PMT(INPUTS!$B$5,INPUTS!$B$6,-INPUTS!$B$3,0,0))</f>
        <v/>
      </c>
      <c r="F202" s="6" t="str">
        <f>IF(C202="","",IPMT(INPUTS!$B$5,C202,INPUTS!$B$6,-INPUTS!$B$3,0,0))</f>
        <v/>
      </c>
      <c r="G202" s="6" t="str">
        <f>IF(C202="","",PPMT(INPUTS!$B$5,C202,INPUTS!$B$6,-INPUTS!$B$3,0,0))</f>
        <v/>
      </c>
      <c r="H202" s="6" t="str">
        <f t="shared" si="13"/>
        <v/>
      </c>
      <c r="I202" s="6" t="str">
        <f t="shared" si="14"/>
        <v/>
      </c>
    </row>
    <row r="203" spans="1:9" hidden="1" x14ac:dyDescent="0.3">
      <c r="A203" s="16" t="str">
        <f t="shared" si="11"/>
        <v/>
      </c>
      <c r="D203" s="14" t="str">
        <f t="shared" si="12"/>
        <v/>
      </c>
      <c r="E203" s="6" t="str">
        <f>IF(C203="","",PMT(INPUTS!$B$5,INPUTS!$B$6,-INPUTS!$B$3,0,0))</f>
        <v/>
      </c>
      <c r="F203" s="6" t="str">
        <f>IF(C203="","",IPMT(INPUTS!$B$5,C203,INPUTS!$B$6,-INPUTS!$B$3,0,0))</f>
        <v/>
      </c>
      <c r="G203" s="6" t="str">
        <f>IF(C203="","",PPMT(INPUTS!$B$5,C203,INPUTS!$B$6,-INPUTS!$B$3,0,0))</f>
        <v/>
      </c>
      <c r="H203" s="6" t="str">
        <f t="shared" si="13"/>
        <v/>
      </c>
      <c r="I203" s="6" t="str">
        <f t="shared" si="14"/>
        <v/>
      </c>
    </row>
    <row r="204" spans="1:9" hidden="1" x14ac:dyDescent="0.3">
      <c r="A204" s="16" t="str">
        <f t="shared" si="11"/>
        <v/>
      </c>
      <c r="D204" s="14" t="str">
        <f t="shared" si="12"/>
        <v/>
      </c>
      <c r="E204" s="6" t="str">
        <f>IF(C204="","",PMT(INPUTS!$B$5,INPUTS!$B$6,-INPUTS!$B$3,0,0))</f>
        <v/>
      </c>
      <c r="F204" s="6" t="str">
        <f>IF(C204="","",IPMT(INPUTS!$B$5,C204,INPUTS!$B$6,-INPUTS!$B$3,0,0))</f>
        <v/>
      </c>
      <c r="G204" s="6" t="str">
        <f>IF(C204="","",PPMT(INPUTS!$B$5,C204,INPUTS!$B$6,-INPUTS!$B$3,0,0))</f>
        <v/>
      </c>
      <c r="H204" s="6" t="str">
        <f t="shared" si="13"/>
        <v/>
      </c>
      <c r="I204" s="6" t="str">
        <f t="shared" si="14"/>
        <v/>
      </c>
    </row>
    <row r="205" spans="1:9" hidden="1" x14ac:dyDescent="0.3">
      <c r="A205" s="16" t="str">
        <f t="shared" si="11"/>
        <v/>
      </c>
      <c r="D205" s="14" t="str">
        <f t="shared" si="12"/>
        <v/>
      </c>
      <c r="E205" s="6" t="str">
        <f>IF(C205="","",PMT(INPUTS!$B$5,INPUTS!$B$6,-INPUTS!$B$3,0,0))</f>
        <v/>
      </c>
      <c r="F205" s="6" t="str">
        <f>IF(C205="","",IPMT(INPUTS!$B$5,C205,INPUTS!$B$6,-INPUTS!$B$3,0,0))</f>
        <v/>
      </c>
      <c r="G205" s="6" t="str">
        <f>IF(C205="","",PPMT(INPUTS!$B$5,C205,INPUTS!$B$6,-INPUTS!$B$3,0,0))</f>
        <v/>
      </c>
      <c r="H205" s="6" t="str">
        <f t="shared" si="13"/>
        <v/>
      </c>
      <c r="I205" s="6" t="str">
        <f t="shared" si="14"/>
        <v/>
      </c>
    </row>
    <row r="206" spans="1:9" hidden="1" x14ac:dyDescent="0.3">
      <c r="A206" s="16" t="str">
        <f t="shared" si="11"/>
        <v/>
      </c>
      <c r="D206" s="14" t="str">
        <f t="shared" si="12"/>
        <v/>
      </c>
      <c r="E206" s="6" t="str">
        <f>IF(C206="","",PMT(INPUTS!$B$5,INPUTS!$B$6,-INPUTS!$B$3,0,0))</f>
        <v/>
      </c>
      <c r="F206" s="6" t="str">
        <f>IF(C206="","",IPMT(INPUTS!$B$5,C206,INPUTS!$B$6,-INPUTS!$B$3,0,0))</f>
        <v/>
      </c>
      <c r="G206" s="6" t="str">
        <f>IF(C206="","",PPMT(INPUTS!$B$5,C206,INPUTS!$B$6,-INPUTS!$B$3,0,0))</f>
        <v/>
      </c>
      <c r="H206" s="6" t="str">
        <f t="shared" si="13"/>
        <v/>
      </c>
      <c r="I206" s="6" t="str">
        <f t="shared" si="14"/>
        <v/>
      </c>
    </row>
    <row r="207" spans="1:9" hidden="1" x14ac:dyDescent="0.3">
      <c r="A207" s="16" t="str">
        <f t="shared" si="11"/>
        <v/>
      </c>
      <c r="D207" s="14" t="str">
        <f t="shared" si="12"/>
        <v/>
      </c>
      <c r="E207" s="6" t="str">
        <f>IF(C207="","",PMT(INPUTS!$B$5,INPUTS!$B$6,-INPUTS!$B$3,0,0))</f>
        <v/>
      </c>
      <c r="F207" s="6" t="str">
        <f>IF(C207="","",IPMT(INPUTS!$B$5,C207,INPUTS!$B$6,-INPUTS!$B$3,0,0))</f>
        <v/>
      </c>
      <c r="G207" s="6" t="str">
        <f>IF(C207="","",PPMT(INPUTS!$B$5,C207,INPUTS!$B$6,-INPUTS!$B$3,0,0))</f>
        <v/>
      </c>
      <c r="H207" s="6" t="str">
        <f t="shared" si="13"/>
        <v/>
      </c>
      <c r="I207" s="6" t="str">
        <f t="shared" si="14"/>
        <v/>
      </c>
    </row>
    <row r="208" spans="1:9" hidden="1" x14ac:dyDescent="0.3">
      <c r="A208" s="16" t="str">
        <f t="shared" si="11"/>
        <v/>
      </c>
      <c r="D208" s="14" t="str">
        <f t="shared" si="12"/>
        <v/>
      </c>
      <c r="E208" s="6" t="str">
        <f>IF(C208="","",PMT(INPUTS!$B$5,INPUTS!$B$6,-INPUTS!$B$3,0,0))</f>
        <v/>
      </c>
      <c r="F208" s="6" t="str">
        <f>IF(C208="","",IPMT(INPUTS!$B$5,C208,INPUTS!$B$6,-INPUTS!$B$3,0,0))</f>
        <v/>
      </c>
      <c r="G208" s="6" t="str">
        <f>IF(C208="","",PPMT(INPUTS!$B$5,C208,INPUTS!$B$6,-INPUTS!$B$3,0,0))</f>
        <v/>
      </c>
      <c r="H208" s="6" t="str">
        <f t="shared" si="13"/>
        <v/>
      </c>
      <c r="I208" s="6" t="str">
        <f t="shared" si="14"/>
        <v/>
      </c>
    </row>
    <row r="209" spans="1:9" hidden="1" x14ac:dyDescent="0.3">
      <c r="A209" s="16" t="str">
        <f t="shared" si="11"/>
        <v/>
      </c>
      <c r="D209" s="14" t="str">
        <f t="shared" si="12"/>
        <v/>
      </c>
      <c r="E209" s="6" t="str">
        <f>IF(C209="","",PMT(INPUTS!$B$5,INPUTS!$B$6,-INPUTS!$B$3,0,0))</f>
        <v/>
      </c>
      <c r="F209" s="6" t="str">
        <f>IF(C209="","",IPMT(INPUTS!$B$5,C209,INPUTS!$B$6,-INPUTS!$B$3,0,0))</f>
        <v/>
      </c>
      <c r="G209" s="6" t="str">
        <f>IF(C209="","",PPMT(INPUTS!$B$5,C209,INPUTS!$B$6,-INPUTS!$B$3,0,0))</f>
        <v/>
      </c>
      <c r="H209" s="6" t="str">
        <f t="shared" si="13"/>
        <v/>
      </c>
      <c r="I209" s="6" t="str">
        <f t="shared" si="14"/>
        <v/>
      </c>
    </row>
    <row r="210" spans="1:9" hidden="1" x14ac:dyDescent="0.3">
      <c r="A210" s="16" t="str">
        <f t="shared" ref="A210:A273" si="15">IF(D210="","",YEAR(D210))</f>
        <v/>
      </c>
      <c r="D210" s="14" t="str">
        <f t="shared" si="12"/>
        <v/>
      </c>
      <c r="E210" s="6" t="str">
        <f>IF(C210="","",PMT(INPUTS!$B$5,INPUTS!$B$6,-INPUTS!$B$3,0,0))</f>
        <v/>
      </c>
      <c r="F210" s="6" t="str">
        <f>IF(C210="","",IPMT(INPUTS!$B$5,C210,INPUTS!$B$6,-INPUTS!$B$3,0,0))</f>
        <v/>
      </c>
      <c r="G210" s="6" t="str">
        <f>IF(C210="","",PPMT(INPUTS!$B$5,C210,INPUTS!$B$6,-INPUTS!$B$3,0,0))</f>
        <v/>
      </c>
      <c r="H210" s="6" t="str">
        <f t="shared" si="13"/>
        <v/>
      </c>
      <c r="I210" s="6" t="str">
        <f t="shared" si="14"/>
        <v/>
      </c>
    </row>
    <row r="211" spans="1:9" hidden="1" x14ac:dyDescent="0.3">
      <c r="A211" s="16" t="str">
        <f t="shared" si="15"/>
        <v/>
      </c>
      <c r="D211" s="14" t="str">
        <f t="shared" si="12"/>
        <v/>
      </c>
      <c r="E211" s="6" t="str">
        <f>IF(C211="","",PMT(INPUTS!$B$5,INPUTS!$B$6,-INPUTS!$B$3,0,0))</f>
        <v/>
      </c>
      <c r="F211" s="6" t="str">
        <f>IF(C211="","",IPMT(INPUTS!$B$5,C211,INPUTS!$B$6,-INPUTS!$B$3,0,0))</f>
        <v/>
      </c>
      <c r="G211" s="6" t="str">
        <f>IF(C211="","",PPMT(INPUTS!$B$5,C211,INPUTS!$B$6,-INPUTS!$B$3,0,0))</f>
        <v/>
      </c>
      <c r="H211" s="6" t="str">
        <f t="shared" si="13"/>
        <v/>
      </c>
      <c r="I211" s="6" t="str">
        <f t="shared" si="14"/>
        <v/>
      </c>
    </row>
    <row r="212" spans="1:9" hidden="1" x14ac:dyDescent="0.3">
      <c r="A212" s="16" t="str">
        <f t="shared" si="15"/>
        <v/>
      </c>
      <c r="D212" s="14" t="str">
        <f t="shared" ref="D212:D275" si="16">IF(C211="","",DATE(YEAR($D211),MONTH($D211)+1,DAY($D211)))</f>
        <v/>
      </c>
      <c r="E212" s="6" t="str">
        <f>IF(C212="","",PMT(INPUTS!$B$5,INPUTS!$B$6,-INPUTS!$B$3,0,0))</f>
        <v/>
      </c>
      <c r="F212" s="6" t="str">
        <f>IF(C212="","",IPMT(INPUTS!$B$5,C212,INPUTS!$B$6,-INPUTS!$B$3,0,0))</f>
        <v/>
      </c>
      <c r="G212" s="6" t="str">
        <f>IF(C212="","",PPMT(INPUTS!$B$5,C212,INPUTS!$B$6,-INPUTS!$B$3,0,0))</f>
        <v/>
      </c>
      <c r="H212" s="6" t="str">
        <f t="shared" ref="H212:H275" si="17">I211</f>
        <v/>
      </c>
      <c r="I212" s="6" t="str">
        <f t="shared" si="14"/>
        <v/>
      </c>
    </row>
    <row r="213" spans="1:9" hidden="1" x14ac:dyDescent="0.3">
      <c r="A213" s="16" t="str">
        <f t="shared" si="15"/>
        <v/>
      </c>
      <c r="D213" s="14" t="str">
        <f t="shared" si="16"/>
        <v/>
      </c>
      <c r="E213" s="6" t="str">
        <f>IF(C213="","",PMT(INPUTS!$B$5,INPUTS!$B$6,-INPUTS!$B$3,0,0))</f>
        <v/>
      </c>
      <c r="F213" s="6" t="str">
        <f>IF(C213="","",IPMT(INPUTS!$B$5,C213,INPUTS!$B$6,-INPUTS!$B$3,0,0))</f>
        <v/>
      </c>
      <c r="G213" s="6" t="str">
        <f>IF(C213="","",PPMT(INPUTS!$B$5,C213,INPUTS!$B$6,-INPUTS!$B$3,0,0))</f>
        <v/>
      </c>
      <c r="H213" s="6" t="str">
        <f t="shared" si="17"/>
        <v/>
      </c>
      <c r="I213" s="6" t="str">
        <f t="shared" si="14"/>
        <v/>
      </c>
    </row>
    <row r="214" spans="1:9" hidden="1" x14ac:dyDescent="0.3">
      <c r="A214" s="16" t="str">
        <f t="shared" si="15"/>
        <v/>
      </c>
      <c r="D214" s="14" t="str">
        <f t="shared" si="16"/>
        <v/>
      </c>
      <c r="E214" s="6" t="str">
        <f>IF(C214="","",PMT(INPUTS!$B$5,INPUTS!$B$6,-INPUTS!$B$3,0,0))</f>
        <v/>
      </c>
      <c r="F214" s="6" t="str">
        <f>IF(C214="","",IPMT(INPUTS!$B$5,C214,INPUTS!$B$6,-INPUTS!$B$3,0,0))</f>
        <v/>
      </c>
      <c r="G214" s="6" t="str">
        <f>IF(C214="","",PPMT(INPUTS!$B$5,C214,INPUTS!$B$6,-INPUTS!$B$3,0,0))</f>
        <v/>
      </c>
      <c r="H214" s="6" t="str">
        <f t="shared" si="17"/>
        <v/>
      </c>
      <c r="I214" s="6" t="str">
        <f t="shared" si="14"/>
        <v/>
      </c>
    </row>
    <row r="215" spans="1:9" hidden="1" x14ac:dyDescent="0.3">
      <c r="A215" s="16" t="str">
        <f t="shared" si="15"/>
        <v/>
      </c>
      <c r="D215" s="14" t="str">
        <f t="shared" si="16"/>
        <v/>
      </c>
      <c r="E215" s="6" t="str">
        <f>IF(C215="","",PMT(INPUTS!$B$5,INPUTS!$B$6,-INPUTS!$B$3,0,0))</f>
        <v/>
      </c>
      <c r="F215" s="6" t="str">
        <f>IF(C215="","",IPMT(INPUTS!$B$5,C215,INPUTS!$B$6,-INPUTS!$B$3,0,0))</f>
        <v/>
      </c>
      <c r="G215" s="6" t="str">
        <f>IF(C215="","",PPMT(INPUTS!$B$5,C215,INPUTS!$B$6,-INPUTS!$B$3,0,0))</f>
        <v/>
      </c>
      <c r="H215" s="6" t="str">
        <f t="shared" si="17"/>
        <v/>
      </c>
      <c r="I215" s="6" t="str">
        <f t="shared" si="14"/>
        <v/>
      </c>
    </row>
    <row r="216" spans="1:9" hidden="1" x14ac:dyDescent="0.3">
      <c r="A216" s="16" t="str">
        <f t="shared" si="15"/>
        <v/>
      </c>
      <c r="D216" s="14" t="str">
        <f t="shared" si="16"/>
        <v/>
      </c>
      <c r="E216" s="6" t="str">
        <f>IF(C216="","",PMT(INPUTS!$B$5,INPUTS!$B$6,-INPUTS!$B$3,0,0))</f>
        <v/>
      </c>
      <c r="F216" s="6" t="str">
        <f>IF(C216="","",IPMT(INPUTS!$B$5,C216,INPUTS!$B$6,-INPUTS!$B$3,0,0))</f>
        <v/>
      </c>
      <c r="G216" s="6" t="str">
        <f>IF(C216="","",PPMT(INPUTS!$B$5,C216,INPUTS!$B$6,-INPUTS!$B$3,0,0))</f>
        <v/>
      </c>
      <c r="H216" s="6" t="str">
        <f t="shared" si="17"/>
        <v/>
      </c>
      <c r="I216" s="6" t="str">
        <f t="shared" si="14"/>
        <v/>
      </c>
    </row>
    <row r="217" spans="1:9" hidden="1" x14ac:dyDescent="0.3">
      <c r="A217" s="16" t="str">
        <f t="shared" si="15"/>
        <v/>
      </c>
      <c r="D217" s="14" t="str">
        <f t="shared" si="16"/>
        <v/>
      </c>
      <c r="E217" s="6" t="str">
        <f>IF(C217="","",PMT(INPUTS!$B$5,INPUTS!$B$6,-INPUTS!$B$3,0,0))</f>
        <v/>
      </c>
      <c r="F217" s="6" t="str">
        <f>IF(C217="","",IPMT(INPUTS!$B$5,C217,INPUTS!$B$6,-INPUTS!$B$3,0,0))</f>
        <v/>
      </c>
      <c r="G217" s="6" t="str">
        <f>IF(C217="","",PPMT(INPUTS!$B$5,C217,INPUTS!$B$6,-INPUTS!$B$3,0,0))</f>
        <v/>
      </c>
      <c r="H217" s="6" t="str">
        <f t="shared" si="17"/>
        <v/>
      </c>
      <c r="I217" s="6" t="str">
        <f t="shared" si="14"/>
        <v/>
      </c>
    </row>
    <row r="218" spans="1:9" hidden="1" x14ac:dyDescent="0.3">
      <c r="A218" s="16" t="str">
        <f t="shared" si="15"/>
        <v/>
      </c>
      <c r="D218" s="14" t="str">
        <f t="shared" si="16"/>
        <v/>
      </c>
      <c r="E218" s="6" t="str">
        <f>IF(C218="","",PMT(INPUTS!$B$5,INPUTS!$B$6,-INPUTS!$B$3,0,0))</f>
        <v/>
      </c>
      <c r="F218" s="6" t="str">
        <f>IF(C218="","",IPMT(INPUTS!$B$5,C218,INPUTS!$B$6,-INPUTS!$B$3,0,0))</f>
        <v/>
      </c>
      <c r="G218" s="6" t="str">
        <f>IF(C218="","",PPMT(INPUTS!$B$5,C218,INPUTS!$B$6,-INPUTS!$B$3,0,0))</f>
        <v/>
      </c>
      <c r="H218" s="6" t="str">
        <f t="shared" si="17"/>
        <v/>
      </c>
      <c r="I218" s="6" t="str">
        <f t="shared" si="14"/>
        <v/>
      </c>
    </row>
    <row r="219" spans="1:9" hidden="1" x14ac:dyDescent="0.3">
      <c r="A219" s="16" t="str">
        <f t="shared" si="15"/>
        <v/>
      </c>
      <c r="D219" s="14" t="str">
        <f t="shared" si="16"/>
        <v/>
      </c>
      <c r="E219" s="6" t="str">
        <f>IF(C219="","",PMT(INPUTS!$B$5,INPUTS!$B$6,-INPUTS!$B$3,0,0))</f>
        <v/>
      </c>
      <c r="F219" s="6" t="str">
        <f>IF(C219="","",IPMT(INPUTS!$B$5,C219,INPUTS!$B$6,-INPUTS!$B$3,0,0))</f>
        <v/>
      </c>
      <c r="G219" s="6" t="str">
        <f>IF(C219="","",PPMT(INPUTS!$B$5,C219,INPUTS!$B$6,-INPUTS!$B$3,0,0))</f>
        <v/>
      </c>
      <c r="H219" s="6" t="str">
        <f t="shared" si="17"/>
        <v/>
      </c>
      <c r="I219" s="6" t="str">
        <f t="shared" si="14"/>
        <v/>
      </c>
    </row>
    <row r="220" spans="1:9" hidden="1" x14ac:dyDescent="0.3">
      <c r="A220" s="16" t="str">
        <f t="shared" si="15"/>
        <v/>
      </c>
      <c r="D220" s="14" t="str">
        <f t="shared" si="16"/>
        <v/>
      </c>
      <c r="E220" s="6" t="str">
        <f>IF(C220="","",PMT(INPUTS!$B$5,INPUTS!$B$6,-INPUTS!$B$3,0,0))</f>
        <v/>
      </c>
      <c r="F220" s="6" t="str">
        <f>IF(C220="","",IPMT(INPUTS!$B$5,C220,INPUTS!$B$6,-INPUTS!$B$3,0,0))</f>
        <v/>
      </c>
      <c r="G220" s="6" t="str">
        <f>IF(C220="","",PPMT(INPUTS!$B$5,C220,INPUTS!$B$6,-INPUTS!$B$3,0,0))</f>
        <v/>
      </c>
      <c r="H220" s="6" t="str">
        <f t="shared" si="17"/>
        <v/>
      </c>
      <c r="I220" s="6" t="str">
        <f t="shared" si="14"/>
        <v/>
      </c>
    </row>
    <row r="221" spans="1:9" hidden="1" x14ac:dyDescent="0.3">
      <c r="A221" s="16" t="str">
        <f t="shared" si="15"/>
        <v/>
      </c>
      <c r="D221" s="14" t="str">
        <f t="shared" si="16"/>
        <v/>
      </c>
      <c r="E221" s="6" t="str">
        <f>IF(C221="","",PMT(INPUTS!$B$5,INPUTS!$B$6,-INPUTS!$B$3,0,0))</f>
        <v/>
      </c>
      <c r="F221" s="6" t="str">
        <f>IF(C221="","",IPMT(INPUTS!$B$5,C221,INPUTS!$B$6,-INPUTS!$B$3,0,0))</f>
        <v/>
      </c>
      <c r="G221" s="6" t="str">
        <f>IF(C221="","",PPMT(INPUTS!$B$5,C221,INPUTS!$B$6,-INPUTS!$B$3,0,0))</f>
        <v/>
      </c>
      <c r="H221" s="6" t="str">
        <f t="shared" si="17"/>
        <v/>
      </c>
      <c r="I221" s="6" t="str">
        <f t="shared" si="14"/>
        <v/>
      </c>
    </row>
    <row r="222" spans="1:9" hidden="1" x14ac:dyDescent="0.3">
      <c r="A222" s="16" t="str">
        <f t="shared" si="15"/>
        <v/>
      </c>
      <c r="D222" s="14" t="str">
        <f t="shared" si="16"/>
        <v/>
      </c>
      <c r="E222" s="6" t="str">
        <f>IF(C222="","",PMT(INPUTS!$B$5,INPUTS!$B$6,-INPUTS!$B$3,0,0))</f>
        <v/>
      </c>
      <c r="F222" s="6" t="str">
        <f>IF(C222="","",IPMT(INPUTS!$B$5,C222,INPUTS!$B$6,-INPUTS!$B$3,0,0))</f>
        <v/>
      </c>
      <c r="G222" s="6" t="str">
        <f>IF(C222="","",PPMT(INPUTS!$B$5,C222,INPUTS!$B$6,-INPUTS!$B$3,0,0))</f>
        <v/>
      </c>
      <c r="H222" s="6" t="str">
        <f t="shared" si="17"/>
        <v/>
      </c>
      <c r="I222" s="6" t="str">
        <f t="shared" si="14"/>
        <v/>
      </c>
    </row>
    <row r="223" spans="1:9" hidden="1" x14ac:dyDescent="0.3">
      <c r="A223" s="16" t="str">
        <f t="shared" si="15"/>
        <v/>
      </c>
      <c r="D223" s="14" t="str">
        <f t="shared" si="16"/>
        <v/>
      </c>
      <c r="E223" s="6" t="str">
        <f>IF(C223="","",PMT(INPUTS!$B$5,INPUTS!$B$6,-INPUTS!$B$3,0,0))</f>
        <v/>
      </c>
      <c r="F223" s="6" t="str">
        <f>IF(C223="","",IPMT(INPUTS!$B$5,C223,INPUTS!$B$6,-INPUTS!$B$3,0,0))</f>
        <v/>
      </c>
      <c r="G223" s="6" t="str">
        <f>IF(C223="","",PPMT(INPUTS!$B$5,C223,INPUTS!$B$6,-INPUTS!$B$3,0,0))</f>
        <v/>
      </c>
      <c r="H223" s="6" t="str">
        <f t="shared" si="17"/>
        <v/>
      </c>
      <c r="I223" s="6" t="str">
        <f t="shared" si="14"/>
        <v/>
      </c>
    </row>
    <row r="224" spans="1:9" hidden="1" x14ac:dyDescent="0.3">
      <c r="A224" s="16" t="str">
        <f t="shared" si="15"/>
        <v/>
      </c>
      <c r="D224" s="14" t="str">
        <f t="shared" si="16"/>
        <v/>
      </c>
      <c r="E224" s="6" t="str">
        <f>IF(C224="","",PMT(INPUTS!$B$5,INPUTS!$B$6,-INPUTS!$B$3,0,0))</f>
        <v/>
      </c>
      <c r="F224" s="6" t="str">
        <f>IF(C224="","",IPMT(INPUTS!$B$5,C224,INPUTS!$B$6,-INPUTS!$B$3,0,0))</f>
        <v/>
      </c>
      <c r="G224" s="6" t="str">
        <f>IF(C224="","",PPMT(INPUTS!$B$5,C224,INPUTS!$B$6,-INPUTS!$B$3,0,0))</f>
        <v/>
      </c>
      <c r="H224" s="6" t="str">
        <f t="shared" si="17"/>
        <v/>
      </c>
      <c r="I224" s="6" t="str">
        <f t="shared" si="14"/>
        <v/>
      </c>
    </row>
    <row r="225" spans="1:9" hidden="1" x14ac:dyDescent="0.3">
      <c r="A225" s="16" t="str">
        <f t="shared" si="15"/>
        <v/>
      </c>
      <c r="D225" s="14" t="str">
        <f t="shared" si="16"/>
        <v/>
      </c>
      <c r="E225" s="6" t="str">
        <f>IF(C225="","",PMT(INPUTS!$B$5,INPUTS!$B$6,-INPUTS!$B$3,0,0))</f>
        <v/>
      </c>
      <c r="F225" s="6" t="str">
        <f>IF(C225="","",IPMT(INPUTS!$B$5,C225,INPUTS!$B$6,-INPUTS!$B$3,0,0))</f>
        <v/>
      </c>
      <c r="G225" s="6" t="str">
        <f>IF(C225="","",PPMT(INPUTS!$B$5,C225,INPUTS!$B$6,-INPUTS!$B$3,0,0))</f>
        <v/>
      </c>
      <c r="H225" s="6" t="str">
        <f t="shared" si="17"/>
        <v/>
      </c>
      <c r="I225" s="6" t="str">
        <f t="shared" si="14"/>
        <v/>
      </c>
    </row>
    <row r="226" spans="1:9" hidden="1" x14ac:dyDescent="0.3">
      <c r="A226" s="16" t="str">
        <f t="shared" si="15"/>
        <v/>
      </c>
      <c r="D226" s="14" t="str">
        <f t="shared" si="16"/>
        <v/>
      </c>
      <c r="E226" s="6" t="str">
        <f>IF(C226="","",PMT(INPUTS!$B$5,INPUTS!$B$6,-INPUTS!$B$3,0,0))</f>
        <v/>
      </c>
      <c r="F226" s="6" t="str">
        <f>IF(C226="","",IPMT(INPUTS!$B$5,C226,INPUTS!$B$6,-INPUTS!$B$3,0,0))</f>
        <v/>
      </c>
      <c r="G226" s="6" t="str">
        <f>IF(C226="","",PPMT(INPUTS!$B$5,C226,INPUTS!$B$6,-INPUTS!$B$3,0,0))</f>
        <v/>
      </c>
      <c r="H226" s="6" t="str">
        <f t="shared" si="17"/>
        <v/>
      </c>
      <c r="I226" s="6" t="str">
        <f t="shared" si="14"/>
        <v/>
      </c>
    </row>
    <row r="227" spans="1:9" hidden="1" x14ac:dyDescent="0.3">
      <c r="A227" s="16" t="str">
        <f t="shared" si="15"/>
        <v/>
      </c>
      <c r="D227" s="14" t="str">
        <f t="shared" si="16"/>
        <v/>
      </c>
      <c r="E227" s="6" t="str">
        <f>IF(C227="","",PMT(INPUTS!$B$5,INPUTS!$B$6,-INPUTS!$B$3,0,0))</f>
        <v/>
      </c>
      <c r="F227" s="6" t="str">
        <f>IF(C227="","",IPMT(INPUTS!$B$5,C227,INPUTS!$B$6,-INPUTS!$B$3,0,0))</f>
        <v/>
      </c>
      <c r="G227" s="6" t="str">
        <f>IF(C227="","",PPMT(INPUTS!$B$5,C227,INPUTS!$B$6,-INPUTS!$B$3,0,0))</f>
        <v/>
      </c>
      <c r="H227" s="6" t="str">
        <f t="shared" si="17"/>
        <v/>
      </c>
      <c r="I227" s="6" t="str">
        <f t="shared" si="14"/>
        <v/>
      </c>
    </row>
    <row r="228" spans="1:9" hidden="1" x14ac:dyDescent="0.3">
      <c r="A228" s="16" t="str">
        <f t="shared" si="15"/>
        <v/>
      </c>
      <c r="D228" s="14" t="str">
        <f t="shared" si="16"/>
        <v/>
      </c>
      <c r="E228" s="6" t="str">
        <f>IF(C228="","",PMT(INPUTS!$B$5,INPUTS!$B$6,-INPUTS!$B$3,0,0))</f>
        <v/>
      </c>
      <c r="F228" s="6" t="str">
        <f>IF(C228="","",IPMT(INPUTS!$B$5,C228,INPUTS!$B$6,-INPUTS!$B$3,0,0))</f>
        <v/>
      </c>
      <c r="G228" s="6" t="str">
        <f>IF(C228="","",PPMT(INPUTS!$B$5,C228,INPUTS!$B$6,-INPUTS!$B$3,0,0))</f>
        <v/>
      </c>
      <c r="H228" s="6" t="str">
        <f t="shared" si="17"/>
        <v/>
      </c>
      <c r="I228" s="6" t="str">
        <f t="shared" si="14"/>
        <v/>
      </c>
    </row>
    <row r="229" spans="1:9" hidden="1" x14ac:dyDescent="0.3">
      <c r="A229" s="16" t="str">
        <f t="shared" si="15"/>
        <v/>
      </c>
      <c r="D229" s="14" t="str">
        <f t="shared" si="16"/>
        <v/>
      </c>
      <c r="E229" s="6" t="str">
        <f>IF(C229="","",PMT(INPUTS!$B$5,INPUTS!$B$6,-INPUTS!$B$3,0,0))</f>
        <v/>
      </c>
      <c r="F229" s="6" t="str">
        <f>IF(C229="","",IPMT(INPUTS!$B$5,C229,INPUTS!$B$6,-INPUTS!$B$3,0,0))</f>
        <v/>
      </c>
      <c r="G229" s="6" t="str">
        <f>IF(C229="","",PPMT(INPUTS!$B$5,C229,INPUTS!$B$6,-INPUTS!$B$3,0,0))</f>
        <v/>
      </c>
      <c r="H229" s="6" t="str">
        <f t="shared" si="17"/>
        <v/>
      </c>
      <c r="I229" s="6" t="str">
        <f t="shared" si="14"/>
        <v/>
      </c>
    </row>
    <row r="230" spans="1:9" hidden="1" x14ac:dyDescent="0.3">
      <c r="A230" s="16" t="str">
        <f t="shared" si="15"/>
        <v/>
      </c>
      <c r="D230" s="14" t="str">
        <f t="shared" si="16"/>
        <v/>
      </c>
      <c r="E230" s="6" t="str">
        <f>IF(C230="","",PMT(INPUTS!$B$5,INPUTS!$B$6,-INPUTS!$B$3,0,0))</f>
        <v/>
      </c>
      <c r="F230" s="6" t="str">
        <f>IF(C230="","",IPMT(INPUTS!$B$5,C230,INPUTS!$B$6,-INPUTS!$B$3,0,0))</f>
        <v/>
      </c>
      <c r="G230" s="6" t="str">
        <f>IF(C230="","",PPMT(INPUTS!$B$5,C230,INPUTS!$B$6,-INPUTS!$B$3,0,0))</f>
        <v/>
      </c>
      <c r="H230" s="6" t="str">
        <f t="shared" si="17"/>
        <v/>
      </c>
      <c r="I230" s="6" t="str">
        <f t="shared" si="14"/>
        <v/>
      </c>
    </row>
    <row r="231" spans="1:9" hidden="1" x14ac:dyDescent="0.3">
      <c r="A231" s="16" t="str">
        <f t="shared" si="15"/>
        <v/>
      </c>
      <c r="D231" s="14" t="str">
        <f t="shared" si="16"/>
        <v/>
      </c>
      <c r="E231" s="6" t="str">
        <f>IF(C231="","",PMT(INPUTS!$B$5,INPUTS!$B$6,-INPUTS!$B$3,0,0))</f>
        <v/>
      </c>
      <c r="F231" s="6" t="str">
        <f>IF(C231="","",IPMT(INPUTS!$B$5,C231,INPUTS!$B$6,-INPUTS!$B$3,0,0))</f>
        <v/>
      </c>
      <c r="G231" s="6" t="str">
        <f>IF(C231="","",PPMT(INPUTS!$B$5,C231,INPUTS!$B$6,-INPUTS!$B$3,0,0))</f>
        <v/>
      </c>
      <c r="H231" s="6" t="str">
        <f t="shared" si="17"/>
        <v/>
      </c>
      <c r="I231" s="6" t="str">
        <f t="shared" si="14"/>
        <v/>
      </c>
    </row>
    <row r="232" spans="1:9" hidden="1" x14ac:dyDescent="0.3">
      <c r="A232" s="16" t="str">
        <f t="shared" si="15"/>
        <v/>
      </c>
      <c r="D232" s="14" t="str">
        <f t="shared" si="16"/>
        <v/>
      </c>
      <c r="E232" s="6" t="str">
        <f>IF(C232="","",PMT(INPUTS!$B$5,INPUTS!$B$6,-INPUTS!$B$3,0,0))</f>
        <v/>
      </c>
      <c r="F232" s="6" t="str">
        <f>IF(C232="","",IPMT(INPUTS!$B$5,C232,INPUTS!$B$6,-INPUTS!$B$3,0,0))</f>
        <v/>
      </c>
      <c r="G232" s="6" t="str">
        <f>IF(C232="","",PPMT(INPUTS!$B$5,C232,INPUTS!$B$6,-INPUTS!$B$3,0,0))</f>
        <v/>
      </c>
      <c r="H232" s="6" t="str">
        <f t="shared" si="17"/>
        <v/>
      </c>
      <c r="I232" s="6" t="str">
        <f t="shared" si="14"/>
        <v/>
      </c>
    </row>
    <row r="233" spans="1:9" hidden="1" x14ac:dyDescent="0.3">
      <c r="A233" s="16" t="str">
        <f t="shared" si="15"/>
        <v/>
      </c>
      <c r="D233" s="14" t="str">
        <f t="shared" si="16"/>
        <v/>
      </c>
      <c r="E233" s="6" t="str">
        <f>IF(C233="","",PMT(INPUTS!$B$5,INPUTS!$B$6,-INPUTS!$B$3,0,0))</f>
        <v/>
      </c>
      <c r="F233" s="6" t="str">
        <f>IF(C233="","",IPMT(INPUTS!$B$5,C233,INPUTS!$B$6,-INPUTS!$B$3,0,0))</f>
        <v/>
      </c>
      <c r="G233" s="6" t="str">
        <f>IF(C233="","",PPMT(INPUTS!$B$5,C233,INPUTS!$B$6,-INPUTS!$B$3,0,0))</f>
        <v/>
      </c>
      <c r="H233" s="6" t="str">
        <f t="shared" si="17"/>
        <v/>
      </c>
      <c r="I233" s="6" t="str">
        <f t="shared" si="14"/>
        <v/>
      </c>
    </row>
    <row r="234" spans="1:9" hidden="1" x14ac:dyDescent="0.3">
      <c r="A234" s="16" t="str">
        <f t="shared" si="15"/>
        <v/>
      </c>
      <c r="D234" s="14" t="str">
        <f t="shared" si="16"/>
        <v/>
      </c>
      <c r="E234" s="6" t="str">
        <f>IF(C234="","",PMT(INPUTS!$B$5,INPUTS!$B$6,-INPUTS!$B$3,0,0))</f>
        <v/>
      </c>
      <c r="F234" s="6" t="str">
        <f>IF(C234="","",IPMT(INPUTS!$B$5,C234,INPUTS!$B$6,-INPUTS!$B$3,0,0))</f>
        <v/>
      </c>
      <c r="G234" s="6" t="str">
        <f>IF(C234="","",PPMT(INPUTS!$B$5,C234,INPUTS!$B$6,-INPUTS!$B$3,0,0))</f>
        <v/>
      </c>
      <c r="H234" s="6" t="str">
        <f t="shared" si="17"/>
        <v/>
      </c>
      <c r="I234" s="6" t="str">
        <f t="shared" si="14"/>
        <v/>
      </c>
    </row>
    <row r="235" spans="1:9" hidden="1" x14ac:dyDescent="0.3">
      <c r="A235" s="16" t="str">
        <f t="shared" si="15"/>
        <v/>
      </c>
      <c r="D235" s="14" t="str">
        <f t="shared" si="16"/>
        <v/>
      </c>
      <c r="E235" s="6" t="str">
        <f>IF(C235="","",PMT(INPUTS!$B$5,INPUTS!$B$6,-INPUTS!$B$3,0,0))</f>
        <v/>
      </c>
      <c r="F235" s="6" t="str">
        <f>IF(C235="","",IPMT(INPUTS!$B$5,C235,INPUTS!$B$6,-INPUTS!$B$3,0,0))</f>
        <v/>
      </c>
      <c r="G235" s="6" t="str">
        <f>IF(C235="","",PPMT(INPUTS!$B$5,C235,INPUTS!$B$6,-INPUTS!$B$3,0,0))</f>
        <v/>
      </c>
      <c r="H235" s="6" t="str">
        <f t="shared" si="17"/>
        <v/>
      </c>
      <c r="I235" s="6" t="str">
        <f t="shared" si="14"/>
        <v/>
      </c>
    </row>
    <row r="236" spans="1:9" hidden="1" x14ac:dyDescent="0.3">
      <c r="A236" s="16" t="str">
        <f t="shared" si="15"/>
        <v/>
      </c>
      <c r="D236" s="14" t="str">
        <f t="shared" si="16"/>
        <v/>
      </c>
      <c r="E236" s="6" t="str">
        <f>IF(C236="","",PMT(INPUTS!$B$5,INPUTS!$B$6,-INPUTS!$B$3,0,0))</f>
        <v/>
      </c>
      <c r="F236" s="6" t="str">
        <f>IF(C236="","",IPMT(INPUTS!$B$5,C236,INPUTS!$B$6,-INPUTS!$B$3,0,0))</f>
        <v/>
      </c>
      <c r="G236" s="6" t="str">
        <f>IF(C236="","",PPMT(INPUTS!$B$5,C236,INPUTS!$B$6,-INPUTS!$B$3,0,0))</f>
        <v/>
      </c>
      <c r="H236" s="6" t="str">
        <f t="shared" si="17"/>
        <v/>
      </c>
      <c r="I236" s="6" t="str">
        <f t="shared" si="14"/>
        <v/>
      </c>
    </row>
    <row r="237" spans="1:9" hidden="1" x14ac:dyDescent="0.3">
      <c r="A237" s="16" t="str">
        <f t="shared" si="15"/>
        <v/>
      </c>
      <c r="D237" s="14" t="str">
        <f t="shared" si="16"/>
        <v/>
      </c>
      <c r="E237" s="6" t="str">
        <f>IF(C237="","",PMT(INPUTS!$B$5,INPUTS!$B$6,-INPUTS!$B$3,0,0))</f>
        <v/>
      </c>
      <c r="F237" s="6" t="str">
        <f>IF(C237="","",IPMT(INPUTS!$B$5,C237,INPUTS!$B$6,-INPUTS!$B$3,0,0))</f>
        <v/>
      </c>
      <c r="G237" s="6" t="str">
        <f>IF(C237="","",PPMT(INPUTS!$B$5,C237,INPUTS!$B$6,-INPUTS!$B$3,0,0))</f>
        <v/>
      </c>
      <c r="H237" s="6" t="str">
        <f t="shared" si="17"/>
        <v/>
      </c>
      <c r="I237" s="6" t="str">
        <f t="shared" si="14"/>
        <v/>
      </c>
    </row>
    <row r="238" spans="1:9" hidden="1" x14ac:dyDescent="0.3">
      <c r="A238" s="16" t="str">
        <f t="shared" si="15"/>
        <v/>
      </c>
      <c r="D238" s="14" t="str">
        <f t="shared" si="16"/>
        <v/>
      </c>
      <c r="E238" s="6" t="str">
        <f>IF(C238="","",PMT(INPUTS!$B$5,INPUTS!$B$6,-INPUTS!$B$3,0,0))</f>
        <v/>
      </c>
      <c r="F238" s="6" t="str">
        <f>IF(C238="","",IPMT(INPUTS!$B$5,C238,INPUTS!$B$6,-INPUTS!$B$3,0,0))</f>
        <v/>
      </c>
      <c r="G238" s="6" t="str">
        <f>IF(C238="","",PPMT(INPUTS!$B$5,C238,INPUTS!$B$6,-INPUTS!$B$3,0,0))</f>
        <v/>
      </c>
      <c r="H238" s="6" t="str">
        <f t="shared" si="17"/>
        <v/>
      </c>
      <c r="I238" s="6" t="str">
        <f t="shared" si="14"/>
        <v/>
      </c>
    </row>
    <row r="239" spans="1:9" hidden="1" x14ac:dyDescent="0.3">
      <c r="A239" s="16" t="str">
        <f t="shared" si="15"/>
        <v/>
      </c>
      <c r="D239" s="14" t="str">
        <f t="shared" si="16"/>
        <v/>
      </c>
      <c r="E239" s="6" t="str">
        <f>IF(C239="","",PMT(INPUTS!$B$5,INPUTS!$B$6,-INPUTS!$B$3,0,0))</f>
        <v/>
      </c>
      <c r="F239" s="6" t="str">
        <f>IF(C239="","",IPMT(INPUTS!$B$5,C239,INPUTS!$B$6,-INPUTS!$B$3,0,0))</f>
        <v/>
      </c>
      <c r="G239" s="6" t="str">
        <f>IF(C239="","",PPMT(INPUTS!$B$5,C239,INPUTS!$B$6,-INPUTS!$B$3,0,0))</f>
        <v/>
      </c>
      <c r="H239" s="6" t="str">
        <f t="shared" si="17"/>
        <v/>
      </c>
      <c r="I239" s="6" t="str">
        <f t="shared" si="14"/>
        <v/>
      </c>
    </row>
    <row r="240" spans="1:9" hidden="1" x14ac:dyDescent="0.3">
      <c r="A240" s="16" t="str">
        <f t="shared" si="15"/>
        <v/>
      </c>
      <c r="D240" s="14" t="str">
        <f t="shared" si="16"/>
        <v/>
      </c>
      <c r="E240" s="6" t="str">
        <f>IF(C240="","",PMT(INPUTS!$B$5,INPUTS!$B$6,-INPUTS!$B$3,0,0))</f>
        <v/>
      </c>
      <c r="F240" s="6" t="str">
        <f>IF(C240="","",IPMT(INPUTS!$B$5,C240,INPUTS!$B$6,-INPUTS!$B$3,0,0))</f>
        <v/>
      </c>
      <c r="G240" s="6" t="str">
        <f>IF(C240="","",PPMT(INPUTS!$B$5,C240,INPUTS!$B$6,-INPUTS!$B$3,0,0))</f>
        <v/>
      </c>
      <c r="H240" s="6" t="str">
        <f t="shared" si="17"/>
        <v/>
      </c>
      <c r="I240" s="6" t="str">
        <f t="shared" ref="I240:I303" si="18">IF(C240="","",H240-G240)</f>
        <v/>
      </c>
    </row>
    <row r="241" spans="1:9" hidden="1" x14ac:dyDescent="0.3">
      <c r="A241" s="16" t="str">
        <f t="shared" si="15"/>
        <v/>
      </c>
      <c r="D241" s="14" t="str">
        <f t="shared" si="16"/>
        <v/>
      </c>
      <c r="E241" s="6" t="str">
        <f>IF(C241="","",PMT(INPUTS!$B$5,INPUTS!$B$6,-INPUTS!$B$3,0,0))</f>
        <v/>
      </c>
      <c r="F241" s="6" t="str">
        <f>IF(C241="","",IPMT(INPUTS!$B$5,C241,INPUTS!$B$6,-INPUTS!$B$3,0,0))</f>
        <v/>
      </c>
      <c r="G241" s="6" t="str">
        <f>IF(C241="","",PPMT(INPUTS!$B$5,C241,INPUTS!$B$6,-INPUTS!$B$3,0,0))</f>
        <v/>
      </c>
      <c r="H241" s="6" t="str">
        <f t="shared" si="17"/>
        <v/>
      </c>
      <c r="I241" s="6" t="str">
        <f t="shared" si="18"/>
        <v/>
      </c>
    </row>
    <row r="242" spans="1:9" hidden="1" x14ac:dyDescent="0.3">
      <c r="A242" s="16" t="str">
        <f t="shared" si="15"/>
        <v/>
      </c>
      <c r="D242" s="14" t="str">
        <f t="shared" si="16"/>
        <v/>
      </c>
      <c r="E242" s="6" t="str">
        <f>IF(C242="","",PMT(INPUTS!$B$5,INPUTS!$B$6,-INPUTS!$B$3,0,0))</f>
        <v/>
      </c>
      <c r="F242" s="6" t="str">
        <f>IF(C242="","",IPMT(INPUTS!$B$5,C242,INPUTS!$B$6,-INPUTS!$B$3,0,0))</f>
        <v/>
      </c>
      <c r="G242" s="6" t="str">
        <f>IF(C242="","",PPMT(INPUTS!$B$5,C242,INPUTS!$B$6,-INPUTS!$B$3,0,0))</f>
        <v/>
      </c>
      <c r="H242" s="6" t="str">
        <f t="shared" si="17"/>
        <v/>
      </c>
      <c r="I242" s="6" t="str">
        <f t="shared" si="18"/>
        <v/>
      </c>
    </row>
    <row r="243" spans="1:9" hidden="1" x14ac:dyDescent="0.3">
      <c r="A243" s="16" t="str">
        <f t="shared" si="15"/>
        <v/>
      </c>
      <c r="D243" s="14" t="str">
        <f t="shared" si="16"/>
        <v/>
      </c>
      <c r="E243" s="6" t="str">
        <f>IF(C243="","",PMT(INPUTS!$B$5,INPUTS!$B$6,-INPUTS!$B$3,0,0))</f>
        <v/>
      </c>
      <c r="F243" s="6" t="str">
        <f>IF(C243="","",IPMT(INPUTS!$B$5,C243,INPUTS!$B$6,-INPUTS!$B$3,0,0))</f>
        <v/>
      </c>
      <c r="G243" s="6" t="str">
        <f>IF(C243="","",PPMT(INPUTS!$B$5,C243,INPUTS!$B$6,-INPUTS!$B$3,0,0))</f>
        <v/>
      </c>
      <c r="H243" s="6" t="str">
        <f t="shared" si="17"/>
        <v/>
      </c>
      <c r="I243" s="6" t="str">
        <f t="shared" si="18"/>
        <v/>
      </c>
    </row>
    <row r="244" spans="1:9" hidden="1" x14ac:dyDescent="0.3">
      <c r="A244" s="16" t="str">
        <f t="shared" si="15"/>
        <v/>
      </c>
      <c r="D244" s="14" t="str">
        <f t="shared" si="16"/>
        <v/>
      </c>
      <c r="E244" s="6" t="str">
        <f>IF(C244="","",PMT(INPUTS!$B$5,INPUTS!$B$6,-INPUTS!$B$3,0,0))</f>
        <v/>
      </c>
      <c r="F244" s="6" t="str">
        <f>IF(C244="","",IPMT(INPUTS!$B$5,C244,INPUTS!$B$6,-INPUTS!$B$3,0,0))</f>
        <v/>
      </c>
      <c r="G244" s="6" t="str">
        <f>IF(C244="","",PPMT(INPUTS!$B$5,C244,INPUTS!$B$6,-INPUTS!$B$3,0,0))</f>
        <v/>
      </c>
      <c r="H244" s="6" t="str">
        <f t="shared" si="17"/>
        <v/>
      </c>
      <c r="I244" s="6" t="str">
        <f t="shared" si="18"/>
        <v/>
      </c>
    </row>
    <row r="245" spans="1:9" hidden="1" x14ac:dyDescent="0.3">
      <c r="A245" s="16" t="str">
        <f t="shared" si="15"/>
        <v/>
      </c>
      <c r="D245" s="14" t="str">
        <f t="shared" si="16"/>
        <v/>
      </c>
      <c r="E245" s="6" t="str">
        <f>IF(C245="","",PMT(INPUTS!$B$5,INPUTS!$B$6,-INPUTS!$B$3,0,0))</f>
        <v/>
      </c>
      <c r="F245" s="6" t="str">
        <f>IF(C245="","",IPMT(INPUTS!$B$5,C245,INPUTS!$B$6,-INPUTS!$B$3,0,0))</f>
        <v/>
      </c>
      <c r="G245" s="6" t="str">
        <f>IF(C245="","",PPMT(INPUTS!$B$5,C245,INPUTS!$B$6,-INPUTS!$B$3,0,0))</f>
        <v/>
      </c>
      <c r="H245" s="6" t="str">
        <f t="shared" si="17"/>
        <v/>
      </c>
      <c r="I245" s="6" t="str">
        <f t="shared" si="18"/>
        <v/>
      </c>
    </row>
    <row r="246" spans="1:9" hidden="1" x14ac:dyDescent="0.3">
      <c r="A246" s="16" t="str">
        <f t="shared" si="15"/>
        <v/>
      </c>
      <c r="D246" s="14" t="str">
        <f t="shared" si="16"/>
        <v/>
      </c>
      <c r="E246" s="6" t="str">
        <f>IF(C246="","",PMT(INPUTS!$B$5,INPUTS!$B$6,-INPUTS!$B$3,0,0))</f>
        <v/>
      </c>
      <c r="F246" s="6" t="str">
        <f>IF(C246="","",IPMT(INPUTS!$B$5,C246,INPUTS!$B$6,-INPUTS!$B$3,0,0))</f>
        <v/>
      </c>
      <c r="G246" s="6" t="str">
        <f>IF(C246="","",PPMT(INPUTS!$B$5,C246,INPUTS!$B$6,-INPUTS!$B$3,0,0))</f>
        <v/>
      </c>
      <c r="H246" s="6" t="str">
        <f t="shared" si="17"/>
        <v/>
      </c>
      <c r="I246" s="6" t="str">
        <f t="shared" si="18"/>
        <v/>
      </c>
    </row>
    <row r="247" spans="1:9" hidden="1" x14ac:dyDescent="0.3">
      <c r="A247" s="16" t="str">
        <f t="shared" si="15"/>
        <v/>
      </c>
      <c r="D247" s="14" t="str">
        <f t="shared" si="16"/>
        <v/>
      </c>
      <c r="E247" s="6" t="str">
        <f>IF(C247="","",PMT(INPUTS!$B$5,INPUTS!$B$6,-INPUTS!$B$3,0,0))</f>
        <v/>
      </c>
      <c r="F247" s="6" t="str">
        <f>IF(C247="","",IPMT(INPUTS!$B$5,C247,INPUTS!$B$6,-INPUTS!$B$3,0,0))</f>
        <v/>
      </c>
      <c r="G247" s="6" t="str">
        <f>IF(C247="","",PPMT(INPUTS!$B$5,C247,INPUTS!$B$6,-INPUTS!$B$3,0,0))</f>
        <v/>
      </c>
      <c r="H247" s="6" t="str">
        <f t="shared" si="17"/>
        <v/>
      </c>
      <c r="I247" s="6" t="str">
        <f t="shared" si="18"/>
        <v/>
      </c>
    </row>
    <row r="248" spans="1:9" hidden="1" x14ac:dyDescent="0.3">
      <c r="A248" s="16" t="str">
        <f t="shared" si="15"/>
        <v/>
      </c>
      <c r="D248" s="14" t="str">
        <f t="shared" si="16"/>
        <v/>
      </c>
      <c r="E248" s="6" t="str">
        <f>IF(C248="","",PMT(INPUTS!$B$5,INPUTS!$B$6,-INPUTS!$B$3,0,0))</f>
        <v/>
      </c>
      <c r="F248" s="6" t="str">
        <f>IF(C248="","",IPMT(INPUTS!$B$5,C248,INPUTS!$B$6,-INPUTS!$B$3,0,0))</f>
        <v/>
      </c>
      <c r="G248" s="6" t="str">
        <f>IF(C248="","",PPMT(INPUTS!$B$5,C248,INPUTS!$B$6,-INPUTS!$B$3,0,0))</f>
        <v/>
      </c>
      <c r="H248" s="6" t="str">
        <f t="shared" si="17"/>
        <v/>
      </c>
      <c r="I248" s="6" t="str">
        <f t="shared" si="18"/>
        <v/>
      </c>
    </row>
    <row r="249" spans="1:9" hidden="1" x14ac:dyDescent="0.3">
      <c r="A249" s="16" t="str">
        <f t="shared" si="15"/>
        <v/>
      </c>
      <c r="D249" s="14" t="str">
        <f t="shared" si="16"/>
        <v/>
      </c>
      <c r="E249" s="6" t="str">
        <f>IF(C249="","",PMT(INPUTS!$B$5,INPUTS!$B$6,-INPUTS!$B$3,0,0))</f>
        <v/>
      </c>
      <c r="F249" s="6" t="str">
        <f>IF(C249="","",IPMT(INPUTS!$B$5,C249,INPUTS!$B$6,-INPUTS!$B$3,0,0))</f>
        <v/>
      </c>
      <c r="G249" s="6" t="str">
        <f>IF(C249="","",PPMT(INPUTS!$B$5,C249,INPUTS!$B$6,-INPUTS!$B$3,0,0))</f>
        <v/>
      </c>
      <c r="H249" s="6" t="str">
        <f t="shared" si="17"/>
        <v/>
      </c>
      <c r="I249" s="6" t="str">
        <f t="shared" si="18"/>
        <v/>
      </c>
    </row>
    <row r="250" spans="1:9" hidden="1" x14ac:dyDescent="0.3">
      <c r="A250" s="16" t="str">
        <f t="shared" si="15"/>
        <v/>
      </c>
      <c r="D250" s="14" t="str">
        <f t="shared" si="16"/>
        <v/>
      </c>
      <c r="E250" s="6" t="str">
        <f>IF(C250="","",PMT(INPUTS!$B$5,INPUTS!$B$6,-INPUTS!$B$3,0,0))</f>
        <v/>
      </c>
      <c r="F250" s="6" t="str">
        <f>IF(C250="","",IPMT(INPUTS!$B$5,C250,INPUTS!$B$6,-INPUTS!$B$3,0,0))</f>
        <v/>
      </c>
      <c r="G250" s="6" t="str">
        <f>IF(C250="","",PPMT(INPUTS!$B$5,C250,INPUTS!$B$6,-INPUTS!$B$3,0,0))</f>
        <v/>
      </c>
      <c r="H250" s="6" t="str">
        <f t="shared" si="17"/>
        <v/>
      </c>
      <c r="I250" s="6" t="str">
        <f t="shared" si="18"/>
        <v/>
      </c>
    </row>
    <row r="251" spans="1:9" hidden="1" x14ac:dyDescent="0.3">
      <c r="A251" s="16" t="str">
        <f t="shared" si="15"/>
        <v/>
      </c>
      <c r="D251" s="14" t="str">
        <f t="shared" si="16"/>
        <v/>
      </c>
      <c r="E251" s="6" t="str">
        <f>IF(C251="","",PMT(INPUTS!$B$5,INPUTS!$B$6,-INPUTS!$B$3,0,0))</f>
        <v/>
      </c>
      <c r="F251" s="6" t="str">
        <f>IF(C251="","",IPMT(INPUTS!$B$5,C251,INPUTS!$B$6,-INPUTS!$B$3,0,0))</f>
        <v/>
      </c>
      <c r="G251" s="6" t="str">
        <f>IF(C251="","",PPMT(INPUTS!$B$5,C251,INPUTS!$B$6,-INPUTS!$B$3,0,0))</f>
        <v/>
      </c>
      <c r="H251" s="6" t="str">
        <f t="shared" si="17"/>
        <v/>
      </c>
      <c r="I251" s="6" t="str">
        <f t="shared" si="18"/>
        <v/>
      </c>
    </row>
    <row r="252" spans="1:9" hidden="1" x14ac:dyDescent="0.3">
      <c r="A252" s="16" t="str">
        <f t="shared" si="15"/>
        <v/>
      </c>
      <c r="D252" s="14" t="str">
        <f t="shared" si="16"/>
        <v/>
      </c>
      <c r="E252" s="6" t="str">
        <f>IF(C252="","",PMT(INPUTS!$B$5,INPUTS!$B$6,-INPUTS!$B$3,0,0))</f>
        <v/>
      </c>
      <c r="F252" s="6" t="str">
        <f>IF(C252="","",IPMT(INPUTS!$B$5,C252,INPUTS!$B$6,-INPUTS!$B$3,0,0))</f>
        <v/>
      </c>
      <c r="G252" s="6" t="str">
        <f>IF(C252="","",PPMT(INPUTS!$B$5,C252,INPUTS!$B$6,-INPUTS!$B$3,0,0))</f>
        <v/>
      </c>
      <c r="H252" s="6" t="str">
        <f t="shared" si="17"/>
        <v/>
      </c>
      <c r="I252" s="6" t="str">
        <f t="shared" si="18"/>
        <v/>
      </c>
    </row>
    <row r="253" spans="1:9" hidden="1" x14ac:dyDescent="0.3">
      <c r="A253" s="16" t="str">
        <f t="shared" si="15"/>
        <v/>
      </c>
      <c r="D253" s="14" t="str">
        <f t="shared" si="16"/>
        <v/>
      </c>
      <c r="E253" s="6" t="str">
        <f>IF(C253="","",PMT(INPUTS!$B$5,INPUTS!$B$6,-INPUTS!$B$3,0,0))</f>
        <v/>
      </c>
      <c r="F253" s="6" t="str">
        <f>IF(C253="","",IPMT(INPUTS!$B$5,C253,INPUTS!$B$6,-INPUTS!$B$3,0,0))</f>
        <v/>
      </c>
      <c r="G253" s="6" t="str">
        <f>IF(C253="","",PPMT(INPUTS!$B$5,C253,INPUTS!$B$6,-INPUTS!$B$3,0,0))</f>
        <v/>
      </c>
      <c r="H253" s="6" t="str">
        <f t="shared" si="17"/>
        <v/>
      </c>
      <c r="I253" s="6" t="str">
        <f t="shared" si="18"/>
        <v/>
      </c>
    </row>
    <row r="254" spans="1:9" hidden="1" x14ac:dyDescent="0.3">
      <c r="A254" s="16" t="str">
        <f t="shared" si="15"/>
        <v/>
      </c>
      <c r="D254" s="14" t="str">
        <f t="shared" si="16"/>
        <v/>
      </c>
      <c r="E254" s="6" t="str">
        <f>IF(C254="","",PMT(INPUTS!$B$5,INPUTS!$B$6,-INPUTS!$B$3,0,0))</f>
        <v/>
      </c>
      <c r="F254" s="6" t="str">
        <f>IF(C254="","",IPMT(INPUTS!$B$5,C254,INPUTS!$B$6,-INPUTS!$B$3,0,0))</f>
        <v/>
      </c>
      <c r="G254" s="6" t="str">
        <f>IF(C254="","",PPMT(INPUTS!$B$5,C254,INPUTS!$B$6,-INPUTS!$B$3,0,0))</f>
        <v/>
      </c>
      <c r="H254" s="6" t="str">
        <f t="shared" si="17"/>
        <v/>
      </c>
      <c r="I254" s="6" t="str">
        <f t="shared" si="18"/>
        <v/>
      </c>
    </row>
    <row r="255" spans="1:9" hidden="1" x14ac:dyDescent="0.3">
      <c r="A255" s="16" t="str">
        <f t="shared" si="15"/>
        <v/>
      </c>
      <c r="D255" s="14" t="str">
        <f t="shared" si="16"/>
        <v/>
      </c>
      <c r="E255" s="6" t="str">
        <f>IF(C255="","",PMT(INPUTS!$B$5,INPUTS!$B$6,-INPUTS!$B$3,0,0))</f>
        <v/>
      </c>
      <c r="F255" s="6" t="str">
        <f>IF(C255="","",IPMT(INPUTS!$B$5,C255,INPUTS!$B$6,-INPUTS!$B$3,0,0))</f>
        <v/>
      </c>
      <c r="G255" s="6" t="str">
        <f>IF(C255="","",PPMT(INPUTS!$B$5,C255,INPUTS!$B$6,-INPUTS!$B$3,0,0))</f>
        <v/>
      </c>
      <c r="H255" s="6" t="str">
        <f t="shared" si="17"/>
        <v/>
      </c>
      <c r="I255" s="6" t="str">
        <f t="shared" si="18"/>
        <v/>
      </c>
    </row>
    <row r="256" spans="1:9" hidden="1" x14ac:dyDescent="0.3">
      <c r="A256" s="16" t="str">
        <f t="shared" si="15"/>
        <v/>
      </c>
      <c r="D256" s="14" t="str">
        <f t="shared" si="16"/>
        <v/>
      </c>
      <c r="E256" s="6" t="str">
        <f>IF(C256="","",PMT(INPUTS!$B$5,INPUTS!$B$6,-INPUTS!$B$3,0,0))</f>
        <v/>
      </c>
      <c r="F256" s="6" t="str">
        <f>IF(C256="","",IPMT(INPUTS!$B$5,C256,INPUTS!$B$6,-INPUTS!$B$3,0,0))</f>
        <v/>
      </c>
      <c r="G256" s="6" t="str">
        <f>IF(C256="","",PPMT(INPUTS!$B$5,C256,INPUTS!$B$6,-INPUTS!$B$3,0,0))</f>
        <v/>
      </c>
      <c r="H256" s="6" t="str">
        <f t="shared" si="17"/>
        <v/>
      </c>
      <c r="I256" s="6" t="str">
        <f t="shared" si="18"/>
        <v/>
      </c>
    </row>
    <row r="257" spans="1:9" hidden="1" x14ac:dyDescent="0.3">
      <c r="A257" s="16" t="str">
        <f t="shared" si="15"/>
        <v/>
      </c>
      <c r="D257" s="14" t="str">
        <f t="shared" si="16"/>
        <v/>
      </c>
      <c r="E257" s="6" t="str">
        <f>IF(C257="","",PMT(INPUTS!$B$5,INPUTS!$B$6,-INPUTS!$B$3,0,0))</f>
        <v/>
      </c>
      <c r="F257" s="6" t="str">
        <f>IF(C257="","",IPMT(INPUTS!$B$5,C257,INPUTS!$B$6,-INPUTS!$B$3,0,0))</f>
        <v/>
      </c>
      <c r="G257" s="6" t="str">
        <f>IF(C257="","",PPMT(INPUTS!$B$5,C257,INPUTS!$B$6,-INPUTS!$B$3,0,0))</f>
        <v/>
      </c>
      <c r="H257" s="6" t="str">
        <f t="shared" si="17"/>
        <v/>
      </c>
      <c r="I257" s="6" t="str">
        <f t="shared" si="18"/>
        <v/>
      </c>
    </row>
    <row r="258" spans="1:9" hidden="1" x14ac:dyDescent="0.3">
      <c r="A258" s="16" t="str">
        <f t="shared" si="15"/>
        <v/>
      </c>
      <c r="D258" s="14" t="str">
        <f t="shared" si="16"/>
        <v/>
      </c>
      <c r="E258" s="6" t="str">
        <f>IF(C258="","",PMT(INPUTS!$B$5,INPUTS!$B$6,-INPUTS!$B$3,0,0))</f>
        <v/>
      </c>
      <c r="F258" s="6" t="str">
        <f>IF(C258="","",IPMT(INPUTS!$B$5,C258,INPUTS!$B$6,-INPUTS!$B$3,0,0))</f>
        <v/>
      </c>
      <c r="G258" s="6" t="str">
        <f>IF(C258="","",PPMT(INPUTS!$B$5,C258,INPUTS!$B$6,-INPUTS!$B$3,0,0))</f>
        <v/>
      </c>
      <c r="H258" s="6" t="str">
        <f t="shared" si="17"/>
        <v/>
      </c>
      <c r="I258" s="6" t="str">
        <f t="shared" si="18"/>
        <v/>
      </c>
    </row>
    <row r="259" spans="1:9" hidden="1" x14ac:dyDescent="0.3">
      <c r="A259" s="16" t="str">
        <f t="shared" si="15"/>
        <v/>
      </c>
      <c r="D259" s="14" t="str">
        <f t="shared" si="16"/>
        <v/>
      </c>
      <c r="E259" s="6" t="str">
        <f>IF(C259="","",PMT(INPUTS!$B$5,INPUTS!$B$6,-INPUTS!$B$3,0,0))</f>
        <v/>
      </c>
      <c r="F259" s="6" t="str">
        <f>IF(C259="","",IPMT(INPUTS!$B$5,C259,INPUTS!$B$6,-INPUTS!$B$3,0,0))</f>
        <v/>
      </c>
      <c r="G259" s="6" t="str">
        <f>IF(C259="","",PPMT(INPUTS!$B$5,C259,INPUTS!$B$6,-INPUTS!$B$3,0,0))</f>
        <v/>
      </c>
      <c r="H259" s="6" t="str">
        <f t="shared" si="17"/>
        <v/>
      </c>
      <c r="I259" s="6" t="str">
        <f t="shared" si="18"/>
        <v/>
      </c>
    </row>
    <row r="260" spans="1:9" hidden="1" x14ac:dyDescent="0.3">
      <c r="A260" s="16" t="str">
        <f t="shared" si="15"/>
        <v/>
      </c>
      <c r="D260" s="14" t="str">
        <f t="shared" si="16"/>
        <v/>
      </c>
      <c r="E260" s="6" t="str">
        <f>IF(C260="","",PMT(INPUTS!$B$5,INPUTS!$B$6,-INPUTS!$B$3,0,0))</f>
        <v/>
      </c>
      <c r="F260" s="6" t="str">
        <f>IF(C260="","",IPMT(INPUTS!$B$5,C260,INPUTS!$B$6,-INPUTS!$B$3,0,0))</f>
        <v/>
      </c>
      <c r="G260" s="6" t="str">
        <f>IF(C260="","",PPMT(INPUTS!$B$5,C260,INPUTS!$B$6,-INPUTS!$B$3,0,0))</f>
        <v/>
      </c>
      <c r="H260" s="6" t="str">
        <f t="shared" si="17"/>
        <v/>
      </c>
      <c r="I260" s="6" t="str">
        <f t="shared" si="18"/>
        <v/>
      </c>
    </row>
    <row r="261" spans="1:9" hidden="1" x14ac:dyDescent="0.3">
      <c r="A261" s="16" t="str">
        <f t="shared" si="15"/>
        <v/>
      </c>
      <c r="D261" s="14" t="str">
        <f t="shared" si="16"/>
        <v/>
      </c>
      <c r="E261" s="6" t="str">
        <f>IF(C261="","",PMT(INPUTS!$B$5,INPUTS!$B$6,-INPUTS!$B$3,0,0))</f>
        <v/>
      </c>
      <c r="F261" s="6" t="str">
        <f>IF(C261="","",IPMT(INPUTS!$B$5,C261,INPUTS!$B$6,-INPUTS!$B$3,0,0))</f>
        <v/>
      </c>
      <c r="G261" s="6" t="str">
        <f>IF(C261="","",PPMT(INPUTS!$B$5,C261,INPUTS!$B$6,-INPUTS!$B$3,0,0))</f>
        <v/>
      </c>
      <c r="H261" s="6" t="str">
        <f t="shared" si="17"/>
        <v/>
      </c>
      <c r="I261" s="6" t="str">
        <f t="shared" si="18"/>
        <v/>
      </c>
    </row>
    <row r="262" spans="1:9" hidden="1" x14ac:dyDescent="0.3">
      <c r="A262" s="16" t="str">
        <f t="shared" si="15"/>
        <v/>
      </c>
      <c r="D262" s="14" t="str">
        <f t="shared" si="16"/>
        <v/>
      </c>
      <c r="E262" s="6" t="str">
        <f>IF(C262="","",PMT(INPUTS!$B$5,INPUTS!$B$6,-INPUTS!$B$3,0,0))</f>
        <v/>
      </c>
      <c r="F262" s="6" t="str">
        <f>IF(C262="","",IPMT(INPUTS!$B$5,C262,INPUTS!$B$6,-INPUTS!$B$3,0,0))</f>
        <v/>
      </c>
      <c r="G262" s="6" t="str">
        <f>IF(C262="","",PPMT(INPUTS!$B$5,C262,INPUTS!$B$6,-INPUTS!$B$3,0,0))</f>
        <v/>
      </c>
      <c r="H262" s="6" t="str">
        <f t="shared" si="17"/>
        <v/>
      </c>
      <c r="I262" s="6" t="str">
        <f t="shared" si="18"/>
        <v/>
      </c>
    </row>
    <row r="263" spans="1:9" hidden="1" x14ac:dyDescent="0.3">
      <c r="A263" s="16" t="str">
        <f t="shared" si="15"/>
        <v/>
      </c>
      <c r="D263" s="14" t="str">
        <f t="shared" si="16"/>
        <v/>
      </c>
      <c r="E263" s="6" t="str">
        <f>IF(C263="","",PMT(INPUTS!$B$5,INPUTS!$B$6,-INPUTS!$B$3,0,0))</f>
        <v/>
      </c>
      <c r="F263" s="6" t="str">
        <f>IF(C263="","",IPMT(INPUTS!$B$5,C263,INPUTS!$B$6,-INPUTS!$B$3,0,0))</f>
        <v/>
      </c>
      <c r="G263" s="6" t="str">
        <f>IF(C263="","",PPMT(INPUTS!$B$5,C263,INPUTS!$B$6,-INPUTS!$B$3,0,0))</f>
        <v/>
      </c>
      <c r="H263" s="6" t="str">
        <f t="shared" si="17"/>
        <v/>
      </c>
      <c r="I263" s="6" t="str">
        <f t="shared" si="18"/>
        <v/>
      </c>
    </row>
    <row r="264" spans="1:9" hidden="1" x14ac:dyDescent="0.3">
      <c r="A264" s="16" t="str">
        <f t="shared" si="15"/>
        <v/>
      </c>
      <c r="D264" s="14" t="str">
        <f t="shared" si="16"/>
        <v/>
      </c>
      <c r="E264" s="6" t="str">
        <f>IF(C264="","",PMT(INPUTS!$B$5,INPUTS!$B$6,-INPUTS!$B$3,0,0))</f>
        <v/>
      </c>
      <c r="F264" s="6" t="str">
        <f>IF(C264="","",IPMT(INPUTS!$B$5,C264,INPUTS!$B$6,-INPUTS!$B$3,0,0))</f>
        <v/>
      </c>
      <c r="G264" s="6" t="str">
        <f>IF(C264="","",PPMT(INPUTS!$B$5,C264,INPUTS!$B$6,-INPUTS!$B$3,0,0))</f>
        <v/>
      </c>
      <c r="H264" s="6" t="str">
        <f t="shared" si="17"/>
        <v/>
      </c>
      <c r="I264" s="6" t="str">
        <f t="shared" si="18"/>
        <v/>
      </c>
    </row>
    <row r="265" spans="1:9" hidden="1" x14ac:dyDescent="0.3">
      <c r="A265" s="16" t="str">
        <f t="shared" si="15"/>
        <v/>
      </c>
      <c r="D265" s="14" t="str">
        <f t="shared" si="16"/>
        <v/>
      </c>
      <c r="E265" s="6" t="str">
        <f>IF(C265="","",PMT(INPUTS!$B$5,INPUTS!$B$6,-INPUTS!$B$3,0,0))</f>
        <v/>
      </c>
      <c r="F265" s="6" t="str">
        <f>IF(C265="","",IPMT(INPUTS!$B$5,C265,INPUTS!$B$6,-INPUTS!$B$3,0,0))</f>
        <v/>
      </c>
      <c r="G265" s="6" t="str">
        <f>IF(C265="","",PPMT(INPUTS!$B$5,C265,INPUTS!$B$6,-INPUTS!$B$3,0,0))</f>
        <v/>
      </c>
      <c r="H265" s="6" t="str">
        <f t="shared" si="17"/>
        <v/>
      </c>
      <c r="I265" s="6" t="str">
        <f t="shared" si="18"/>
        <v/>
      </c>
    </row>
    <row r="266" spans="1:9" hidden="1" x14ac:dyDescent="0.3">
      <c r="A266" s="16" t="str">
        <f t="shared" si="15"/>
        <v/>
      </c>
      <c r="D266" s="14" t="str">
        <f t="shared" si="16"/>
        <v/>
      </c>
      <c r="E266" s="6" t="str">
        <f>IF(C266="","",PMT(INPUTS!$B$5,INPUTS!$B$6,-INPUTS!$B$3,0,0))</f>
        <v/>
      </c>
      <c r="F266" s="6" t="str">
        <f>IF(C266="","",IPMT(INPUTS!$B$5,C266,INPUTS!$B$6,-INPUTS!$B$3,0,0))</f>
        <v/>
      </c>
      <c r="G266" s="6" t="str">
        <f>IF(C266="","",PPMT(INPUTS!$B$5,C266,INPUTS!$B$6,-INPUTS!$B$3,0,0))</f>
        <v/>
      </c>
      <c r="H266" s="6" t="str">
        <f t="shared" si="17"/>
        <v/>
      </c>
      <c r="I266" s="6" t="str">
        <f t="shared" si="18"/>
        <v/>
      </c>
    </row>
    <row r="267" spans="1:9" hidden="1" x14ac:dyDescent="0.3">
      <c r="A267" s="16" t="str">
        <f t="shared" si="15"/>
        <v/>
      </c>
      <c r="D267" s="14" t="str">
        <f t="shared" si="16"/>
        <v/>
      </c>
      <c r="E267" s="6" t="str">
        <f>IF(C267="","",PMT(INPUTS!$B$5,INPUTS!$B$6,-INPUTS!$B$3,0,0))</f>
        <v/>
      </c>
      <c r="F267" s="6" t="str">
        <f>IF(C267="","",IPMT(INPUTS!$B$5,C267,INPUTS!$B$6,-INPUTS!$B$3,0,0))</f>
        <v/>
      </c>
      <c r="G267" s="6" t="str">
        <f>IF(C267="","",PPMT(INPUTS!$B$5,C267,INPUTS!$B$6,-INPUTS!$B$3,0,0))</f>
        <v/>
      </c>
      <c r="H267" s="6" t="str">
        <f t="shared" si="17"/>
        <v/>
      </c>
      <c r="I267" s="6" t="str">
        <f t="shared" si="18"/>
        <v/>
      </c>
    </row>
    <row r="268" spans="1:9" hidden="1" x14ac:dyDescent="0.3">
      <c r="A268" s="16" t="str">
        <f t="shared" si="15"/>
        <v/>
      </c>
      <c r="D268" s="14" t="str">
        <f t="shared" si="16"/>
        <v/>
      </c>
      <c r="E268" s="6" t="str">
        <f>IF(C268="","",PMT(INPUTS!$B$5,INPUTS!$B$6,-INPUTS!$B$3,0,0))</f>
        <v/>
      </c>
      <c r="F268" s="6" t="str">
        <f>IF(C268="","",IPMT(INPUTS!$B$5,C268,INPUTS!$B$6,-INPUTS!$B$3,0,0))</f>
        <v/>
      </c>
      <c r="G268" s="6" t="str">
        <f>IF(C268="","",PPMT(INPUTS!$B$5,C268,INPUTS!$B$6,-INPUTS!$B$3,0,0))</f>
        <v/>
      </c>
      <c r="H268" s="6" t="str">
        <f t="shared" si="17"/>
        <v/>
      </c>
      <c r="I268" s="6" t="str">
        <f t="shared" si="18"/>
        <v/>
      </c>
    </row>
    <row r="269" spans="1:9" hidden="1" x14ac:dyDescent="0.3">
      <c r="A269" s="16" t="str">
        <f t="shared" si="15"/>
        <v/>
      </c>
      <c r="D269" s="14" t="str">
        <f t="shared" si="16"/>
        <v/>
      </c>
      <c r="E269" s="6" t="str">
        <f>IF(C269="","",PMT(INPUTS!$B$5,INPUTS!$B$6,-INPUTS!$B$3,0,0))</f>
        <v/>
      </c>
      <c r="F269" s="6" t="str">
        <f>IF(C269="","",IPMT(INPUTS!$B$5,C269,INPUTS!$B$6,-INPUTS!$B$3,0,0))</f>
        <v/>
      </c>
      <c r="G269" s="6" t="str">
        <f>IF(C269="","",PPMT(INPUTS!$B$5,C269,INPUTS!$B$6,-INPUTS!$B$3,0,0))</f>
        <v/>
      </c>
      <c r="H269" s="6" t="str">
        <f t="shared" si="17"/>
        <v/>
      </c>
      <c r="I269" s="6" t="str">
        <f t="shared" si="18"/>
        <v/>
      </c>
    </row>
    <row r="270" spans="1:9" hidden="1" x14ac:dyDescent="0.3">
      <c r="A270" s="16" t="str">
        <f t="shared" si="15"/>
        <v/>
      </c>
      <c r="D270" s="14" t="str">
        <f t="shared" si="16"/>
        <v/>
      </c>
      <c r="E270" s="6" t="str">
        <f>IF(C270="","",PMT(INPUTS!$B$5,INPUTS!$B$6,-INPUTS!$B$3,0,0))</f>
        <v/>
      </c>
      <c r="F270" s="6" t="str">
        <f>IF(C270="","",IPMT(INPUTS!$B$5,C270,INPUTS!$B$6,-INPUTS!$B$3,0,0))</f>
        <v/>
      </c>
      <c r="G270" s="6" t="str">
        <f>IF(C270="","",PPMT(INPUTS!$B$5,C270,INPUTS!$B$6,-INPUTS!$B$3,0,0))</f>
        <v/>
      </c>
      <c r="H270" s="6" t="str">
        <f t="shared" si="17"/>
        <v/>
      </c>
      <c r="I270" s="6" t="str">
        <f t="shared" si="18"/>
        <v/>
      </c>
    </row>
    <row r="271" spans="1:9" hidden="1" x14ac:dyDescent="0.3">
      <c r="A271" s="16" t="str">
        <f t="shared" si="15"/>
        <v/>
      </c>
      <c r="D271" s="14" t="str">
        <f t="shared" si="16"/>
        <v/>
      </c>
      <c r="E271" s="6" t="str">
        <f>IF(C271="","",PMT(INPUTS!$B$5,INPUTS!$B$6,-INPUTS!$B$3,0,0))</f>
        <v/>
      </c>
      <c r="F271" s="6" t="str">
        <f>IF(C271="","",IPMT(INPUTS!$B$5,C271,INPUTS!$B$6,-INPUTS!$B$3,0,0))</f>
        <v/>
      </c>
      <c r="G271" s="6" t="str">
        <f>IF(C271="","",PPMT(INPUTS!$B$5,C271,INPUTS!$B$6,-INPUTS!$B$3,0,0))</f>
        <v/>
      </c>
      <c r="H271" s="6" t="str">
        <f t="shared" si="17"/>
        <v/>
      </c>
      <c r="I271" s="6" t="str">
        <f t="shared" si="18"/>
        <v/>
      </c>
    </row>
    <row r="272" spans="1:9" hidden="1" x14ac:dyDescent="0.3">
      <c r="A272" s="16" t="str">
        <f t="shared" si="15"/>
        <v/>
      </c>
      <c r="D272" s="14" t="str">
        <f t="shared" si="16"/>
        <v/>
      </c>
      <c r="E272" s="6" t="str">
        <f>IF(C272="","",PMT(INPUTS!$B$5,INPUTS!$B$6,-INPUTS!$B$3,0,0))</f>
        <v/>
      </c>
      <c r="F272" s="6" t="str">
        <f>IF(C272="","",IPMT(INPUTS!$B$5,C272,INPUTS!$B$6,-INPUTS!$B$3,0,0))</f>
        <v/>
      </c>
      <c r="G272" s="6" t="str">
        <f>IF(C272="","",PPMT(INPUTS!$B$5,C272,INPUTS!$B$6,-INPUTS!$B$3,0,0))</f>
        <v/>
      </c>
      <c r="H272" s="6" t="str">
        <f t="shared" si="17"/>
        <v/>
      </c>
      <c r="I272" s="6" t="str">
        <f t="shared" si="18"/>
        <v/>
      </c>
    </row>
    <row r="273" spans="1:9" hidden="1" x14ac:dyDescent="0.3">
      <c r="A273" s="16" t="str">
        <f t="shared" si="15"/>
        <v/>
      </c>
      <c r="D273" s="14" t="str">
        <f t="shared" si="16"/>
        <v/>
      </c>
      <c r="E273" s="6" t="str">
        <f>IF(C273="","",PMT(INPUTS!$B$5,INPUTS!$B$6,-INPUTS!$B$3,0,0))</f>
        <v/>
      </c>
      <c r="F273" s="6" t="str">
        <f>IF(C273="","",IPMT(INPUTS!$B$5,C273,INPUTS!$B$6,-INPUTS!$B$3,0,0))</f>
        <v/>
      </c>
      <c r="G273" s="6" t="str">
        <f>IF(C273="","",PPMT(INPUTS!$B$5,C273,INPUTS!$B$6,-INPUTS!$B$3,0,0))</f>
        <v/>
      </c>
      <c r="H273" s="6" t="str">
        <f t="shared" si="17"/>
        <v/>
      </c>
      <c r="I273" s="6" t="str">
        <f t="shared" si="18"/>
        <v/>
      </c>
    </row>
    <row r="274" spans="1:9" hidden="1" x14ac:dyDescent="0.3">
      <c r="A274" s="16" t="str">
        <f t="shared" ref="A274:A337" si="19">IF(D274="","",YEAR(D274))</f>
        <v/>
      </c>
      <c r="D274" s="14" t="str">
        <f t="shared" si="16"/>
        <v/>
      </c>
      <c r="E274" s="6" t="str">
        <f>IF(C274="","",PMT(INPUTS!$B$5,INPUTS!$B$6,-INPUTS!$B$3,0,0))</f>
        <v/>
      </c>
      <c r="F274" s="6" t="str">
        <f>IF(C274="","",IPMT(INPUTS!$B$5,C274,INPUTS!$B$6,-INPUTS!$B$3,0,0))</f>
        <v/>
      </c>
      <c r="G274" s="6" t="str">
        <f>IF(C274="","",PPMT(INPUTS!$B$5,C274,INPUTS!$B$6,-INPUTS!$B$3,0,0))</f>
        <v/>
      </c>
      <c r="H274" s="6" t="str">
        <f t="shared" si="17"/>
        <v/>
      </c>
      <c r="I274" s="6" t="str">
        <f t="shared" si="18"/>
        <v/>
      </c>
    </row>
    <row r="275" spans="1:9" hidden="1" x14ac:dyDescent="0.3">
      <c r="A275" s="16" t="str">
        <f t="shared" si="19"/>
        <v/>
      </c>
      <c r="D275" s="14" t="str">
        <f t="shared" si="16"/>
        <v/>
      </c>
      <c r="E275" s="6" t="str">
        <f>IF(C275="","",PMT(INPUTS!$B$5,INPUTS!$B$6,-INPUTS!$B$3,0,0))</f>
        <v/>
      </c>
      <c r="F275" s="6" t="str">
        <f>IF(C275="","",IPMT(INPUTS!$B$5,C275,INPUTS!$B$6,-INPUTS!$B$3,0,0))</f>
        <v/>
      </c>
      <c r="G275" s="6" t="str">
        <f>IF(C275="","",PPMT(INPUTS!$B$5,C275,INPUTS!$B$6,-INPUTS!$B$3,0,0))</f>
        <v/>
      </c>
      <c r="H275" s="6" t="str">
        <f t="shared" si="17"/>
        <v/>
      </c>
      <c r="I275" s="6" t="str">
        <f t="shared" si="18"/>
        <v/>
      </c>
    </row>
    <row r="276" spans="1:9" hidden="1" x14ac:dyDescent="0.3">
      <c r="A276" s="16" t="str">
        <f t="shared" si="19"/>
        <v/>
      </c>
      <c r="D276" s="14" t="str">
        <f t="shared" ref="D276:D339" si="20">IF(C275="","",DATE(YEAR($D275),MONTH($D275)+1,DAY($D275)))</f>
        <v/>
      </c>
      <c r="E276" s="6" t="str">
        <f>IF(C276="","",PMT(INPUTS!$B$5,INPUTS!$B$6,-INPUTS!$B$3,0,0))</f>
        <v/>
      </c>
      <c r="F276" s="6" t="str">
        <f>IF(C276="","",IPMT(INPUTS!$B$5,C276,INPUTS!$B$6,-INPUTS!$B$3,0,0))</f>
        <v/>
      </c>
      <c r="G276" s="6" t="str">
        <f>IF(C276="","",PPMT(INPUTS!$B$5,C276,INPUTS!$B$6,-INPUTS!$B$3,0,0))</f>
        <v/>
      </c>
      <c r="H276" s="6" t="str">
        <f t="shared" ref="H276:H339" si="21">I275</f>
        <v/>
      </c>
      <c r="I276" s="6" t="str">
        <f t="shared" si="18"/>
        <v/>
      </c>
    </row>
    <row r="277" spans="1:9" hidden="1" x14ac:dyDescent="0.3">
      <c r="A277" s="16" t="str">
        <f t="shared" si="19"/>
        <v/>
      </c>
      <c r="D277" s="14" t="str">
        <f t="shared" si="20"/>
        <v/>
      </c>
      <c r="E277" s="6" t="str">
        <f>IF(C277="","",PMT(INPUTS!$B$5,INPUTS!$B$6,-INPUTS!$B$3,0,0))</f>
        <v/>
      </c>
      <c r="F277" s="6" t="str">
        <f>IF(C277="","",IPMT(INPUTS!$B$5,C277,INPUTS!$B$6,-INPUTS!$B$3,0,0))</f>
        <v/>
      </c>
      <c r="G277" s="6" t="str">
        <f>IF(C277="","",PPMT(INPUTS!$B$5,C277,INPUTS!$B$6,-INPUTS!$B$3,0,0))</f>
        <v/>
      </c>
      <c r="H277" s="6" t="str">
        <f t="shared" si="21"/>
        <v/>
      </c>
      <c r="I277" s="6" t="str">
        <f t="shared" si="18"/>
        <v/>
      </c>
    </row>
    <row r="278" spans="1:9" hidden="1" x14ac:dyDescent="0.3">
      <c r="A278" s="16" t="str">
        <f t="shared" si="19"/>
        <v/>
      </c>
      <c r="D278" s="14" t="str">
        <f t="shared" si="20"/>
        <v/>
      </c>
      <c r="E278" s="6" t="str">
        <f>IF(C278="","",PMT(INPUTS!$B$5,INPUTS!$B$6,-INPUTS!$B$3,0,0))</f>
        <v/>
      </c>
      <c r="F278" s="6" t="str">
        <f>IF(C278="","",IPMT(INPUTS!$B$5,C278,INPUTS!$B$6,-INPUTS!$B$3,0,0))</f>
        <v/>
      </c>
      <c r="G278" s="6" t="str">
        <f>IF(C278="","",PPMT(INPUTS!$B$5,C278,INPUTS!$B$6,-INPUTS!$B$3,0,0))</f>
        <v/>
      </c>
      <c r="H278" s="6" t="str">
        <f t="shared" si="21"/>
        <v/>
      </c>
      <c r="I278" s="6" t="str">
        <f t="shared" si="18"/>
        <v/>
      </c>
    </row>
    <row r="279" spans="1:9" hidden="1" x14ac:dyDescent="0.3">
      <c r="A279" s="16" t="str">
        <f t="shared" si="19"/>
        <v/>
      </c>
      <c r="D279" s="14" t="str">
        <f t="shared" si="20"/>
        <v/>
      </c>
      <c r="E279" s="6" t="str">
        <f>IF(C279="","",PMT(INPUTS!$B$5,INPUTS!$B$6,-INPUTS!$B$3,0,0))</f>
        <v/>
      </c>
      <c r="F279" s="6" t="str">
        <f>IF(C279="","",IPMT(INPUTS!$B$5,C279,INPUTS!$B$6,-INPUTS!$B$3,0,0))</f>
        <v/>
      </c>
      <c r="G279" s="6" t="str">
        <f>IF(C279="","",PPMT(INPUTS!$B$5,C279,INPUTS!$B$6,-INPUTS!$B$3,0,0))</f>
        <v/>
      </c>
      <c r="H279" s="6" t="str">
        <f t="shared" si="21"/>
        <v/>
      </c>
      <c r="I279" s="6" t="str">
        <f t="shared" si="18"/>
        <v/>
      </c>
    </row>
    <row r="280" spans="1:9" hidden="1" x14ac:dyDescent="0.3">
      <c r="A280" s="16" t="str">
        <f t="shared" si="19"/>
        <v/>
      </c>
      <c r="D280" s="14" t="str">
        <f t="shared" si="20"/>
        <v/>
      </c>
      <c r="E280" s="6" t="str">
        <f>IF(C280="","",PMT(INPUTS!$B$5,INPUTS!$B$6,-INPUTS!$B$3,0,0))</f>
        <v/>
      </c>
      <c r="F280" s="6" t="str">
        <f>IF(C280="","",IPMT(INPUTS!$B$5,C280,INPUTS!$B$6,-INPUTS!$B$3,0,0))</f>
        <v/>
      </c>
      <c r="G280" s="6" t="str">
        <f>IF(C280="","",PPMT(INPUTS!$B$5,C280,INPUTS!$B$6,-INPUTS!$B$3,0,0))</f>
        <v/>
      </c>
      <c r="H280" s="6" t="str">
        <f t="shared" si="21"/>
        <v/>
      </c>
      <c r="I280" s="6" t="str">
        <f t="shared" si="18"/>
        <v/>
      </c>
    </row>
    <row r="281" spans="1:9" hidden="1" x14ac:dyDescent="0.3">
      <c r="A281" s="16" t="str">
        <f t="shared" si="19"/>
        <v/>
      </c>
      <c r="D281" s="14" t="str">
        <f t="shared" si="20"/>
        <v/>
      </c>
      <c r="E281" s="6" t="str">
        <f>IF(C281="","",PMT(INPUTS!$B$5,INPUTS!$B$6,-INPUTS!$B$3,0,0))</f>
        <v/>
      </c>
      <c r="F281" s="6" t="str">
        <f>IF(C281="","",IPMT(INPUTS!$B$5,C281,INPUTS!$B$6,-INPUTS!$B$3,0,0))</f>
        <v/>
      </c>
      <c r="G281" s="6" t="str">
        <f>IF(C281="","",PPMT(INPUTS!$B$5,C281,INPUTS!$B$6,-INPUTS!$B$3,0,0))</f>
        <v/>
      </c>
      <c r="H281" s="6" t="str">
        <f t="shared" si="21"/>
        <v/>
      </c>
      <c r="I281" s="6" t="str">
        <f t="shared" si="18"/>
        <v/>
      </c>
    </row>
    <row r="282" spans="1:9" hidden="1" x14ac:dyDescent="0.3">
      <c r="A282" s="16" t="str">
        <f t="shared" si="19"/>
        <v/>
      </c>
      <c r="D282" s="14" t="str">
        <f t="shared" si="20"/>
        <v/>
      </c>
      <c r="E282" s="6" t="str">
        <f>IF(C282="","",PMT(INPUTS!$B$5,INPUTS!$B$6,-INPUTS!$B$3,0,0))</f>
        <v/>
      </c>
      <c r="F282" s="6" t="str">
        <f>IF(C282="","",IPMT(INPUTS!$B$5,C282,INPUTS!$B$6,-INPUTS!$B$3,0,0))</f>
        <v/>
      </c>
      <c r="G282" s="6" t="str">
        <f>IF(C282="","",PPMT(INPUTS!$B$5,C282,INPUTS!$B$6,-INPUTS!$B$3,0,0))</f>
        <v/>
      </c>
      <c r="H282" s="6" t="str">
        <f t="shared" si="21"/>
        <v/>
      </c>
      <c r="I282" s="6" t="str">
        <f t="shared" si="18"/>
        <v/>
      </c>
    </row>
    <row r="283" spans="1:9" hidden="1" x14ac:dyDescent="0.3">
      <c r="A283" s="16" t="str">
        <f t="shared" si="19"/>
        <v/>
      </c>
      <c r="D283" s="14" t="str">
        <f t="shared" si="20"/>
        <v/>
      </c>
      <c r="E283" s="6" t="str">
        <f>IF(C283="","",PMT(INPUTS!$B$5,INPUTS!$B$6,-INPUTS!$B$3,0,0))</f>
        <v/>
      </c>
      <c r="F283" s="6" t="str">
        <f>IF(C283="","",IPMT(INPUTS!$B$5,C283,INPUTS!$B$6,-INPUTS!$B$3,0,0))</f>
        <v/>
      </c>
      <c r="G283" s="6" t="str">
        <f>IF(C283="","",PPMT(INPUTS!$B$5,C283,INPUTS!$B$6,-INPUTS!$B$3,0,0))</f>
        <v/>
      </c>
      <c r="H283" s="6" t="str">
        <f t="shared" si="21"/>
        <v/>
      </c>
      <c r="I283" s="6" t="str">
        <f t="shared" si="18"/>
        <v/>
      </c>
    </row>
    <row r="284" spans="1:9" hidden="1" x14ac:dyDescent="0.3">
      <c r="A284" s="16" t="str">
        <f t="shared" si="19"/>
        <v/>
      </c>
      <c r="D284" s="14" t="str">
        <f t="shared" si="20"/>
        <v/>
      </c>
      <c r="E284" s="6" t="str">
        <f>IF(C284="","",PMT(INPUTS!$B$5,INPUTS!$B$6,-INPUTS!$B$3,0,0))</f>
        <v/>
      </c>
      <c r="F284" s="6" t="str">
        <f>IF(C284="","",IPMT(INPUTS!$B$5,C284,INPUTS!$B$6,-INPUTS!$B$3,0,0))</f>
        <v/>
      </c>
      <c r="G284" s="6" t="str">
        <f>IF(C284="","",PPMT(INPUTS!$B$5,C284,INPUTS!$B$6,-INPUTS!$B$3,0,0))</f>
        <v/>
      </c>
      <c r="H284" s="6" t="str">
        <f t="shared" si="21"/>
        <v/>
      </c>
      <c r="I284" s="6" t="str">
        <f t="shared" si="18"/>
        <v/>
      </c>
    </row>
    <row r="285" spans="1:9" hidden="1" x14ac:dyDescent="0.3">
      <c r="A285" s="16" t="str">
        <f t="shared" si="19"/>
        <v/>
      </c>
      <c r="D285" s="14" t="str">
        <f t="shared" si="20"/>
        <v/>
      </c>
      <c r="E285" s="6" t="str">
        <f>IF(C285="","",PMT(INPUTS!$B$5,INPUTS!$B$6,-INPUTS!$B$3,0,0))</f>
        <v/>
      </c>
      <c r="F285" s="6" t="str">
        <f>IF(C285="","",IPMT(INPUTS!$B$5,C285,INPUTS!$B$6,-INPUTS!$B$3,0,0))</f>
        <v/>
      </c>
      <c r="G285" s="6" t="str">
        <f>IF(C285="","",PPMT(INPUTS!$B$5,C285,INPUTS!$B$6,-INPUTS!$B$3,0,0))</f>
        <v/>
      </c>
      <c r="H285" s="6" t="str">
        <f t="shared" si="21"/>
        <v/>
      </c>
      <c r="I285" s="6" t="str">
        <f t="shared" si="18"/>
        <v/>
      </c>
    </row>
    <row r="286" spans="1:9" hidden="1" x14ac:dyDescent="0.3">
      <c r="A286" s="16" t="str">
        <f t="shared" si="19"/>
        <v/>
      </c>
      <c r="D286" s="14" t="str">
        <f t="shared" si="20"/>
        <v/>
      </c>
      <c r="E286" s="6" t="str">
        <f>IF(C286="","",PMT(INPUTS!$B$5,INPUTS!$B$6,-INPUTS!$B$3,0,0))</f>
        <v/>
      </c>
      <c r="F286" s="6" t="str">
        <f>IF(C286="","",IPMT(INPUTS!$B$5,C286,INPUTS!$B$6,-INPUTS!$B$3,0,0))</f>
        <v/>
      </c>
      <c r="G286" s="6" t="str">
        <f>IF(C286="","",PPMT(INPUTS!$B$5,C286,INPUTS!$B$6,-INPUTS!$B$3,0,0))</f>
        <v/>
      </c>
      <c r="H286" s="6" t="str">
        <f t="shared" si="21"/>
        <v/>
      </c>
      <c r="I286" s="6" t="str">
        <f t="shared" si="18"/>
        <v/>
      </c>
    </row>
    <row r="287" spans="1:9" hidden="1" x14ac:dyDescent="0.3">
      <c r="A287" s="16" t="str">
        <f t="shared" si="19"/>
        <v/>
      </c>
      <c r="D287" s="14" t="str">
        <f t="shared" si="20"/>
        <v/>
      </c>
      <c r="E287" s="6" t="str">
        <f>IF(C287="","",PMT(INPUTS!$B$5,INPUTS!$B$6,-INPUTS!$B$3,0,0))</f>
        <v/>
      </c>
      <c r="F287" s="6" t="str">
        <f>IF(C287="","",IPMT(INPUTS!$B$5,C287,INPUTS!$B$6,-INPUTS!$B$3,0,0))</f>
        <v/>
      </c>
      <c r="G287" s="6" t="str">
        <f>IF(C287="","",PPMT(INPUTS!$B$5,C287,INPUTS!$B$6,-INPUTS!$B$3,0,0))</f>
        <v/>
      </c>
      <c r="H287" s="6" t="str">
        <f t="shared" si="21"/>
        <v/>
      </c>
      <c r="I287" s="6" t="str">
        <f t="shared" si="18"/>
        <v/>
      </c>
    </row>
    <row r="288" spans="1:9" hidden="1" x14ac:dyDescent="0.3">
      <c r="A288" s="16" t="str">
        <f t="shared" si="19"/>
        <v/>
      </c>
      <c r="D288" s="14" t="str">
        <f t="shared" si="20"/>
        <v/>
      </c>
      <c r="E288" s="6" t="str">
        <f>IF(C288="","",PMT(INPUTS!$B$5,INPUTS!$B$6,-INPUTS!$B$3,0,0))</f>
        <v/>
      </c>
      <c r="F288" s="6" t="str">
        <f>IF(C288="","",IPMT(INPUTS!$B$5,C288,INPUTS!$B$6,-INPUTS!$B$3,0,0))</f>
        <v/>
      </c>
      <c r="G288" s="6" t="str">
        <f>IF(C288="","",PPMT(INPUTS!$B$5,C288,INPUTS!$B$6,-INPUTS!$B$3,0,0))</f>
        <v/>
      </c>
      <c r="H288" s="6" t="str">
        <f t="shared" si="21"/>
        <v/>
      </c>
      <c r="I288" s="6" t="str">
        <f t="shared" si="18"/>
        <v/>
      </c>
    </row>
    <row r="289" spans="1:9" hidden="1" x14ac:dyDescent="0.3">
      <c r="A289" s="16" t="str">
        <f t="shared" si="19"/>
        <v/>
      </c>
      <c r="D289" s="14" t="str">
        <f t="shared" si="20"/>
        <v/>
      </c>
      <c r="E289" s="6" t="str">
        <f>IF(C289="","",PMT(INPUTS!$B$5,INPUTS!$B$6,-INPUTS!$B$3,0,0))</f>
        <v/>
      </c>
      <c r="F289" s="6" t="str">
        <f>IF(C289="","",IPMT(INPUTS!$B$5,C289,INPUTS!$B$6,-INPUTS!$B$3,0,0))</f>
        <v/>
      </c>
      <c r="G289" s="6" t="str">
        <f>IF(C289="","",PPMT(INPUTS!$B$5,C289,INPUTS!$B$6,-INPUTS!$B$3,0,0))</f>
        <v/>
      </c>
      <c r="H289" s="6" t="str">
        <f t="shared" si="21"/>
        <v/>
      </c>
      <c r="I289" s="6" t="str">
        <f t="shared" si="18"/>
        <v/>
      </c>
    </row>
    <row r="290" spans="1:9" hidden="1" x14ac:dyDescent="0.3">
      <c r="A290" s="16" t="str">
        <f t="shared" si="19"/>
        <v/>
      </c>
      <c r="D290" s="14" t="str">
        <f t="shared" si="20"/>
        <v/>
      </c>
      <c r="E290" s="6" t="str">
        <f>IF(C290="","",PMT(INPUTS!$B$5,INPUTS!$B$6,-INPUTS!$B$3,0,0))</f>
        <v/>
      </c>
      <c r="F290" s="6" t="str">
        <f>IF(C290="","",IPMT(INPUTS!$B$5,C290,INPUTS!$B$6,-INPUTS!$B$3,0,0))</f>
        <v/>
      </c>
      <c r="G290" s="6" t="str">
        <f>IF(C290="","",PPMT(INPUTS!$B$5,C290,INPUTS!$B$6,-INPUTS!$B$3,0,0))</f>
        <v/>
      </c>
      <c r="H290" s="6" t="str">
        <f t="shared" si="21"/>
        <v/>
      </c>
      <c r="I290" s="6" t="str">
        <f t="shared" si="18"/>
        <v/>
      </c>
    </row>
    <row r="291" spans="1:9" hidden="1" x14ac:dyDescent="0.3">
      <c r="A291" s="16" t="str">
        <f t="shared" si="19"/>
        <v/>
      </c>
      <c r="D291" s="14" t="str">
        <f t="shared" si="20"/>
        <v/>
      </c>
      <c r="E291" s="6" t="str">
        <f>IF(C291="","",PMT(INPUTS!$B$5,INPUTS!$B$6,-INPUTS!$B$3,0,0))</f>
        <v/>
      </c>
      <c r="F291" s="6" t="str">
        <f>IF(C291="","",IPMT(INPUTS!$B$5,C291,INPUTS!$B$6,-INPUTS!$B$3,0,0))</f>
        <v/>
      </c>
      <c r="G291" s="6" t="str">
        <f>IF(C291="","",PPMT(INPUTS!$B$5,C291,INPUTS!$B$6,-INPUTS!$B$3,0,0))</f>
        <v/>
      </c>
      <c r="H291" s="6" t="str">
        <f t="shared" si="21"/>
        <v/>
      </c>
      <c r="I291" s="6" t="str">
        <f t="shared" si="18"/>
        <v/>
      </c>
    </row>
    <row r="292" spans="1:9" hidden="1" x14ac:dyDescent="0.3">
      <c r="A292" s="16" t="str">
        <f t="shared" si="19"/>
        <v/>
      </c>
      <c r="D292" s="14" t="str">
        <f t="shared" si="20"/>
        <v/>
      </c>
      <c r="E292" s="6" t="str">
        <f>IF(C292="","",PMT(INPUTS!$B$5,INPUTS!$B$6,-INPUTS!$B$3,0,0))</f>
        <v/>
      </c>
      <c r="F292" s="6" t="str">
        <f>IF(C292="","",IPMT(INPUTS!$B$5,C292,INPUTS!$B$6,-INPUTS!$B$3,0,0))</f>
        <v/>
      </c>
      <c r="G292" s="6" t="str">
        <f>IF(C292="","",PPMT(INPUTS!$B$5,C292,INPUTS!$B$6,-INPUTS!$B$3,0,0))</f>
        <v/>
      </c>
      <c r="H292" s="6" t="str">
        <f t="shared" si="21"/>
        <v/>
      </c>
      <c r="I292" s="6" t="str">
        <f t="shared" si="18"/>
        <v/>
      </c>
    </row>
    <row r="293" spans="1:9" hidden="1" x14ac:dyDescent="0.3">
      <c r="A293" s="16" t="str">
        <f t="shared" si="19"/>
        <v/>
      </c>
      <c r="D293" s="14" t="str">
        <f t="shared" si="20"/>
        <v/>
      </c>
      <c r="E293" s="6" t="str">
        <f>IF(C293="","",PMT(INPUTS!$B$5,INPUTS!$B$6,-INPUTS!$B$3,0,0))</f>
        <v/>
      </c>
      <c r="F293" s="6" t="str">
        <f>IF(C293="","",IPMT(INPUTS!$B$5,C293,INPUTS!$B$6,-INPUTS!$B$3,0,0))</f>
        <v/>
      </c>
      <c r="G293" s="6" t="str">
        <f>IF(C293="","",PPMT(INPUTS!$B$5,C293,INPUTS!$B$6,-INPUTS!$B$3,0,0))</f>
        <v/>
      </c>
      <c r="H293" s="6" t="str">
        <f t="shared" si="21"/>
        <v/>
      </c>
      <c r="I293" s="6" t="str">
        <f t="shared" si="18"/>
        <v/>
      </c>
    </row>
    <row r="294" spans="1:9" hidden="1" x14ac:dyDescent="0.3">
      <c r="A294" s="16" t="str">
        <f t="shared" si="19"/>
        <v/>
      </c>
      <c r="D294" s="14" t="str">
        <f t="shared" si="20"/>
        <v/>
      </c>
      <c r="E294" s="6" t="str">
        <f>IF(C294="","",PMT(INPUTS!$B$5,INPUTS!$B$6,-INPUTS!$B$3,0,0))</f>
        <v/>
      </c>
      <c r="F294" s="6" t="str">
        <f>IF(C294="","",IPMT(INPUTS!$B$5,C294,INPUTS!$B$6,-INPUTS!$B$3,0,0))</f>
        <v/>
      </c>
      <c r="G294" s="6" t="str">
        <f>IF(C294="","",PPMT(INPUTS!$B$5,C294,INPUTS!$B$6,-INPUTS!$B$3,0,0))</f>
        <v/>
      </c>
      <c r="H294" s="6" t="str">
        <f t="shared" si="21"/>
        <v/>
      </c>
      <c r="I294" s="6" t="str">
        <f t="shared" si="18"/>
        <v/>
      </c>
    </row>
    <row r="295" spans="1:9" hidden="1" x14ac:dyDescent="0.3">
      <c r="A295" s="16" t="str">
        <f t="shared" si="19"/>
        <v/>
      </c>
      <c r="D295" s="14" t="str">
        <f t="shared" si="20"/>
        <v/>
      </c>
      <c r="E295" s="6" t="str">
        <f>IF(C295="","",PMT(INPUTS!$B$5,INPUTS!$B$6,-INPUTS!$B$3,0,0))</f>
        <v/>
      </c>
      <c r="F295" s="6" t="str">
        <f>IF(C295="","",IPMT(INPUTS!$B$5,C295,INPUTS!$B$6,-INPUTS!$B$3,0,0))</f>
        <v/>
      </c>
      <c r="G295" s="6" t="str">
        <f>IF(C295="","",PPMT(INPUTS!$B$5,C295,INPUTS!$B$6,-INPUTS!$B$3,0,0))</f>
        <v/>
      </c>
      <c r="H295" s="6" t="str">
        <f t="shared" si="21"/>
        <v/>
      </c>
      <c r="I295" s="6" t="str">
        <f t="shared" si="18"/>
        <v/>
      </c>
    </row>
    <row r="296" spans="1:9" hidden="1" x14ac:dyDescent="0.3">
      <c r="A296" s="16" t="str">
        <f t="shared" si="19"/>
        <v/>
      </c>
      <c r="D296" s="14" t="str">
        <f t="shared" si="20"/>
        <v/>
      </c>
      <c r="E296" s="6" t="str">
        <f>IF(C296="","",PMT(INPUTS!$B$5,INPUTS!$B$6,-INPUTS!$B$3,0,0))</f>
        <v/>
      </c>
      <c r="F296" s="6" t="str">
        <f>IF(C296="","",IPMT(INPUTS!$B$5,C296,INPUTS!$B$6,-INPUTS!$B$3,0,0))</f>
        <v/>
      </c>
      <c r="G296" s="6" t="str">
        <f>IF(C296="","",PPMT(INPUTS!$B$5,C296,INPUTS!$B$6,-INPUTS!$B$3,0,0))</f>
        <v/>
      </c>
      <c r="H296" s="6" t="str">
        <f t="shared" si="21"/>
        <v/>
      </c>
      <c r="I296" s="6" t="str">
        <f t="shared" si="18"/>
        <v/>
      </c>
    </row>
    <row r="297" spans="1:9" hidden="1" x14ac:dyDescent="0.3">
      <c r="A297" s="16" t="str">
        <f t="shared" si="19"/>
        <v/>
      </c>
      <c r="D297" s="14" t="str">
        <f t="shared" si="20"/>
        <v/>
      </c>
      <c r="E297" s="6" t="str">
        <f>IF(C297="","",PMT(INPUTS!$B$5,INPUTS!$B$6,-INPUTS!$B$3,0,0))</f>
        <v/>
      </c>
      <c r="F297" s="6" t="str">
        <f>IF(C297="","",IPMT(INPUTS!$B$5,C297,INPUTS!$B$6,-INPUTS!$B$3,0,0))</f>
        <v/>
      </c>
      <c r="G297" s="6" t="str">
        <f>IF(C297="","",PPMT(INPUTS!$B$5,C297,INPUTS!$B$6,-INPUTS!$B$3,0,0))</f>
        <v/>
      </c>
      <c r="H297" s="6" t="str">
        <f t="shared" si="21"/>
        <v/>
      </c>
      <c r="I297" s="6" t="str">
        <f t="shared" si="18"/>
        <v/>
      </c>
    </row>
    <row r="298" spans="1:9" hidden="1" x14ac:dyDescent="0.3">
      <c r="A298" s="16" t="str">
        <f t="shared" si="19"/>
        <v/>
      </c>
      <c r="D298" s="14" t="str">
        <f t="shared" si="20"/>
        <v/>
      </c>
      <c r="E298" s="6" t="str">
        <f>IF(C298="","",PMT(INPUTS!$B$5,INPUTS!$B$6,-INPUTS!$B$3,0,0))</f>
        <v/>
      </c>
      <c r="F298" s="6" t="str">
        <f>IF(C298="","",IPMT(INPUTS!$B$5,C298,INPUTS!$B$6,-INPUTS!$B$3,0,0))</f>
        <v/>
      </c>
      <c r="G298" s="6" t="str">
        <f>IF(C298="","",PPMT(INPUTS!$B$5,C298,INPUTS!$B$6,-INPUTS!$B$3,0,0))</f>
        <v/>
      </c>
      <c r="H298" s="6" t="str">
        <f t="shared" si="21"/>
        <v/>
      </c>
      <c r="I298" s="6" t="str">
        <f t="shared" si="18"/>
        <v/>
      </c>
    </row>
    <row r="299" spans="1:9" hidden="1" x14ac:dyDescent="0.3">
      <c r="A299" s="16" t="str">
        <f t="shared" si="19"/>
        <v/>
      </c>
      <c r="D299" s="14" t="str">
        <f t="shared" si="20"/>
        <v/>
      </c>
      <c r="E299" s="6" t="str">
        <f>IF(C299="","",PMT(INPUTS!$B$5,INPUTS!$B$6,-INPUTS!$B$3,0,0))</f>
        <v/>
      </c>
      <c r="F299" s="6" t="str">
        <f>IF(C299="","",IPMT(INPUTS!$B$5,C299,INPUTS!$B$6,-INPUTS!$B$3,0,0))</f>
        <v/>
      </c>
      <c r="G299" s="6" t="str">
        <f>IF(C299="","",PPMT(INPUTS!$B$5,C299,INPUTS!$B$6,-INPUTS!$B$3,0,0))</f>
        <v/>
      </c>
      <c r="H299" s="6" t="str">
        <f t="shared" si="21"/>
        <v/>
      </c>
      <c r="I299" s="6" t="str">
        <f t="shared" si="18"/>
        <v/>
      </c>
    </row>
    <row r="300" spans="1:9" hidden="1" x14ac:dyDescent="0.3">
      <c r="A300" s="16" t="str">
        <f t="shared" si="19"/>
        <v/>
      </c>
      <c r="D300" s="14" t="str">
        <f t="shared" si="20"/>
        <v/>
      </c>
      <c r="E300" s="6" t="str">
        <f>IF(C300="","",PMT(INPUTS!$B$5,INPUTS!$B$6,-INPUTS!$B$3,0,0))</f>
        <v/>
      </c>
      <c r="F300" s="6" t="str">
        <f>IF(C300="","",IPMT(INPUTS!$B$5,C300,INPUTS!$B$6,-INPUTS!$B$3,0,0))</f>
        <v/>
      </c>
      <c r="G300" s="6" t="str">
        <f>IF(C300="","",PPMT(INPUTS!$B$5,C300,INPUTS!$B$6,-INPUTS!$B$3,0,0))</f>
        <v/>
      </c>
      <c r="H300" s="6" t="str">
        <f t="shared" si="21"/>
        <v/>
      </c>
      <c r="I300" s="6" t="str">
        <f t="shared" si="18"/>
        <v/>
      </c>
    </row>
    <row r="301" spans="1:9" hidden="1" x14ac:dyDescent="0.3">
      <c r="A301" s="16" t="str">
        <f t="shared" si="19"/>
        <v/>
      </c>
      <c r="D301" s="14" t="str">
        <f t="shared" si="20"/>
        <v/>
      </c>
      <c r="E301" s="6" t="str">
        <f>IF(C301="","",PMT(INPUTS!$B$5,INPUTS!$B$6,-INPUTS!$B$3,0,0))</f>
        <v/>
      </c>
      <c r="F301" s="6" t="str">
        <f>IF(C301="","",IPMT(INPUTS!$B$5,C301,INPUTS!$B$6,-INPUTS!$B$3,0,0))</f>
        <v/>
      </c>
      <c r="G301" s="6" t="str">
        <f>IF(C301="","",PPMT(INPUTS!$B$5,C301,INPUTS!$B$6,-INPUTS!$B$3,0,0))</f>
        <v/>
      </c>
      <c r="H301" s="6" t="str">
        <f t="shared" si="21"/>
        <v/>
      </c>
      <c r="I301" s="6" t="str">
        <f t="shared" si="18"/>
        <v/>
      </c>
    </row>
    <row r="302" spans="1:9" hidden="1" x14ac:dyDescent="0.3">
      <c r="A302" s="16" t="str">
        <f t="shared" si="19"/>
        <v/>
      </c>
      <c r="D302" s="14" t="str">
        <f t="shared" si="20"/>
        <v/>
      </c>
      <c r="E302" s="6" t="str">
        <f>IF(C302="","",PMT(INPUTS!$B$5,INPUTS!$B$6,-INPUTS!$B$3,0,0))</f>
        <v/>
      </c>
      <c r="F302" s="6" t="str">
        <f>IF(C302="","",IPMT(INPUTS!$B$5,C302,INPUTS!$B$6,-INPUTS!$B$3,0,0))</f>
        <v/>
      </c>
      <c r="G302" s="6" t="str">
        <f>IF(C302="","",PPMT(INPUTS!$B$5,C302,INPUTS!$B$6,-INPUTS!$B$3,0,0))</f>
        <v/>
      </c>
      <c r="H302" s="6" t="str">
        <f t="shared" si="21"/>
        <v/>
      </c>
      <c r="I302" s="6" t="str">
        <f t="shared" si="18"/>
        <v/>
      </c>
    </row>
    <row r="303" spans="1:9" hidden="1" x14ac:dyDescent="0.3">
      <c r="A303" s="16" t="str">
        <f t="shared" si="19"/>
        <v/>
      </c>
      <c r="D303" s="14" t="str">
        <f t="shared" si="20"/>
        <v/>
      </c>
      <c r="E303" s="6" t="str">
        <f>IF(C303="","",PMT(INPUTS!$B$5,INPUTS!$B$6,-INPUTS!$B$3,0,0))</f>
        <v/>
      </c>
      <c r="F303" s="6" t="str">
        <f>IF(C303="","",IPMT(INPUTS!$B$5,C303,INPUTS!$B$6,-INPUTS!$B$3,0,0))</f>
        <v/>
      </c>
      <c r="G303" s="6" t="str">
        <f>IF(C303="","",PPMT(INPUTS!$B$5,C303,INPUTS!$B$6,-INPUTS!$B$3,0,0))</f>
        <v/>
      </c>
      <c r="H303" s="6" t="str">
        <f t="shared" si="21"/>
        <v/>
      </c>
      <c r="I303" s="6" t="str">
        <f t="shared" si="18"/>
        <v/>
      </c>
    </row>
    <row r="304" spans="1:9" hidden="1" x14ac:dyDescent="0.3">
      <c r="A304" s="16" t="str">
        <f t="shared" si="19"/>
        <v/>
      </c>
      <c r="D304" s="14" t="str">
        <f t="shared" si="20"/>
        <v/>
      </c>
      <c r="E304" s="6" t="str">
        <f>IF(C304="","",PMT(INPUTS!$B$5,INPUTS!$B$6,-INPUTS!$B$3,0,0))</f>
        <v/>
      </c>
      <c r="F304" s="6" t="str">
        <f>IF(C304="","",IPMT(INPUTS!$B$5,C304,INPUTS!$B$6,-INPUTS!$B$3,0,0))</f>
        <v/>
      </c>
      <c r="G304" s="6" t="str">
        <f>IF(C304="","",PPMT(INPUTS!$B$5,C304,INPUTS!$B$6,-INPUTS!$B$3,0,0))</f>
        <v/>
      </c>
      <c r="H304" s="6" t="str">
        <f t="shared" si="21"/>
        <v/>
      </c>
      <c r="I304" s="6" t="str">
        <f t="shared" ref="I304:I367" si="22">IF(C304="","",H304-G304)</f>
        <v/>
      </c>
    </row>
    <row r="305" spans="1:9" hidden="1" x14ac:dyDescent="0.3">
      <c r="A305" s="16" t="str">
        <f t="shared" si="19"/>
        <v/>
      </c>
      <c r="D305" s="14" t="str">
        <f t="shared" si="20"/>
        <v/>
      </c>
      <c r="E305" s="6" t="str">
        <f>IF(C305="","",PMT(INPUTS!$B$5,INPUTS!$B$6,-INPUTS!$B$3,0,0))</f>
        <v/>
      </c>
      <c r="F305" s="6" t="str">
        <f>IF(C305="","",IPMT(INPUTS!$B$5,C305,INPUTS!$B$6,-INPUTS!$B$3,0,0))</f>
        <v/>
      </c>
      <c r="G305" s="6" t="str">
        <f>IF(C305="","",PPMT(INPUTS!$B$5,C305,INPUTS!$B$6,-INPUTS!$B$3,0,0))</f>
        <v/>
      </c>
      <c r="H305" s="6" t="str">
        <f t="shared" si="21"/>
        <v/>
      </c>
      <c r="I305" s="6" t="str">
        <f t="shared" si="22"/>
        <v/>
      </c>
    </row>
    <row r="306" spans="1:9" hidden="1" x14ac:dyDescent="0.3">
      <c r="A306" s="16" t="str">
        <f t="shared" si="19"/>
        <v/>
      </c>
      <c r="D306" s="14" t="str">
        <f t="shared" si="20"/>
        <v/>
      </c>
      <c r="E306" s="6" t="str">
        <f>IF(C306="","",PMT(INPUTS!$B$5,INPUTS!$B$6,-INPUTS!$B$3,0,0))</f>
        <v/>
      </c>
      <c r="F306" s="6" t="str">
        <f>IF(C306="","",IPMT(INPUTS!$B$5,C306,INPUTS!$B$6,-INPUTS!$B$3,0,0))</f>
        <v/>
      </c>
      <c r="G306" s="6" t="str">
        <f>IF(C306="","",PPMT(INPUTS!$B$5,C306,INPUTS!$B$6,-INPUTS!$B$3,0,0))</f>
        <v/>
      </c>
      <c r="H306" s="6" t="str">
        <f t="shared" si="21"/>
        <v/>
      </c>
      <c r="I306" s="6" t="str">
        <f t="shared" si="22"/>
        <v/>
      </c>
    </row>
    <row r="307" spans="1:9" hidden="1" x14ac:dyDescent="0.3">
      <c r="A307" s="16" t="str">
        <f t="shared" si="19"/>
        <v/>
      </c>
      <c r="D307" s="14" t="str">
        <f t="shared" si="20"/>
        <v/>
      </c>
      <c r="E307" s="6" t="str">
        <f>IF(C307="","",PMT(INPUTS!$B$5,INPUTS!$B$6,-INPUTS!$B$3,0,0))</f>
        <v/>
      </c>
      <c r="F307" s="6" t="str">
        <f>IF(C307="","",IPMT(INPUTS!$B$5,C307,INPUTS!$B$6,-INPUTS!$B$3,0,0))</f>
        <v/>
      </c>
      <c r="G307" s="6" t="str">
        <f>IF(C307="","",PPMT(INPUTS!$B$5,C307,INPUTS!$B$6,-INPUTS!$B$3,0,0))</f>
        <v/>
      </c>
      <c r="H307" s="6" t="str">
        <f t="shared" si="21"/>
        <v/>
      </c>
      <c r="I307" s="6" t="str">
        <f t="shared" si="22"/>
        <v/>
      </c>
    </row>
    <row r="308" spans="1:9" hidden="1" x14ac:dyDescent="0.3">
      <c r="A308" s="16" t="str">
        <f t="shared" si="19"/>
        <v/>
      </c>
      <c r="D308" s="14" t="str">
        <f t="shared" si="20"/>
        <v/>
      </c>
      <c r="E308" s="6" t="str">
        <f>IF(C308="","",PMT(INPUTS!$B$5,INPUTS!$B$6,-INPUTS!$B$3,0,0))</f>
        <v/>
      </c>
      <c r="F308" s="6" t="str">
        <f>IF(C308="","",IPMT(INPUTS!$B$5,C308,INPUTS!$B$6,-INPUTS!$B$3,0,0))</f>
        <v/>
      </c>
      <c r="G308" s="6" t="str">
        <f>IF(C308="","",PPMT(INPUTS!$B$5,C308,INPUTS!$B$6,-INPUTS!$B$3,0,0))</f>
        <v/>
      </c>
      <c r="H308" s="6" t="str">
        <f t="shared" si="21"/>
        <v/>
      </c>
      <c r="I308" s="6" t="str">
        <f t="shared" si="22"/>
        <v/>
      </c>
    </row>
    <row r="309" spans="1:9" hidden="1" x14ac:dyDescent="0.3">
      <c r="A309" s="16" t="str">
        <f t="shared" si="19"/>
        <v/>
      </c>
      <c r="D309" s="14" t="str">
        <f t="shared" si="20"/>
        <v/>
      </c>
      <c r="E309" s="6" t="str">
        <f>IF(C309="","",PMT(INPUTS!$B$5,INPUTS!$B$6,-INPUTS!$B$3,0,0))</f>
        <v/>
      </c>
      <c r="F309" s="6" t="str">
        <f>IF(C309="","",IPMT(INPUTS!$B$5,C309,INPUTS!$B$6,-INPUTS!$B$3,0,0))</f>
        <v/>
      </c>
      <c r="G309" s="6" t="str">
        <f>IF(C309="","",PPMT(INPUTS!$B$5,C309,INPUTS!$B$6,-INPUTS!$B$3,0,0))</f>
        <v/>
      </c>
      <c r="H309" s="6" t="str">
        <f t="shared" si="21"/>
        <v/>
      </c>
      <c r="I309" s="6" t="str">
        <f t="shared" si="22"/>
        <v/>
      </c>
    </row>
    <row r="310" spans="1:9" hidden="1" x14ac:dyDescent="0.3">
      <c r="A310" s="16" t="str">
        <f t="shared" si="19"/>
        <v/>
      </c>
      <c r="D310" s="14" t="str">
        <f t="shared" si="20"/>
        <v/>
      </c>
      <c r="E310" s="6" t="str">
        <f>IF(C310="","",PMT(INPUTS!$B$5,INPUTS!$B$6,-INPUTS!$B$3,0,0))</f>
        <v/>
      </c>
      <c r="F310" s="6" t="str">
        <f>IF(C310="","",IPMT(INPUTS!$B$5,C310,INPUTS!$B$6,-INPUTS!$B$3,0,0))</f>
        <v/>
      </c>
      <c r="G310" s="6" t="str">
        <f>IF(C310="","",PPMT(INPUTS!$B$5,C310,INPUTS!$B$6,-INPUTS!$B$3,0,0))</f>
        <v/>
      </c>
      <c r="H310" s="6" t="str">
        <f t="shared" si="21"/>
        <v/>
      </c>
      <c r="I310" s="6" t="str">
        <f t="shared" si="22"/>
        <v/>
      </c>
    </row>
    <row r="311" spans="1:9" hidden="1" x14ac:dyDescent="0.3">
      <c r="A311" s="16" t="str">
        <f t="shared" si="19"/>
        <v/>
      </c>
      <c r="D311" s="14" t="str">
        <f t="shared" si="20"/>
        <v/>
      </c>
      <c r="E311" s="6" t="str">
        <f>IF(C311="","",PMT(INPUTS!$B$5,INPUTS!$B$6,-INPUTS!$B$3,0,0))</f>
        <v/>
      </c>
      <c r="F311" s="6" t="str">
        <f>IF(C311="","",IPMT(INPUTS!$B$5,C311,INPUTS!$B$6,-INPUTS!$B$3,0,0))</f>
        <v/>
      </c>
      <c r="G311" s="6" t="str">
        <f>IF(C311="","",PPMT(INPUTS!$B$5,C311,INPUTS!$B$6,-INPUTS!$B$3,0,0))</f>
        <v/>
      </c>
      <c r="H311" s="6" t="str">
        <f t="shared" si="21"/>
        <v/>
      </c>
      <c r="I311" s="6" t="str">
        <f t="shared" si="22"/>
        <v/>
      </c>
    </row>
    <row r="312" spans="1:9" hidden="1" x14ac:dyDescent="0.3">
      <c r="A312" s="16" t="str">
        <f t="shared" si="19"/>
        <v/>
      </c>
      <c r="D312" s="14" t="str">
        <f t="shared" si="20"/>
        <v/>
      </c>
      <c r="E312" s="6" t="str">
        <f>IF(C312="","",PMT(INPUTS!$B$5,INPUTS!$B$6,-INPUTS!$B$3,0,0))</f>
        <v/>
      </c>
      <c r="F312" s="6" t="str">
        <f>IF(C312="","",IPMT(INPUTS!$B$5,C312,INPUTS!$B$6,-INPUTS!$B$3,0,0))</f>
        <v/>
      </c>
      <c r="G312" s="6" t="str">
        <f>IF(C312="","",PPMT(INPUTS!$B$5,C312,INPUTS!$B$6,-INPUTS!$B$3,0,0))</f>
        <v/>
      </c>
      <c r="H312" s="6" t="str">
        <f t="shared" si="21"/>
        <v/>
      </c>
      <c r="I312" s="6" t="str">
        <f t="shared" si="22"/>
        <v/>
      </c>
    </row>
    <row r="313" spans="1:9" hidden="1" x14ac:dyDescent="0.3">
      <c r="A313" s="16" t="str">
        <f t="shared" si="19"/>
        <v/>
      </c>
      <c r="D313" s="14" t="str">
        <f t="shared" si="20"/>
        <v/>
      </c>
      <c r="E313" s="6" t="str">
        <f>IF(C313="","",PMT(INPUTS!$B$5,INPUTS!$B$6,-INPUTS!$B$3,0,0))</f>
        <v/>
      </c>
      <c r="F313" s="6" t="str">
        <f>IF(C313="","",IPMT(INPUTS!$B$5,C313,INPUTS!$B$6,-INPUTS!$B$3,0,0))</f>
        <v/>
      </c>
      <c r="G313" s="6" t="str">
        <f>IF(C313="","",PPMT(INPUTS!$B$5,C313,INPUTS!$B$6,-INPUTS!$B$3,0,0))</f>
        <v/>
      </c>
      <c r="H313" s="6" t="str">
        <f t="shared" si="21"/>
        <v/>
      </c>
      <c r="I313" s="6" t="str">
        <f t="shared" si="22"/>
        <v/>
      </c>
    </row>
    <row r="314" spans="1:9" hidden="1" x14ac:dyDescent="0.3">
      <c r="A314" s="16" t="str">
        <f t="shared" si="19"/>
        <v/>
      </c>
      <c r="D314" s="14" t="str">
        <f t="shared" si="20"/>
        <v/>
      </c>
      <c r="E314" s="6" t="str">
        <f>IF(C314="","",PMT(INPUTS!$B$5,INPUTS!$B$6,-INPUTS!$B$3,0,0))</f>
        <v/>
      </c>
      <c r="F314" s="6" t="str">
        <f>IF(C314="","",IPMT(INPUTS!$B$5,C314,INPUTS!$B$6,-INPUTS!$B$3,0,0))</f>
        <v/>
      </c>
      <c r="G314" s="6" t="str">
        <f>IF(C314="","",PPMT(INPUTS!$B$5,C314,INPUTS!$B$6,-INPUTS!$B$3,0,0))</f>
        <v/>
      </c>
      <c r="H314" s="6" t="str">
        <f t="shared" si="21"/>
        <v/>
      </c>
      <c r="I314" s="6" t="str">
        <f t="shared" si="22"/>
        <v/>
      </c>
    </row>
    <row r="315" spans="1:9" hidden="1" x14ac:dyDescent="0.3">
      <c r="A315" s="16" t="str">
        <f t="shared" si="19"/>
        <v/>
      </c>
      <c r="D315" s="14" t="str">
        <f t="shared" si="20"/>
        <v/>
      </c>
      <c r="E315" s="6" t="str">
        <f>IF(C315="","",PMT(INPUTS!$B$5,INPUTS!$B$6,-INPUTS!$B$3,0,0))</f>
        <v/>
      </c>
      <c r="F315" s="6" t="str">
        <f>IF(C315="","",IPMT(INPUTS!$B$5,C315,INPUTS!$B$6,-INPUTS!$B$3,0,0))</f>
        <v/>
      </c>
      <c r="G315" s="6" t="str">
        <f>IF(C315="","",PPMT(INPUTS!$B$5,C315,INPUTS!$B$6,-INPUTS!$B$3,0,0))</f>
        <v/>
      </c>
      <c r="H315" s="6" t="str">
        <f t="shared" si="21"/>
        <v/>
      </c>
      <c r="I315" s="6" t="str">
        <f t="shared" si="22"/>
        <v/>
      </c>
    </row>
    <row r="316" spans="1:9" hidden="1" x14ac:dyDescent="0.3">
      <c r="A316" s="16" t="str">
        <f t="shared" si="19"/>
        <v/>
      </c>
      <c r="D316" s="14" t="str">
        <f t="shared" si="20"/>
        <v/>
      </c>
      <c r="E316" s="6" t="str">
        <f>IF(C316="","",PMT(INPUTS!$B$5,INPUTS!$B$6,-INPUTS!$B$3,0,0))</f>
        <v/>
      </c>
      <c r="F316" s="6" t="str">
        <f>IF(C316="","",IPMT(INPUTS!$B$5,C316,INPUTS!$B$6,-INPUTS!$B$3,0,0))</f>
        <v/>
      </c>
      <c r="G316" s="6" t="str">
        <f>IF(C316="","",PPMT(INPUTS!$B$5,C316,INPUTS!$B$6,-INPUTS!$B$3,0,0))</f>
        <v/>
      </c>
      <c r="H316" s="6" t="str">
        <f t="shared" si="21"/>
        <v/>
      </c>
      <c r="I316" s="6" t="str">
        <f t="shared" si="22"/>
        <v/>
      </c>
    </row>
    <row r="317" spans="1:9" hidden="1" x14ac:dyDescent="0.3">
      <c r="A317" s="16" t="str">
        <f t="shared" si="19"/>
        <v/>
      </c>
      <c r="D317" s="14" t="str">
        <f t="shared" si="20"/>
        <v/>
      </c>
      <c r="E317" s="6" t="str">
        <f>IF(C317="","",PMT(INPUTS!$B$5,INPUTS!$B$6,-INPUTS!$B$3,0,0))</f>
        <v/>
      </c>
      <c r="F317" s="6" t="str">
        <f>IF(C317="","",IPMT(INPUTS!$B$5,C317,INPUTS!$B$6,-INPUTS!$B$3,0,0))</f>
        <v/>
      </c>
      <c r="G317" s="6" t="str">
        <f>IF(C317="","",PPMT(INPUTS!$B$5,C317,INPUTS!$B$6,-INPUTS!$B$3,0,0))</f>
        <v/>
      </c>
      <c r="H317" s="6" t="str">
        <f t="shared" si="21"/>
        <v/>
      </c>
      <c r="I317" s="6" t="str">
        <f t="shared" si="22"/>
        <v/>
      </c>
    </row>
    <row r="318" spans="1:9" hidden="1" x14ac:dyDescent="0.3">
      <c r="A318" s="16" t="str">
        <f t="shared" si="19"/>
        <v/>
      </c>
      <c r="D318" s="14" t="str">
        <f t="shared" si="20"/>
        <v/>
      </c>
      <c r="E318" s="6" t="str">
        <f>IF(C318="","",PMT(INPUTS!$B$5,INPUTS!$B$6,-INPUTS!$B$3,0,0))</f>
        <v/>
      </c>
      <c r="F318" s="6" t="str">
        <f>IF(C318="","",IPMT(INPUTS!$B$5,C318,INPUTS!$B$6,-INPUTS!$B$3,0,0))</f>
        <v/>
      </c>
      <c r="G318" s="6" t="str">
        <f>IF(C318="","",PPMT(INPUTS!$B$5,C318,INPUTS!$B$6,-INPUTS!$B$3,0,0))</f>
        <v/>
      </c>
      <c r="H318" s="6" t="str">
        <f t="shared" si="21"/>
        <v/>
      </c>
      <c r="I318" s="6" t="str">
        <f t="shared" si="22"/>
        <v/>
      </c>
    </row>
    <row r="319" spans="1:9" hidden="1" x14ac:dyDescent="0.3">
      <c r="A319" s="16" t="str">
        <f t="shared" si="19"/>
        <v/>
      </c>
      <c r="D319" s="14" t="str">
        <f t="shared" si="20"/>
        <v/>
      </c>
      <c r="E319" s="6" t="str">
        <f>IF(C319="","",PMT(INPUTS!$B$5,INPUTS!$B$6,-INPUTS!$B$3,0,0))</f>
        <v/>
      </c>
      <c r="F319" s="6" t="str">
        <f>IF(C319="","",IPMT(INPUTS!$B$5,C319,INPUTS!$B$6,-INPUTS!$B$3,0,0))</f>
        <v/>
      </c>
      <c r="G319" s="6" t="str">
        <f>IF(C319="","",PPMT(INPUTS!$B$5,C319,INPUTS!$B$6,-INPUTS!$B$3,0,0))</f>
        <v/>
      </c>
      <c r="H319" s="6" t="str">
        <f t="shared" si="21"/>
        <v/>
      </c>
      <c r="I319" s="6" t="str">
        <f t="shared" si="22"/>
        <v/>
      </c>
    </row>
    <row r="320" spans="1:9" hidden="1" x14ac:dyDescent="0.3">
      <c r="A320" s="16" t="str">
        <f t="shared" si="19"/>
        <v/>
      </c>
      <c r="D320" s="14" t="str">
        <f t="shared" si="20"/>
        <v/>
      </c>
      <c r="E320" s="6" t="str">
        <f>IF(C320="","",PMT(INPUTS!$B$5,INPUTS!$B$6,-INPUTS!$B$3,0,0))</f>
        <v/>
      </c>
      <c r="F320" s="6" t="str">
        <f>IF(C320="","",IPMT(INPUTS!$B$5,C320,INPUTS!$B$6,-INPUTS!$B$3,0,0))</f>
        <v/>
      </c>
      <c r="G320" s="6" t="str">
        <f>IF(C320="","",PPMT(INPUTS!$B$5,C320,INPUTS!$B$6,-INPUTS!$B$3,0,0))</f>
        <v/>
      </c>
      <c r="H320" s="6" t="str">
        <f t="shared" si="21"/>
        <v/>
      </c>
      <c r="I320" s="6" t="str">
        <f t="shared" si="22"/>
        <v/>
      </c>
    </row>
    <row r="321" spans="1:9" hidden="1" x14ac:dyDescent="0.3">
      <c r="A321" s="16" t="str">
        <f t="shared" si="19"/>
        <v/>
      </c>
      <c r="D321" s="14" t="str">
        <f t="shared" si="20"/>
        <v/>
      </c>
      <c r="E321" s="6" t="str">
        <f>IF(C321="","",PMT(INPUTS!$B$5,INPUTS!$B$6,-INPUTS!$B$3,0,0))</f>
        <v/>
      </c>
      <c r="F321" s="6" t="str">
        <f>IF(C321="","",IPMT(INPUTS!$B$5,C321,INPUTS!$B$6,-INPUTS!$B$3,0,0))</f>
        <v/>
      </c>
      <c r="G321" s="6" t="str">
        <f>IF(C321="","",PPMT(INPUTS!$B$5,C321,INPUTS!$B$6,-INPUTS!$B$3,0,0))</f>
        <v/>
      </c>
      <c r="H321" s="6" t="str">
        <f t="shared" si="21"/>
        <v/>
      </c>
      <c r="I321" s="6" t="str">
        <f t="shared" si="22"/>
        <v/>
      </c>
    </row>
    <row r="322" spans="1:9" hidden="1" x14ac:dyDescent="0.3">
      <c r="A322" s="16" t="str">
        <f t="shared" si="19"/>
        <v/>
      </c>
      <c r="D322" s="14" t="str">
        <f t="shared" si="20"/>
        <v/>
      </c>
      <c r="E322" s="6" t="str">
        <f>IF(C322="","",PMT(INPUTS!$B$5,INPUTS!$B$6,-INPUTS!$B$3,0,0))</f>
        <v/>
      </c>
      <c r="F322" s="6" t="str">
        <f>IF(C322="","",IPMT(INPUTS!$B$5,C322,INPUTS!$B$6,-INPUTS!$B$3,0,0))</f>
        <v/>
      </c>
      <c r="G322" s="6" t="str">
        <f>IF(C322="","",PPMT(INPUTS!$B$5,C322,INPUTS!$B$6,-INPUTS!$B$3,0,0))</f>
        <v/>
      </c>
      <c r="H322" s="6" t="str">
        <f t="shared" si="21"/>
        <v/>
      </c>
      <c r="I322" s="6" t="str">
        <f t="shared" si="22"/>
        <v/>
      </c>
    </row>
    <row r="323" spans="1:9" hidden="1" x14ac:dyDescent="0.3">
      <c r="A323" s="16" t="str">
        <f t="shared" si="19"/>
        <v/>
      </c>
      <c r="D323" s="14" t="str">
        <f t="shared" si="20"/>
        <v/>
      </c>
      <c r="E323" s="6" t="str">
        <f>IF(C323="","",PMT(INPUTS!$B$5,INPUTS!$B$6,-INPUTS!$B$3,0,0))</f>
        <v/>
      </c>
      <c r="F323" s="6" t="str">
        <f>IF(C323="","",IPMT(INPUTS!$B$5,C323,INPUTS!$B$6,-INPUTS!$B$3,0,0))</f>
        <v/>
      </c>
      <c r="G323" s="6" t="str">
        <f>IF(C323="","",PPMT(INPUTS!$B$5,C323,INPUTS!$B$6,-INPUTS!$B$3,0,0))</f>
        <v/>
      </c>
      <c r="H323" s="6" t="str">
        <f t="shared" si="21"/>
        <v/>
      </c>
      <c r="I323" s="6" t="str">
        <f t="shared" si="22"/>
        <v/>
      </c>
    </row>
    <row r="324" spans="1:9" hidden="1" x14ac:dyDescent="0.3">
      <c r="A324" s="16" t="str">
        <f t="shared" si="19"/>
        <v/>
      </c>
      <c r="D324" s="14" t="str">
        <f t="shared" si="20"/>
        <v/>
      </c>
      <c r="E324" s="6" t="str">
        <f>IF(C324="","",PMT(INPUTS!$B$5,INPUTS!$B$6,-INPUTS!$B$3,0,0))</f>
        <v/>
      </c>
      <c r="F324" s="6" t="str">
        <f>IF(C324="","",IPMT(INPUTS!$B$5,C324,INPUTS!$B$6,-INPUTS!$B$3,0,0))</f>
        <v/>
      </c>
      <c r="G324" s="6" t="str">
        <f>IF(C324="","",PPMT(INPUTS!$B$5,C324,INPUTS!$B$6,-INPUTS!$B$3,0,0))</f>
        <v/>
      </c>
      <c r="H324" s="6" t="str">
        <f t="shared" si="21"/>
        <v/>
      </c>
      <c r="I324" s="6" t="str">
        <f t="shared" si="22"/>
        <v/>
      </c>
    </row>
    <row r="325" spans="1:9" hidden="1" x14ac:dyDescent="0.3">
      <c r="A325" s="16" t="str">
        <f t="shared" si="19"/>
        <v/>
      </c>
      <c r="D325" s="14" t="str">
        <f t="shared" si="20"/>
        <v/>
      </c>
      <c r="E325" s="6" t="str">
        <f>IF(C325="","",PMT(INPUTS!$B$5,INPUTS!$B$6,-INPUTS!$B$3,0,0))</f>
        <v/>
      </c>
      <c r="F325" s="6" t="str">
        <f>IF(C325="","",IPMT(INPUTS!$B$5,C325,INPUTS!$B$6,-INPUTS!$B$3,0,0))</f>
        <v/>
      </c>
      <c r="G325" s="6" t="str">
        <f>IF(C325="","",PPMT(INPUTS!$B$5,C325,INPUTS!$B$6,-INPUTS!$B$3,0,0))</f>
        <v/>
      </c>
      <c r="H325" s="6" t="str">
        <f t="shared" si="21"/>
        <v/>
      </c>
      <c r="I325" s="6" t="str">
        <f t="shared" si="22"/>
        <v/>
      </c>
    </row>
    <row r="326" spans="1:9" hidden="1" x14ac:dyDescent="0.3">
      <c r="A326" s="16" t="str">
        <f t="shared" si="19"/>
        <v/>
      </c>
      <c r="D326" s="14" t="str">
        <f t="shared" si="20"/>
        <v/>
      </c>
      <c r="E326" s="6" t="str">
        <f>IF(C326="","",PMT(INPUTS!$B$5,INPUTS!$B$6,-INPUTS!$B$3,0,0))</f>
        <v/>
      </c>
      <c r="F326" s="6" t="str">
        <f>IF(C326="","",IPMT(INPUTS!$B$5,C326,INPUTS!$B$6,-INPUTS!$B$3,0,0))</f>
        <v/>
      </c>
      <c r="G326" s="6" t="str">
        <f>IF(C326="","",PPMT(INPUTS!$B$5,C326,INPUTS!$B$6,-INPUTS!$B$3,0,0))</f>
        <v/>
      </c>
      <c r="H326" s="6" t="str">
        <f t="shared" si="21"/>
        <v/>
      </c>
      <c r="I326" s="6" t="str">
        <f t="shared" si="22"/>
        <v/>
      </c>
    </row>
    <row r="327" spans="1:9" hidden="1" x14ac:dyDescent="0.3">
      <c r="A327" s="16" t="str">
        <f t="shared" si="19"/>
        <v/>
      </c>
      <c r="D327" s="14" t="str">
        <f t="shared" si="20"/>
        <v/>
      </c>
      <c r="E327" s="6" t="str">
        <f>IF(C327="","",PMT(INPUTS!$B$5,INPUTS!$B$6,-INPUTS!$B$3,0,0))</f>
        <v/>
      </c>
      <c r="F327" s="6" t="str">
        <f>IF(C327="","",IPMT(INPUTS!$B$5,C327,INPUTS!$B$6,-INPUTS!$B$3,0,0))</f>
        <v/>
      </c>
      <c r="G327" s="6" t="str">
        <f>IF(C327="","",PPMT(INPUTS!$B$5,C327,INPUTS!$B$6,-INPUTS!$B$3,0,0))</f>
        <v/>
      </c>
      <c r="H327" s="6" t="str">
        <f t="shared" si="21"/>
        <v/>
      </c>
      <c r="I327" s="6" t="str">
        <f t="shared" si="22"/>
        <v/>
      </c>
    </row>
    <row r="328" spans="1:9" hidden="1" x14ac:dyDescent="0.3">
      <c r="A328" s="16" t="str">
        <f t="shared" si="19"/>
        <v/>
      </c>
      <c r="D328" s="14" t="str">
        <f t="shared" si="20"/>
        <v/>
      </c>
      <c r="E328" s="6" t="str">
        <f>IF(C328="","",PMT(INPUTS!$B$5,INPUTS!$B$6,-INPUTS!$B$3,0,0))</f>
        <v/>
      </c>
      <c r="F328" s="6" t="str">
        <f>IF(C328="","",IPMT(INPUTS!$B$5,C328,INPUTS!$B$6,-INPUTS!$B$3,0,0))</f>
        <v/>
      </c>
      <c r="G328" s="6" t="str">
        <f>IF(C328="","",PPMT(INPUTS!$B$5,C328,INPUTS!$B$6,-INPUTS!$B$3,0,0))</f>
        <v/>
      </c>
      <c r="H328" s="6" t="str">
        <f t="shared" si="21"/>
        <v/>
      </c>
      <c r="I328" s="6" t="str">
        <f t="shared" si="22"/>
        <v/>
      </c>
    </row>
    <row r="329" spans="1:9" hidden="1" x14ac:dyDescent="0.3">
      <c r="A329" s="16" t="str">
        <f t="shared" si="19"/>
        <v/>
      </c>
      <c r="D329" s="14" t="str">
        <f t="shared" si="20"/>
        <v/>
      </c>
      <c r="E329" s="6" t="str">
        <f>IF(C329="","",PMT(INPUTS!$B$5,INPUTS!$B$6,-INPUTS!$B$3,0,0))</f>
        <v/>
      </c>
      <c r="F329" s="6" t="str">
        <f>IF(C329="","",IPMT(INPUTS!$B$5,C329,INPUTS!$B$6,-INPUTS!$B$3,0,0))</f>
        <v/>
      </c>
      <c r="G329" s="6" t="str">
        <f>IF(C329="","",PPMT(INPUTS!$B$5,C329,INPUTS!$B$6,-INPUTS!$B$3,0,0))</f>
        <v/>
      </c>
      <c r="H329" s="6" t="str">
        <f t="shared" si="21"/>
        <v/>
      </c>
      <c r="I329" s="6" t="str">
        <f t="shared" si="22"/>
        <v/>
      </c>
    </row>
    <row r="330" spans="1:9" hidden="1" x14ac:dyDescent="0.3">
      <c r="A330" s="16" t="str">
        <f t="shared" si="19"/>
        <v/>
      </c>
      <c r="D330" s="14" t="str">
        <f t="shared" si="20"/>
        <v/>
      </c>
      <c r="E330" s="6" t="str">
        <f>IF(C330="","",PMT(INPUTS!$B$5,INPUTS!$B$6,-INPUTS!$B$3,0,0))</f>
        <v/>
      </c>
      <c r="F330" s="6" t="str">
        <f>IF(C330="","",IPMT(INPUTS!$B$5,C330,INPUTS!$B$6,-INPUTS!$B$3,0,0))</f>
        <v/>
      </c>
      <c r="G330" s="6" t="str">
        <f>IF(C330="","",PPMT(INPUTS!$B$5,C330,INPUTS!$B$6,-INPUTS!$B$3,0,0))</f>
        <v/>
      </c>
      <c r="H330" s="6" t="str">
        <f t="shared" si="21"/>
        <v/>
      </c>
      <c r="I330" s="6" t="str">
        <f t="shared" si="22"/>
        <v/>
      </c>
    </row>
    <row r="331" spans="1:9" hidden="1" x14ac:dyDescent="0.3">
      <c r="A331" s="16" t="str">
        <f t="shared" si="19"/>
        <v/>
      </c>
      <c r="D331" s="14" t="str">
        <f t="shared" si="20"/>
        <v/>
      </c>
      <c r="E331" s="6" t="str">
        <f>IF(C331="","",PMT(INPUTS!$B$5,INPUTS!$B$6,-INPUTS!$B$3,0,0))</f>
        <v/>
      </c>
      <c r="F331" s="6" t="str">
        <f>IF(C331="","",IPMT(INPUTS!$B$5,C331,INPUTS!$B$6,-INPUTS!$B$3,0,0))</f>
        <v/>
      </c>
      <c r="G331" s="6" t="str">
        <f>IF(C331="","",PPMT(INPUTS!$B$5,C331,INPUTS!$B$6,-INPUTS!$B$3,0,0))</f>
        <v/>
      </c>
      <c r="H331" s="6" t="str">
        <f t="shared" si="21"/>
        <v/>
      </c>
      <c r="I331" s="6" t="str">
        <f t="shared" si="22"/>
        <v/>
      </c>
    </row>
    <row r="332" spans="1:9" hidden="1" x14ac:dyDescent="0.3">
      <c r="A332" s="16" t="str">
        <f t="shared" si="19"/>
        <v/>
      </c>
      <c r="D332" s="14" t="str">
        <f t="shared" si="20"/>
        <v/>
      </c>
      <c r="E332" s="6" t="str">
        <f>IF(C332="","",PMT(INPUTS!$B$5,INPUTS!$B$6,-INPUTS!$B$3,0,0))</f>
        <v/>
      </c>
      <c r="F332" s="6" t="str">
        <f>IF(C332="","",IPMT(INPUTS!$B$5,C332,INPUTS!$B$6,-INPUTS!$B$3,0,0))</f>
        <v/>
      </c>
      <c r="G332" s="6" t="str">
        <f>IF(C332="","",PPMT(INPUTS!$B$5,C332,INPUTS!$B$6,-INPUTS!$B$3,0,0))</f>
        <v/>
      </c>
      <c r="H332" s="6" t="str">
        <f t="shared" si="21"/>
        <v/>
      </c>
      <c r="I332" s="6" t="str">
        <f t="shared" si="22"/>
        <v/>
      </c>
    </row>
    <row r="333" spans="1:9" hidden="1" x14ac:dyDescent="0.3">
      <c r="A333" s="16" t="str">
        <f t="shared" si="19"/>
        <v/>
      </c>
      <c r="D333" s="14" t="str">
        <f t="shared" si="20"/>
        <v/>
      </c>
      <c r="E333" s="6" t="str">
        <f>IF(C333="","",PMT(INPUTS!$B$5,INPUTS!$B$6,-INPUTS!$B$3,0,0))</f>
        <v/>
      </c>
      <c r="F333" s="6" t="str">
        <f>IF(C333="","",IPMT(INPUTS!$B$5,C333,INPUTS!$B$6,-INPUTS!$B$3,0,0))</f>
        <v/>
      </c>
      <c r="G333" s="6" t="str">
        <f>IF(C333="","",PPMT(INPUTS!$B$5,C333,INPUTS!$B$6,-INPUTS!$B$3,0,0))</f>
        <v/>
      </c>
      <c r="H333" s="6" t="str">
        <f t="shared" si="21"/>
        <v/>
      </c>
      <c r="I333" s="6" t="str">
        <f t="shared" si="22"/>
        <v/>
      </c>
    </row>
    <row r="334" spans="1:9" hidden="1" x14ac:dyDescent="0.3">
      <c r="A334" s="16" t="str">
        <f t="shared" si="19"/>
        <v/>
      </c>
      <c r="D334" s="14" t="str">
        <f t="shared" si="20"/>
        <v/>
      </c>
      <c r="E334" s="6" t="str">
        <f>IF(C334="","",PMT(INPUTS!$B$5,INPUTS!$B$6,-INPUTS!$B$3,0,0))</f>
        <v/>
      </c>
      <c r="F334" s="6" t="str">
        <f>IF(C334="","",IPMT(INPUTS!$B$5,C334,INPUTS!$B$6,-INPUTS!$B$3,0,0))</f>
        <v/>
      </c>
      <c r="G334" s="6" t="str">
        <f>IF(C334="","",PPMT(INPUTS!$B$5,C334,INPUTS!$B$6,-INPUTS!$B$3,0,0))</f>
        <v/>
      </c>
      <c r="H334" s="6" t="str">
        <f t="shared" si="21"/>
        <v/>
      </c>
      <c r="I334" s="6" t="str">
        <f t="shared" si="22"/>
        <v/>
      </c>
    </row>
    <row r="335" spans="1:9" hidden="1" x14ac:dyDescent="0.3">
      <c r="A335" s="16" t="str">
        <f t="shared" si="19"/>
        <v/>
      </c>
      <c r="D335" s="14" t="str">
        <f t="shared" si="20"/>
        <v/>
      </c>
      <c r="E335" s="6" t="str">
        <f>IF(C335="","",PMT(INPUTS!$B$5,INPUTS!$B$6,-INPUTS!$B$3,0,0))</f>
        <v/>
      </c>
      <c r="F335" s="6" t="str">
        <f>IF(C335="","",IPMT(INPUTS!$B$5,C335,INPUTS!$B$6,-INPUTS!$B$3,0,0))</f>
        <v/>
      </c>
      <c r="G335" s="6" t="str">
        <f>IF(C335="","",PPMT(INPUTS!$B$5,C335,INPUTS!$B$6,-INPUTS!$B$3,0,0))</f>
        <v/>
      </c>
      <c r="H335" s="6" t="str">
        <f t="shared" si="21"/>
        <v/>
      </c>
      <c r="I335" s="6" t="str">
        <f t="shared" si="22"/>
        <v/>
      </c>
    </row>
    <row r="336" spans="1:9" hidden="1" x14ac:dyDescent="0.3">
      <c r="A336" s="16" t="str">
        <f t="shared" si="19"/>
        <v/>
      </c>
      <c r="D336" s="14" t="str">
        <f t="shared" si="20"/>
        <v/>
      </c>
      <c r="E336" s="6" t="str">
        <f>IF(C336="","",PMT(INPUTS!$B$5,INPUTS!$B$6,-INPUTS!$B$3,0,0))</f>
        <v/>
      </c>
      <c r="F336" s="6" t="str">
        <f>IF(C336="","",IPMT(INPUTS!$B$5,C336,INPUTS!$B$6,-INPUTS!$B$3,0,0))</f>
        <v/>
      </c>
      <c r="G336" s="6" t="str">
        <f>IF(C336="","",PPMT(INPUTS!$B$5,C336,INPUTS!$B$6,-INPUTS!$B$3,0,0))</f>
        <v/>
      </c>
      <c r="H336" s="6" t="str">
        <f t="shared" si="21"/>
        <v/>
      </c>
      <c r="I336" s="6" t="str">
        <f t="shared" si="22"/>
        <v/>
      </c>
    </row>
    <row r="337" spans="1:9" hidden="1" x14ac:dyDescent="0.3">
      <c r="A337" s="16" t="str">
        <f t="shared" si="19"/>
        <v/>
      </c>
      <c r="D337" s="14" t="str">
        <f t="shared" si="20"/>
        <v/>
      </c>
      <c r="E337" s="6" t="str">
        <f>IF(C337="","",PMT(INPUTS!$B$5,INPUTS!$B$6,-INPUTS!$B$3,0,0))</f>
        <v/>
      </c>
      <c r="F337" s="6" t="str">
        <f>IF(C337="","",IPMT(INPUTS!$B$5,C337,INPUTS!$B$6,-INPUTS!$B$3,0,0))</f>
        <v/>
      </c>
      <c r="G337" s="6" t="str">
        <f>IF(C337="","",PPMT(INPUTS!$B$5,C337,INPUTS!$B$6,-INPUTS!$B$3,0,0))</f>
        <v/>
      </c>
      <c r="H337" s="6" t="str">
        <f t="shared" si="21"/>
        <v/>
      </c>
      <c r="I337" s="6" t="str">
        <f t="shared" si="22"/>
        <v/>
      </c>
    </row>
    <row r="338" spans="1:9" hidden="1" x14ac:dyDescent="0.3">
      <c r="A338" s="16" t="str">
        <f t="shared" ref="A338:A401" si="23">IF(D338="","",YEAR(D338))</f>
        <v/>
      </c>
      <c r="D338" s="14" t="str">
        <f t="shared" si="20"/>
        <v/>
      </c>
      <c r="E338" s="6" t="str">
        <f>IF(C338="","",PMT(INPUTS!$B$5,INPUTS!$B$6,-INPUTS!$B$3,0,0))</f>
        <v/>
      </c>
      <c r="F338" s="6" t="str">
        <f>IF(C338="","",IPMT(INPUTS!$B$5,C338,INPUTS!$B$6,-INPUTS!$B$3,0,0))</f>
        <v/>
      </c>
      <c r="G338" s="6" t="str">
        <f>IF(C338="","",PPMT(INPUTS!$B$5,C338,INPUTS!$B$6,-INPUTS!$B$3,0,0))</f>
        <v/>
      </c>
      <c r="H338" s="6" t="str">
        <f t="shared" si="21"/>
        <v/>
      </c>
      <c r="I338" s="6" t="str">
        <f t="shared" si="22"/>
        <v/>
      </c>
    </row>
    <row r="339" spans="1:9" hidden="1" x14ac:dyDescent="0.3">
      <c r="A339" s="16" t="str">
        <f t="shared" si="23"/>
        <v/>
      </c>
      <c r="D339" s="14" t="str">
        <f t="shared" si="20"/>
        <v/>
      </c>
      <c r="E339" s="6" t="str">
        <f>IF(C339="","",PMT(INPUTS!$B$5,INPUTS!$B$6,-INPUTS!$B$3,0,0))</f>
        <v/>
      </c>
      <c r="F339" s="6" t="str">
        <f>IF(C339="","",IPMT(INPUTS!$B$5,C339,INPUTS!$B$6,-INPUTS!$B$3,0,0))</f>
        <v/>
      </c>
      <c r="G339" s="6" t="str">
        <f>IF(C339="","",PPMT(INPUTS!$B$5,C339,INPUTS!$B$6,-INPUTS!$B$3,0,0))</f>
        <v/>
      </c>
      <c r="H339" s="6" t="str">
        <f t="shared" si="21"/>
        <v/>
      </c>
      <c r="I339" s="6" t="str">
        <f t="shared" si="22"/>
        <v/>
      </c>
    </row>
    <row r="340" spans="1:9" hidden="1" x14ac:dyDescent="0.3">
      <c r="A340" s="16" t="str">
        <f t="shared" si="23"/>
        <v/>
      </c>
      <c r="D340" s="14" t="str">
        <f t="shared" ref="D340:D403" si="24">IF(C339="","",DATE(YEAR($D339),MONTH($D339)+1,DAY($D339)))</f>
        <v/>
      </c>
      <c r="E340" s="6" t="str">
        <f>IF(C340="","",PMT(INPUTS!$B$5,INPUTS!$B$6,-INPUTS!$B$3,0,0))</f>
        <v/>
      </c>
      <c r="F340" s="6" t="str">
        <f>IF(C340="","",IPMT(INPUTS!$B$5,C340,INPUTS!$B$6,-INPUTS!$B$3,0,0))</f>
        <v/>
      </c>
      <c r="G340" s="6" t="str">
        <f>IF(C340="","",PPMT(INPUTS!$B$5,C340,INPUTS!$B$6,-INPUTS!$B$3,0,0))</f>
        <v/>
      </c>
      <c r="H340" s="6" t="str">
        <f t="shared" ref="H340:H403" si="25">I339</f>
        <v/>
      </c>
      <c r="I340" s="6" t="str">
        <f t="shared" si="22"/>
        <v/>
      </c>
    </row>
    <row r="341" spans="1:9" hidden="1" x14ac:dyDescent="0.3">
      <c r="A341" s="16" t="str">
        <f t="shared" si="23"/>
        <v/>
      </c>
      <c r="D341" s="14" t="str">
        <f t="shared" si="24"/>
        <v/>
      </c>
      <c r="E341" s="6" t="str">
        <f>IF(C341="","",PMT(INPUTS!$B$5,INPUTS!$B$6,-INPUTS!$B$3,0,0))</f>
        <v/>
      </c>
      <c r="F341" s="6" t="str">
        <f>IF(C341="","",IPMT(INPUTS!$B$5,C341,INPUTS!$B$6,-INPUTS!$B$3,0,0))</f>
        <v/>
      </c>
      <c r="G341" s="6" t="str">
        <f>IF(C341="","",PPMT(INPUTS!$B$5,C341,INPUTS!$B$6,-INPUTS!$B$3,0,0))</f>
        <v/>
      </c>
      <c r="H341" s="6" t="str">
        <f t="shared" si="25"/>
        <v/>
      </c>
      <c r="I341" s="6" t="str">
        <f t="shared" si="22"/>
        <v/>
      </c>
    </row>
    <row r="342" spans="1:9" hidden="1" x14ac:dyDescent="0.3">
      <c r="A342" s="16" t="str">
        <f t="shared" si="23"/>
        <v/>
      </c>
      <c r="D342" s="14" t="str">
        <f t="shared" si="24"/>
        <v/>
      </c>
      <c r="E342" s="6" t="str">
        <f>IF(C342="","",PMT(INPUTS!$B$5,INPUTS!$B$6,-INPUTS!$B$3,0,0))</f>
        <v/>
      </c>
      <c r="F342" s="6" t="str">
        <f>IF(C342="","",IPMT(INPUTS!$B$5,C342,INPUTS!$B$6,-INPUTS!$B$3,0,0))</f>
        <v/>
      </c>
      <c r="G342" s="6" t="str">
        <f>IF(C342="","",PPMT(INPUTS!$B$5,C342,INPUTS!$B$6,-INPUTS!$B$3,0,0))</f>
        <v/>
      </c>
      <c r="H342" s="6" t="str">
        <f t="shared" si="25"/>
        <v/>
      </c>
      <c r="I342" s="6" t="str">
        <f t="shared" si="22"/>
        <v/>
      </c>
    </row>
    <row r="343" spans="1:9" hidden="1" x14ac:dyDescent="0.3">
      <c r="A343" s="16" t="str">
        <f t="shared" si="23"/>
        <v/>
      </c>
      <c r="D343" s="14" t="str">
        <f t="shared" si="24"/>
        <v/>
      </c>
      <c r="E343" s="6" t="str">
        <f>IF(C343="","",PMT(INPUTS!$B$5,INPUTS!$B$6,-INPUTS!$B$3,0,0))</f>
        <v/>
      </c>
      <c r="F343" s="6" t="str">
        <f>IF(C343="","",IPMT(INPUTS!$B$5,C343,INPUTS!$B$6,-INPUTS!$B$3,0,0))</f>
        <v/>
      </c>
      <c r="G343" s="6" t="str">
        <f>IF(C343="","",PPMT(INPUTS!$B$5,C343,INPUTS!$B$6,-INPUTS!$B$3,0,0))</f>
        <v/>
      </c>
      <c r="H343" s="6" t="str">
        <f t="shared" si="25"/>
        <v/>
      </c>
      <c r="I343" s="6" t="str">
        <f t="shared" si="22"/>
        <v/>
      </c>
    </row>
    <row r="344" spans="1:9" hidden="1" x14ac:dyDescent="0.3">
      <c r="A344" s="16" t="str">
        <f t="shared" si="23"/>
        <v/>
      </c>
      <c r="D344" s="14" t="str">
        <f t="shared" si="24"/>
        <v/>
      </c>
      <c r="E344" s="6" t="str">
        <f>IF(C344="","",PMT(INPUTS!$B$5,INPUTS!$B$6,-INPUTS!$B$3,0,0))</f>
        <v/>
      </c>
      <c r="F344" s="6" t="str">
        <f>IF(C344="","",IPMT(INPUTS!$B$5,C344,INPUTS!$B$6,-INPUTS!$B$3,0,0))</f>
        <v/>
      </c>
      <c r="G344" s="6" t="str">
        <f>IF(C344="","",PPMT(INPUTS!$B$5,C344,INPUTS!$B$6,-INPUTS!$B$3,0,0))</f>
        <v/>
      </c>
      <c r="H344" s="6" t="str">
        <f t="shared" si="25"/>
        <v/>
      </c>
      <c r="I344" s="6" t="str">
        <f t="shared" si="22"/>
        <v/>
      </c>
    </row>
    <row r="345" spans="1:9" hidden="1" x14ac:dyDescent="0.3">
      <c r="A345" s="16" t="str">
        <f t="shared" si="23"/>
        <v/>
      </c>
      <c r="D345" s="14" t="str">
        <f t="shared" si="24"/>
        <v/>
      </c>
      <c r="E345" s="6" t="str">
        <f>IF(C345="","",PMT(INPUTS!$B$5,INPUTS!$B$6,-INPUTS!$B$3,0,0))</f>
        <v/>
      </c>
      <c r="F345" s="6" t="str">
        <f>IF(C345="","",IPMT(INPUTS!$B$5,C345,INPUTS!$B$6,-INPUTS!$B$3,0,0))</f>
        <v/>
      </c>
      <c r="G345" s="6" t="str">
        <f>IF(C345="","",PPMT(INPUTS!$B$5,C345,INPUTS!$B$6,-INPUTS!$B$3,0,0))</f>
        <v/>
      </c>
      <c r="H345" s="6" t="str">
        <f t="shared" si="25"/>
        <v/>
      </c>
      <c r="I345" s="6" t="str">
        <f t="shared" si="22"/>
        <v/>
      </c>
    </row>
    <row r="346" spans="1:9" hidden="1" x14ac:dyDescent="0.3">
      <c r="A346" s="16" t="str">
        <f t="shared" si="23"/>
        <v/>
      </c>
      <c r="D346" s="14" t="str">
        <f t="shared" si="24"/>
        <v/>
      </c>
      <c r="E346" s="6" t="str">
        <f>IF(C346="","",PMT(INPUTS!$B$5,INPUTS!$B$6,-INPUTS!$B$3,0,0))</f>
        <v/>
      </c>
      <c r="F346" s="6" t="str">
        <f>IF(C346="","",IPMT(INPUTS!$B$5,C346,INPUTS!$B$6,-INPUTS!$B$3,0,0))</f>
        <v/>
      </c>
      <c r="G346" s="6" t="str">
        <f>IF(C346="","",PPMT(INPUTS!$B$5,C346,INPUTS!$B$6,-INPUTS!$B$3,0,0))</f>
        <v/>
      </c>
      <c r="H346" s="6" t="str">
        <f t="shared" si="25"/>
        <v/>
      </c>
      <c r="I346" s="6" t="str">
        <f t="shared" si="22"/>
        <v/>
      </c>
    </row>
    <row r="347" spans="1:9" hidden="1" x14ac:dyDescent="0.3">
      <c r="A347" s="16" t="str">
        <f t="shared" si="23"/>
        <v/>
      </c>
      <c r="D347" s="14" t="str">
        <f t="shared" si="24"/>
        <v/>
      </c>
      <c r="E347" s="6" t="str">
        <f>IF(C347="","",PMT(INPUTS!$B$5,INPUTS!$B$6,-INPUTS!$B$3,0,0))</f>
        <v/>
      </c>
      <c r="F347" s="6" t="str">
        <f>IF(C347="","",IPMT(INPUTS!$B$5,C347,INPUTS!$B$6,-INPUTS!$B$3,0,0))</f>
        <v/>
      </c>
      <c r="G347" s="6" t="str">
        <f>IF(C347="","",PPMT(INPUTS!$B$5,C347,INPUTS!$B$6,-INPUTS!$B$3,0,0))</f>
        <v/>
      </c>
      <c r="H347" s="6" t="str">
        <f t="shared" si="25"/>
        <v/>
      </c>
      <c r="I347" s="6" t="str">
        <f t="shared" si="22"/>
        <v/>
      </c>
    </row>
    <row r="348" spans="1:9" hidden="1" x14ac:dyDescent="0.3">
      <c r="A348" s="16" t="str">
        <f t="shared" si="23"/>
        <v/>
      </c>
      <c r="D348" s="14" t="str">
        <f t="shared" si="24"/>
        <v/>
      </c>
      <c r="E348" s="6" t="str">
        <f>IF(C348="","",PMT(INPUTS!$B$5,INPUTS!$B$6,-INPUTS!$B$3,0,0))</f>
        <v/>
      </c>
      <c r="F348" s="6" t="str">
        <f>IF(C348="","",IPMT(INPUTS!$B$5,C348,INPUTS!$B$6,-INPUTS!$B$3,0,0))</f>
        <v/>
      </c>
      <c r="G348" s="6" t="str">
        <f>IF(C348="","",PPMT(INPUTS!$B$5,C348,INPUTS!$B$6,-INPUTS!$B$3,0,0))</f>
        <v/>
      </c>
      <c r="H348" s="6" t="str">
        <f t="shared" si="25"/>
        <v/>
      </c>
      <c r="I348" s="6" t="str">
        <f t="shared" si="22"/>
        <v/>
      </c>
    </row>
    <row r="349" spans="1:9" hidden="1" x14ac:dyDescent="0.3">
      <c r="A349" s="16" t="str">
        <f t="shared" si="23"/>
        <v/>
      </c>
      <c r="D349" s="14" t="str">
        <f t="shared" si="24"/>
        <v/>
      </c>
      <c r="E349" s="6" t="str">
        <f>IF(C349="","",PMT(INPUTS!$B$5,INPUTS!$B$6,-INPUTS!$B$3,0,0))</f>
        <v/>
      </c>
      <c r="F349" s="6" t="str">
        <f>IF(C349="","",IPMT(INPUTS!$B$5,C349,INPUTS!$B$6,-INPUTS!$B$3,0,0))</f>
        <v/>
      </c>
      <c r="G349" s="6" t="str">
        <f>IF(C349="","",PPMT(INPUTS!$B$5,C349,INPUTS!$B$6,-INPUTS!$B$3,0,0))</f>
        <v/>
      </c>
      <c r="H349" s="6" t="str">
        <f t="shared" si="25"/>
        <v/>
      </c>
      <c r="I349" s="6" t="str">
        <f t="shared" si="22"/>
        <v/>
      </c>
    </row>
    <row r="350" spans="1:9" hidden="1" x14ac:dyDescent="0.3">
      <c r="A350" s="16" t="str">
        <f t="shared" si="23"/>
        <v/>
      </c>
      <c r="D350" s="14" t="str">
        <f t="shared" si="24"/>
        <v/>
      </c>
      <c r="E350" s="6" t="str">
        <f>IF(C350="","",PMT(INPUTS!$B$5,INPUTS!$B$6,-INPUTS!$B$3,0,0))</f>
        <v/>
      </c>
      <c r="F350" s="6" t="str">
        <f>IF(C350="","",IPMT(INPUTS!$B$5,C350,INPUTS!$B$6,-INPUTS!$B$3,0,0))</f>
        <v/>
      </c>
      <c r="G350" s="6" t="str">
        <f>IF(C350="","",PPMT(INPUTS!$B$5,C350,INPUTS!$B$6,-INPUTS!$B$3,0,0))</f>
        <v/>
      </c>
      <c r="H350" s="6" t="str">
        <f t="shared" si="25"/>
        <v/>
      </c>
      <c r="I350" s="6" t="str">
        <f t="shared" si="22"/>
        <v/>
      </c>
    </row>
    <row r="351" spans="1:9" hidden="1" x14ac:dyDescent="0.3">
      <c r="A351" s="16" t="str">
        <f t="shared" si="23"/>
        <v/>
      </c>
      <c r="D351" s="14" t="str">
        <f t="shared" si="24"/>
        <v/>
      </c>
      <c r="E351" s="6" t="str">
        <f>IF(C351="","",PMT(INPUTS!$B$5,INPUTS!$B$6,-INPUTS!$B$3,0,0))</f>
        <v/>
      </c>
      <c r="F351" s="6" t="str">
        <f>IF(C351="","",IPMT(INPUTS!$B$5,C351,INPUTS!$B$6,-INPUTS!$B$3,0,0))</f>
        <v/>
      </c>
      <c r="G351" s="6" t="str">
        <f>IF(C351="","",PPMT(INPUTS!$B$5,C351,INPUTS!$B$6,-INPUTS!$B$3,0,0))</f>
        <v/>
      </c>
      <c r="H351" s="6" t="str">
        <f t="shared" si="25"/>
        <v/>
      </c>
      <c r="I351" s="6" t="str">
        <f t="shared" si="22"/>
        <v/>
      </c>
    </row>
    <row r="352" spans="1:9" hidden="1" x14ac:dyDescent="0.3">
      <c r="A352" s="16" t="str">
        <f t="shared" si="23"/>
        <v/>
      </c>
      <c r="D352" s="14" t="str">
        <f t="shared" si="24"/>
        <v/>
      </c>
      <c r="E352" s="6" t="str">
        <f>IF(C352="","",PMT(INPUTS!$B$5,INPUTS!$B$6,-INPUTS!$B$3,0,0))</f>
        <v/>
      </c>
      <c r="F352" s="6" t="str">
        <f>IF(C352="","",IPMT(INPUTS!$B$5,C352,INPUTS!$B$6,-INPUTS!$B$3,0,0))</f>
        <v/>
      </c>
      <c r="G352" s="6" t="str">
        <f>IF(C352="","",PPMT(INPUTS!$B$5,C352,INPUTS!$B$6,-INPUTS!$B$3,0,0))</f>
        <v/>
      </c>
      <c r="H352" s="6" t="str">
        <f t="shared" si="25"/>
        <v/>
      </c>
      <c r="I352" s="6" t="str">
        <f t="shared" si="22"/>
        <v/>
      </c>
    </row>
    <row r="353" spans="1:9" hidden="1" x14ac:dyDescent="0.3">
      <c r="A353" s="16" t="str">
        <f t="shared" si="23"/>
        <v/>
      </c>
      <c r="D353" s="14" t="str">
        <f t="shared" si="24"/>
        <v/>
      </c>
      <c r="E353" s="6" t="str">
        <f>IF(C353="","",PMT(INPUTS!$B$5,INPUTS!$B$6,-INPUTS!$B$3,0,0))</f>
        <v/>
      </c>
      <c r="F353" s="6" t="str">
        <f>IF(C353="","",IPMT(INPUTS!$B$5,C353,INPUTS!$B$6,-INPUTS!$B$3,0,0))</f>
        <v/>
      </c>
      <c r="G353" s="6" t="str">
        <f>IF(C353="","",PPMT(INPUTS!$B$5,C353,INPUTS!$B$6,-INPUTS!$B$3,0,0))</f>
        <v/>
      </c>
      <c r="H353" s="6" t="str">
        <f t="shared" si="25"/>
        <v/>
      </c>
      <c r="I353" s="6" t="str">
        <f t="shared" si="22"/>
        <v/>
      </c>
    </row>
    <row r="354" spans="1:9" hidden="1" x14ac:dyDescent="0.3">
      <c r="A354" s="16" t="str">
        <f t="shared" si="23"/>
        <v/>
      </c>
      <c r="D354" s="14" t="str">
        <f t="shared" si="24"/>
        <v/>
      </c>
      <c r="E354" s="6" t="str">
        <f>IF(C354="","",PMT(INPUTS!$B$5,INPUTS!$B$6,-INPUTS!$B$3,0,0))</f>
        <v/>
      </c>
      <c r="F354" s="6" t="str">
        <f>IF(C354="","",IPMT(INPUTS!$B$5,C354,INPUTS!$B$6,-INPUTS!$B$3,0,0))</f>
        <v/>
      </c>
      <c r="G354" s="6" t="str">
        <f>IF(C354="","",PPMT(INPUTS!$B$5,C354,INPUTS!$B$6,-INPUTS!$B$3,0,0))</f>
        <v/>
      </c>
      <c r="H354" s="6" t="str">
        <f t="shared" si="25"/>
        <v/>
      </c>
      <c r="I354" s="6" t="str">
        <f t="shared" si="22"/>
        <v/>
      </c>
    </row>
    <row r="355" spans="1:9" hidden="1" x14ac:dyDescent="0.3">
      <c r="A355" s="16" t="str">
        <f t="shared" si="23"/>
        <v/>
      </c>
      <c r="D355" s="14" t="str">
        <f t="shared" si="24"/>
        <v/>
      </c>
      <c r="E355" s="6" t="str">
        <f>IF(C355="","",PMT(INPUTS!$B$5,INPUTS!$B$6,-INPUTS!$B$3,0,0))</f>
        <v/>
      </c>
      <c r="F355" s="6" t="str">
        <f>IF(C355="","",IPMT(INPUTS!$B$5,C355,INPUTS!$B$6,-INPUTS!$B$3,0,0))</f>
        <v/>
      </c>
      <c r="G355" s="6" t="str">
        <f>IF(C355="","",PPMT(INPUTS!$B$5,C355,INPUTS!$B$6,-INPUTS!$B$3,0,0))</f>
        <v/>
      </c>
      <c r="H355" s="6" t="str">
        <f t="shared" si="25"/>
        <v/>
      </c>
      <c r="I355" s="6" t="str">
        <f t="shared" si="22"/>
        <v/>
      </c>
    </row>
    <row r="356" spans="1:9" hidden="1" x14ac:dyDescent="0.3">
      <c r="A356" s="16" t="str">
        <f t="shared" si="23"/>
        <v/>
      </c>
      <c r="D356" s="14" t="str">
        <f t="shared" si="24"/>
        <v/>
      </c>
      <c r="E356" s="6" t="str">
        <f>IF(C356="","",PMT(INPUTS!$B$5,INPUTS!$B$6,-INPUTS!$B$3,0,0))</f>
        <v/>
      </c>
      <c r="F356" s="6" t="str">
        <f>IF(C356="","",IPMT(INPUTS!$B$5,C356,INPUTS!$B$6,-INPUTS!$B$3,0,0))</f>
        <v/>
      </c>
      <c r="G356" s="6" t="str">
        <f>IF(C356="","",PPMT(INPUTS!$B$5,C356,INPUTS!$B$6,-INPUTS!$B$3,0,0))</f>
        <v/>
      </c>
      <c r="H356" s="6" t="str">
        <f t="shared" si="25"/>
        <v/>
      </c>
      <c r="I356" s="6" t="str">
        <f t="shared" si="22"/>
        <v/>
      </c>
    </row>
    <row r="357" spans="1:9" hidden="1" x14ac:dyDescent="0.3">
      <c r="A357" s="16" t="str">
        <f t="shared" si="23"/>
        <v/>
      </c>
      <c r="D357" s="14" t="str">
        <f t="shared" si="24"/>
        <v/>
      </c>
      <c r="E357" s="6" t="str">
        <f>IF(C357="","",PMT(INPUTS!$B$5,INPUTS!$B$6,-INPUTS!$B$3,0,0))</f>
        <v/>
      </c>
      <c r="F357" s="6" t="str">
        <f>IF(C357="","",IPMT(INPUTS!$B$5,C357,INPUTS!$B$6,-INPUTS!$B$3,0,0))</f>
        <v/>
      </c>
      <c r="G357" s="6" t="str">
        <f>IF(C357="","",PPMT(INPUTS!$B$5,C357,INPUTS!$B$6,-INPUTS!$B$3,0,0))</f>
        <v/>
      </c>
      <c r="H357" s="6" t="str">
        <f t="shared" si="25"/>
        <v/>
      </c>
      <c r="I357" s="6" t="str">
        <f t="shared" si="22"/>
        <v/>
      </c>
    </row>
    <row r="358" spans="1:9" hidden="1" x14ac:dyDescent="0.3">
      <c r="A358" s="16" t="str">
        <f t="shared" si="23"/>
        <v/>
      </c>
      <c r="D358" s="14" t="str">
        <f t="shared" si="24"/>
        <v/>
      </c>
      <c r="E358" s="6" t="str">
        <f>IF(C358="","",PMT(INPUTS!$B$5,INPUTS!$B$6,-INPUTS!$B$3,0,0))</f>
        <v/>
      </c>
      <c r="F358" s="6" t="str">
        <f>IF(C358="","",IPMT(INPUTS!$B$5,C358,INPUTS!$B$6,-INPUTS!$B$3,0,0))</f>
        <v/>
      </c>
      <c r="G358" s="6" t="str">
        <f>IF(C358="","",PPMT(INPUTS!$B$5,C358,INPUTS!$B$6,-INPUTS!$B$3,0,0))</f>
        <v/>
      </c>
      <c r="H358" s="6" t="str">
        <f t="shared" si="25"/>
        <v/>
      </c>
      <c r="I358" s="6" t="str">
        <f t="shared" si="22"/>
        <v/>
      </c>
    </row>
    <row r="359" spans="1:9" hidden="1" x14ac:dyDescent="0.3">
      <c r="A359" s="16" t="str">
        <f t="shared" si="23"/>
        <v/>
      </c>
      <c r="D359" s="14" t="str">
        <f t="shared" si="24"/>
        <v/>
      </c>
      <c r="E359" s="6" t="str">
        <f>IF(C359="","",PMT(INPUTS!$B$5,INPUTS!$B$6,-INPUTS!$B$3,0,0))</f>
        <v/>
      </c>
      <c r="F359" s="6" t="str">
        <f>IF(C359="","",IPMT(INPUTS!$B$5,C359,INPUTS!$B$6,-INPUTS!$B$3,0,0))</f>
        <v/>
      </c>
      <c r="G359" s="6" t="str">
        <f>IF(C359="","",PPMT(INPUTS!$B$5,C359,INPUTS!$B$6,-INPUTS!$B$3,0,0))</f>
        <v/>
      </c>
      <c r="H359" s="6" t="str">
        <f t="shared" si="25"/>
        <v/>
      </c>
      <c r="I359" s="6" t="str">
        <f t="shared" si="22"/>
        <v/>
      </c>
    </row>
    <row r="360" spans="1:9" hidden="1" x14ac:dyDescent="0.3">
      <c r="A360" s="16" t="str">
        <f t="shared" si="23"/>
        <v/>
      </c>
      <c r="D360" s="14" t="str">
        <f t="shared" si="24"/>
        <v/>
      </c>
      <c r="E360" s="6" t="str">
        <f>IF(C360="","",PMT(INPUTS!$B$5,INPUTS!$B$6,-INPUTS!$B$3,0,0))</f>
        <v/>
      </c>
      <c r="F360" s="6" t="str">
        <f>IF(C360="","",IPMT(INPUTS!$B$5,C360,INPUTS!$B$6,-INPUTS!$B$3,0,0))</f>
        <v/>
      </c>
      <c r="G360" s="6" t="str">
        <f>IF(C360="","",PPMT(INPUTS!$B$5,C360,INPUTS!$B$6,-INPUTS!$B$3,0,0))</f>
        <v/>
      </c>
      <c r="H360" s="6" t="str">
        <f t="shared" si="25"/>
        <v/>
      </c>
      <c r="I360" s="6" t="str">
        <f t="shared" si="22"/>
        <v/>
      </c>
    </row>
    <row r="361" spans="1:9" hidden="1" x14ac:dyDescent="0.3">
      <c r="A361" s="16" t="str">
        <f t="shared" si="23"/>
        <v/>
      </c>
      <c r="D361" s="14" t="str">
        <f t="shared" si="24"/>
        <v/>
      </c>
      <c r="E361" s="6" t="str">
        <f>IF(C361="","",PMT(INPUTS!$B$5,INPUTS!$B$6,-INPUTS!$B$3,0,0))</f>
        <v/>
      </c>
      <c r="F361" s="6" t="str">
        <f>IF(C361="","",IPMT(INPUTS!$B$5,C361,INPUTS!$B$6,-INPUTS!$B$3,0,0))</f>
        <v/>
      </c>
      <c r="G361" s="6" t="str">
        <f>IF(C361="","",PPMT(INPUTS!$B$5,C361,INPUTS!$B$6,-INPUTS!$B$3,0,0))</f>
        <v/>
      </c>
      <c r="H361" s="6" t="str">
        <f t="shared" si="25"/>
        <v/>
      </c>
      <c r="I361" s="6" t="str">
        <f t="shared" si="22"/>
        <v/>
      </c>
    </row>
    <row r="362" spans="1:9" hidden="1" x14ac:dyDescent="0.3">
      <c r="A362" s="16" t="str">
        <f t="shared" si="23"/>
        <v/>
      </c>
      <c r="D362" s="14" t="str">
        <f t="shared" si="24"/>
        <v/>
      </c>
      <c r="E362" s="6" t="str">
        <f>IF(C362="","",PMT(INPUTS!$B$5,INPUTS!$B$6,-INPUTS!$B$3,0,0))</f>
        <v/>
      </c>
      <c r="F362" s="6" t="str">
        <f>IF(C362="","",IPMT(INPUTS!$B$5,C362,INPUTS!$B$6,-INPUTS!$B$3,0,0))</f>
        <v/>
      </c>
      <c r="G362" s="6" t="str">
        <f>IF(C362="","",PPMT(INPUTS!$B$5,C362,INPUTS!$B$6,-INPUTS!$B$3,0,0))</f>
        <v/>
      </c>
      <c r="H362" s="6" t="str">
        <f t="shared" si="25"/>
        <v/>
      </c>
      <c r="I362" s="6" t="str">
        <f t="shared" si="22"/>
        <v/>
      </c>
    </row>
    <row r="363" spans="1:9" hidden="1" x14ac:dyDescent="0.3">
      <c r="A363" s="16" t="str">
        <f t="shared" si="23"/>
        <v/>
      </c>
      <c r="D363" s="14" t="str">
        <f t="shared" si="24"/>
        <v/>
      </c>
      <c r="E363" s="6" t="str">
        <f>IF(C363="","",PMT(INPUTS!$B$5,INPUTS!$B$6,-INPUTS!$B$3,0,0))</f>
        <v/>
      </c>
      <c r="F363" s="6" t="str">
        <f>IF(C363="","",IPMT(INPUTS!$B$5,C363,INPUTS!$B$6,-INPUTS!$B$3,0,0))</f>
        <v/>
      </c>
      <c r="G363" s="6" t="str">
        <f>IF(C363="","",PPMT(INPUTS!$B$5,C363,INPUTS!$B$6,-INPUTS!$B$3,0,0))</f>
        <v/>
      </c>
      <c r="H363" s="6" t="str">
        <f t="shared" si="25"/>
        <v/>
      </c>
      <c r="I363" s="6" t="str">
        <f t="shared" si="22"/>
        <v/>
      </c>
    </row>
    <row r="364" spans="1:9" hidden="1" x14ac:dyDescent="0.3">
      <c r="A364" s="16" t="str">
        <f t="shared" si="23"/>
        <v/>
      </c>
      <c r="D364" s="14" t="str">
        <f t="shared" si="24"/>
        <v/>
      </c>
      <c r="E364" s="6" t="str">
        <f>IF(C364="","",PMT(INPUTS!$B$5,INPUTS!$B$6,-INPUTS!$B$3,0,0))</f>
        <v/>
      </c>
      <c r="F364" s="6" t="str">
        <f>IF(C364="","",IPMT(INPUTS!$B$5,C364,INPUTS!$B$6,-INPUTS!$B$3,0,0))</f>
        <v/>
      </c>
      <c r="G364" s="6" t="str">
        <f>IF(C364="","",PPMT(INPUTS!$B$5,C364,INPUTS!$B$6,-INPUTS!$B$3,0,0))</f>
        <v/>
      </c>
      <c r="H364" s="6" t="str">
        <f t="shared" si="25"/>
        <v/>
      </c>
      <c r="I364" s="6" t="str">
        <f t="shared" si="22"/>
        <v/>
      </c>
    </row>
    <row r="365" spans="1:9" hidden="1" x14ac:dyDescent="0.3">
      <c r="A365" s="16" t="str">
        <f t="shared" si="23"/>
        <v/>
      </c>
      <c r="D365" s="14" t="str">
        <f t="shared" si="24"/>
        <v/>
      </c>
      <c r="E365" s="6" t="str">
        <f>IF(C365="","",PMT(INPUTS!$B$5,INPUTS!$B$6,-INPUTS!$B$3,0,0))</f>
        <v/>
      </c>
      <c r="F365" s="6" t="str">
        <f>IF(C365="","",IPMT(INPUTS!$B$5,C365,INPUTS!$B$6,-INPUTS!$B$3,0,0))</f>
        <v/>
      </c>
      <c r="G365" s="6" t="str">
        <f>IF(C365="","",PPMT(INPUTS!$B$5,C365,INPUTS!$B$6,-INPUTS!$B$3,0,0))</f>
        <v/>
      </c>
      <c r="H365" s="6" t="str">
        <f t="shared" si="25"/>
        <v/>
      </c>
      <c r="I365" s="6" t="str">
        <f t="shared" si="22"/>
        <v/>
      </c>
    </row>
    <row r="366" spans="1:9" hidden="1" x14ac:dyDescent="0.3">
      <c r="A366" s="16" t="str">
        <f t="shared" si="23"/>
        <v/>
      </c>
      <c r="D366" s="14" t="str">
        <f t="shared" si="24"/>
        <v/>
      </c>
      <c r="E366" s="6" t="str">
        <f>IF(C366="","",PMT(INPUTS!$B$5,INPUTS!$B$6,-INPUTS!$B$3,0,0))</f>
        <v/>
      </c>
      <c r="F366" s="6" t="str">
        <f>IF(C366="","",IPMT(INPUTS!$B$5,C366,INPUTS!$B$6,-INPUTS!$B$3,0,0))</f>
        <v/>
      </c>
      <c r="G366" s="6" t="str">
        <f>IF(C366="","",PPMT(INPUTS!$B$5,C366,INPUTS!$B$6,-INPUTS!$B$3,0,0))</f>
        <v/>
      </c>
      <c r="H366" s="6" t="str">
        <f t="shared" si="25"/>
        <v/>
      </c>
      <c r="I366" s="6" t="str">
        <f t="shared" si="22"/>
        <v/>
      </c>
    </row>
    <row r="367" spans="1:9" hidden="1" x14ac:dyDescent="0.3">
      <c r="A367" s="16" t="str">
        <f t="shared" si="23"/>
        <v/>
      </c>
      <c r="D367" s="14" t="str">
        <f t="shared" si="24"/>
        <v/>
      </c>
      <c r="E367" s="6" t="str">
        <f>IF(C367="","",PMT(INPUTS!$B$5,INPUTS!$B$6,-INPUTS!$B$3,0,0))</f>
        <v/>
      </c>
      <c r="F367" s="6" t="str">
        <f>IF(C367="","",IPMT(INPUTS!$B$5,C367,INPUTS!$B$6,-INPUTS!$B$3,0,0))</f>
        <v/>
      </c>
      <c r="G367" s="6" t="str">
        <f>IF(C367="","",PPMT(INPUTS!$B$5,C367,INPUTS!$B$6,-INPUTS!$B$3,0,0))</f>
        <v/>
      </c>
      <c r="H367" s="6" t="str">
        <f t="shared" si="25"/>
        <v/>
      </c>
      <c r="I367" s="6" t="str">
        <f t="shared" si="22"/>
        <v/>
      </c>
    </row>
    <row r="368" spans="1:9" hidden="1" x14ac:dyDescent="0.3">
      <c r="A368" s="16" t="str">
        <f t="shared" si="23"/>
        <v/>
      </c>
      <c r="D368" s="14" t="str">
        <f t="shared" si="24"/>
        <v/>
      </c>
      <c r="E368" s="6" t="str">
        <f>IF(C368="","",PMT(INPUTS!$B$5,INPUTS!$B$6,-INPUTS!$B$3,0,0))</f>
        <v/>
      </c>
      <c r="F368" s="6" t="str">
        <f>IF(C368="","",IPMT(INPUTS!$B$5,C368,INPUTS!$B$6,-INPUTS!$B$3,0,0))</f>
        <v/>
      </c>
      <c r="G368" s="6" t="str">
        <f>IF(C368="","",PPMT(INPUTS!$B$5,C368,INPUTS!$B$6,-INPUTS!$B$3,0,0))</f>
        <v/>
      </c>
      <c r="H368" s="6" t="str">
        <f t="shared" si="25"/>
        <v/>
      </c>
      <c r="I368" s="6" t="str">
        <f t="shared" ref="I368:I431" si="26">IF(C368="","",H368-G368)</f>
        <v/>
      </c>
    </row>
    <row r="369" spans="1:9" hidden="1" x14ac:dyDescent="0.3">
      <c r="A369" s="16" t="str">
        <f t="shared" si="23"/>
        <v/>
      </c>
      <c r="D369" s="14" t="str">
        <f t="shared" si="24"/>
        <v/>
      </c>
      <c r="E369" s="6" t="str">
        <f>IF(C369="","",PMT(INPUTS!$B$5,INPUTS!$B$6,-INPUTS!$B$3,0,0))</f>
        <v/>
      </c>
      <c r="F369" s="6" t="str">
        <f>IF(C369="","",IPMT(INPUTS!$B$5,C369,INPUTS!$B$6,-INPUTS!$B$3,0,0))</f>
        <v/>
      </c>
      <c r="G369" s="6" t="str">
        <f>IF(C369="","",PPMT(INPUTS!$B$5,C369,INPUTS!$B$6,-INPUTS!$B$3,0,0))</f>
        <v/>
      </c>
      <c r="H369" s="6" t="str">
        <f t="shared" si="25"/>
        <v/>
      </c>
      <c r="I369" s="6" t="str">
        <f t="shared" si="26"/>
        <v/>
      </c>
    </row>
    <row r="370" spans="1:9" hidden="1" x14ac:dyDescent="0.3">
      <c r="A370" s="16" t="str">
        <f t="shared" si="23"/>
        <v/>
      </c>
      <c r="D370" s="14" t="str">
        <f t="shared" si="24"/>
        <v/>
      </c>
      <c r="E370" s="6" t="str">
        <f>IF(C370="","",PMT(INPUTS!$B$5,INPUTS!$B$6,-INPUTS!$B$3,0,0))</f>
        <v/>
      </c>
      <c r="F370" s="6" t="str">
        <f>IF(C370="","",IPMT(INPUTS!$B$5,C370,INPUTS!$B$6,-INPUTS!$B$3,0,0))</f>
        <v/>
      </c>
      <c r="G370" s="6" t="str">
        <f>IF(C370="","",PPMT(INPUTS!$B$5,C370,INPUTS!$B$6,-INPUTS!$B$3,0,0))</f>
        <v/>
      </c>
      <c r="H370" s="6" t="str">
        <f t="shared" si="25"/>
        <v/>
      </c>
      <c r="I370" s="6" t="str">
        <f t="shared" si="26"/>
        <v/>
      </c>
    </row>
    <row r="371" spans="1:9" hidden="1" x14ac:dyDescent="0.3">
      <c r="A371" s="16" t="str">
        <f t="shared" si="23"/>
        <v/>
      </c>
      <c r="D371" s="14" t="str">
        <f t="shared" si="24"/>
        <v/>
      </c>
      <c r="E371" s="6" t="str">
        <f>IF(C371="","",PMT(INPUTS!$B$5,INPUTS!$B$6,-INPUTS!$B$3,0,0))</f>
        <v/>
      </c>
      <c r="F371" s="6" t="str">
        <f>IF(C371="","",IPMT(INPUTS!$B$5,C371,INPUTS!$B$6,-INPUTS!$B$3,0,0))</f>
        <v/>
      </c>
      <c r="G371" s="6" t="str">
        <f>IF(C371="","",PPMT(INPUTS!$B$5,C371,INPUTS!$B$6,-INPUTS!$B$3,0,0))</f>
        <v/>
      </c>
      <c r="H371" s="6" t="str">
        <f t="shared" si="25"/>
        <v/>
      </c>
      <c r="I371" s="6" t="str">
        <f t="shared" si="26"/>
        <v/>
      </c>
    </row>
    <row r="372" spans="1:9" hidden="1" x14ac:dyDescent="0.3">
      <c r="A372" s="16" t="str">
        <f t="shared" si="23"/>
        <v/>
      </c>
      <c r="D372" s="14" t="str">
        <f t="shared" si="24"/>
        <v/>
      </c>
      <c r="E372" s="6" t="str">
        <f>IF(C372="","",PMT(INPUTS!$B$5,INPUTS!$B$6,-INPUTS!$B$3,0,0))</f>
        <v/>
      </c>
      <c r="F372" s="6" t="str">
        <f>IF(C372="","",IPMT(INPUTS!$B$5,C372,INPUTS!$B$6,-INPUTS!$B$3,0,0))</f>
        <v/>
      </c>
      <c r="G372" s="6" t="str">
        <f>IF(C372="","",PPMT(INPUTS!$B$5,C372,INPUTS!$B$6,-INPUTS!$B$3,0,0))</f>
        <v/>
      </c>
      <c r="H372" s="6" t="str">
        <f t="shared" si="25"/>
        <v/>
      </c>
      <c r="I372" s="6" t="str">
        <f t="shared" si="26"/>
        <v/>
      </c>
    </row>
    <row r="373" spans="1:9" hidden="1" x14ac:dyDescent="0.3">
      <c r="A373" s="16" t="str">
        <f t="shared" si="23"/>
        <v/>
      </c>
      <c r="D373" s="14" t="str">
        <f t="shared" si="24"/>
        <v/>
      </c>
      <c r="E373" s="6" t="str">
        <f>IF(C373="","",PMT(INPUTS!$B$5,INPUTS!$B$6,-INPUTS!$B$3,0,0))</f>
        <v/>
      </c>
      <c r="F373" s="6" t="str">
        <f>IF(C373="","",IPMT(INPUTS!$B$5,C373,INPUTS!$B$6,-INPUTS!$B$3,0,0))</f>
        <v/>
      </c>
      <c r="G373" s="6" t="str">
        <f>IF(C373="","",PPMT(INPUTS!$B$5,C373,INPUTS!$B$6,-INPUTS!$B$3,0,0))</f>
        <v/>
      </c>
      <c r="H373" s="6" t="str">
        <f t="shared" si="25"/>
        <v/>
      </c>
      <c r="I373" s="6" t="str">
        <f t="shared" si="26"/>
        <v/>
      </c>
    </row>
    <row r="374" spans="1:9" hidden="1" x14ac:dyDescent="0.3">
      <c r="A374" s="16" t="str">
        <f t="shared" si="23"/>
        <v/>
      </c>
      <c r="D374" s="14" t="str">
        <f t="shared" si="24"/>
        <v/>
      </c>
      <c r="E374" s="6" t="str">
        <f>IF(C374="","",PMT(INPUTS!$B$5,INPUTS!$B$6,-INPUTS!$B$3,0,0))</f>
        <v/>
      </c>
      <c r="F374" s="6" t="str">
        <f>IF(C374="","",IPMT(INPUTS!$B$5,C374,INPUTS!$B$6,-INPUTS!$B$3,0,0))</f>
        <v/>
      </c>
      <c r="G374" s="6" t="str">
        <f>IF(C374="","",PPMT(INPUTS!$B$5,C374,INPUTS!$B$6,-INPUTS!$B$3,0,0))</f>
        <v/>
      </c>
      <c r="H374" s="6" t="str">
        <f t="shared" si="25"/>
        <v/>
      </c>
      <c r="I374" s="6" t="str">
        <f t="shared" si="26"/>
        <v/>
      </c>
    </row>
    <row r="375" spans="1:9" hidden="1" x14ac:dyDescent="0.3">
      <c r="A375" s="16" t="str">
        <f t="shared" si="23"/>
        <v/>
      </c>
      <c r="D375" s="14" t="str">
        <f t="shared" si="24"/>
        <v/>
      </c>
      <c r="E375" s="6" t="str">
        <f>IF(C375="","",PMT(INPUTS!$B$5,INPUTS!$B$6,-INPUTS!$B$3,0,0))</f>
        <v/>
      </c>
      <c r="F375" s="6" t="str">
        <f>IF(C375="","",IPMT(INPUTS!$B$5,C375,INPUTS!$B$6,-INPUTS!$B$3,0,0))</f>
        <v/>
      </c>
      <c r="G375" s="6" t="str">
        <f>IF(C375="","",PPMT(INPUTS!$B$5,C375,INPUTS!$B$6,-INPUTS!$B$3,0,0))</f>
        <v/>
      </c>
      <c r="H375" s="6" t="str">
        <f t="shared" si="25"/>
        <v/>
      </c>
      <c r="I375" s="6" t="str">
        <f t="shared" si="26"/>
        <v/>
      </c>
    </row>
    <row r="376" spans="1:9" hidden="1" x14ac:dyDescent="0.3">
      <c r="A376" s="16" t="str">
        <f t="shared" si="23"/>
        <v/>
      </c>
      <c r="D376" s="14" t="str">
        <f t="shared" si="24"/>
        <v/>
      </c>
      <c r="E376" s="6" t="str">
        <f>IF(C376="","",PMT(INPUTS!$B$5,INPUTS!$B$6,-INPUTS!$B$3,0,0))</f>
        <v/>
      </c>
      <c r="F376" s="6" t="str">
        <f>IF(C376="","",IPMT(INPUTS!$B$5,C376,INPUTS!$B$6,-INPUTS!$B$3,0,0))</f>
        <v/>
      </c>
      <c r="G376" s="6" t="str">
        <f>IF(C376="","",PPMT(INPUTS!$B$5,C376,INPUTS!$B$6,-INPUTS!$B$3,0,0))</f>
        <v/>
      </c>
      <c r="H376" s="6" t="str">
        <f t="shared" si="25"/>
        <v/>
      </c>
      <c r="I376" s="6" t="str">
        <f t="shared" si="26"/>
        <v/>
      </c>
    </row>
    <row r="377" spans="1:9" hidden="1" x14ac:dyDescent="0.3">
      <c r="A377" s="16" t="str">
        <f t="shared" si="23"/>
        <v/>
      </c>
      <c r="D377" s="14" t="str">
        <f t="shared" si="24"/>
        <v/>
      </c>
      <c r="E377" s="6" t="str">
        <f>IF(C377="","",PMT(INPUTS!$B$5,INPUTS!$B$6,-INPUTS!$B$3,0,0))</f>
        <v/>
      </c>
      <c r="F377" s="6" t="str">
        <f>IF(C377="","",IPMT(INPUTS!$B$5,C377,INPUTS!$B$6,-INPUTS!$B$3,0,0))</f>
        <v/>
      </c>
      <c r="G377" s="6" t="str">
        <f>IF(C377="","",PPMT(INPUTS!$B$5,C377,INPUTS!$B$6,-INPUTS!$B$3,0,0))</f>
        <v/>
      </c>
      <c r="H377" s="6" t="str">
        <f t="shared" si="25"/>
        <v/>
      </c>
      <c r="I377" s="6" t="str">
        <f t="shared" si="26"/>
        <v/>
      </c>
    </row>
    <row r="378" spans="1:9" hidden="1" x14ac:dyDescent="0.3">
      <c r="A378" s="16" t="str">
        <f t="shared" si="23"/>
        <v/>
      </c>
      <c r="D378" s="14" t="str">
        <f t="shared" si="24"/>
        <v/>
      </c>
      <c r="E378" s="6" t="str">
        <f>IF(C378="","",PMT(INPUTS!$B$5,INPUTS!$B$6,-INPUTS!$B$3,0,0))</f>
        <v/>
      </c>
      <c r="F378" s="6" t="str">
        <f>IF(C378="","",IPMT(INPUTS!$B$5,C378,INPUTS!$B$6,-INPUTS!$B$3,0,0))</f>
        <v/>
      </c>
      <c r="G378" s="6" t="str">
        <f>IF(C378="","",PPMT(INPUTS!$B$5,C378,INPUTS!$B$6,-INPUTS!$B$3,0,0))</f>
        <v/>
      </c>
      <c r="H378" s="6" t="str">
        <f t="shared" si="25"/>
        <v/>
      </c>
      <c r="I378" s="6" t="str">
        <f t="shared" si="26"/>
        <v/>
      </c>
    </row>
    <row r="379" spans="1:9" hidden="1" x14ac:dyDescent="0.3">
      <c r="A379" s="16" t="str">
        <f t="shared" si="23"/>
        <v/>
      </c>
      <c r="D379" s="14" t="str">
        <f t="shared" si="24"/>
        <v/>
      </c>
      <c r="E379" s="6" t="str">
        <f>IF(C379="","",PMT(INPUTS!$B$5,INPUTS!$B$6,-INPUTS!$B$3,0,0))</f>
        <v/>
      </c>
      <c r="F379" s="6" t="str">
        <f>IF(C379="","",IPMT(INPUTS!$B$5,C379,INPUTS!$B$6,-INPUTS!$B$3,0,0))</f>
        <v/>
      </c>
      <c r="G379" s="6" t="str">
        <f>IF(C379="","",PPMT(INPUTS!$B$5,C379,INPUTS!$B$6,-INPUTS!$B$3,0,0))</f>
        <v/>
      </c>
      <c r="H379" s="6" t="str">
        <f t="shared" si="25"/>
        <v/>
      </c>
      <c r="I379" s="6" t="str">
        <f t="shared" si="26"/>
        <v/>
      </c>
    </row>
    <row r="380" spans="1:9" hidden="1" x14ac:dyDescent="0.3">
      <c r="A380" s="16" t="str">
        <f t="shared" si="23"/>
        <v/>
      </c>
      <c r="D380" s="14" t="str">
        <f t="shared" si="24"/>
        <v/>
      </c>
      <c r="E380" s="6" t="str">
        <f>IF(C380="","",PMT(INPUTS!$B$5,INPUTS!$B$6,-INPUTS!$B$3,0,0))</f>
        <v/>
      </c>
      <c r="F380" s="6" t="str">
        <f>IF(C380="","",IPMT(INPUTS!$B$5,C380,INPUTS!$B$6,-INPUTS!$B$3,0,0))</f>
        <v/>
      </c>
      <c r="G380" s="6" t="str">
        <f>IF(C380="","",PPMT(INPUTS!$B$5,C380,INPUTS!$B$6,-INPUTS!$B$3,0,0))</f>
        <v/>
      </c>
      <c r="H380" s="6" t="str">
        <f t="shared" si="25"/>
        <v/>
      </c>
      <c r="I380" s="6" t="str">
        <f t="shared" si="26"/>
        <v/>
      </c>
    </row>
    <row r="381" spans="1:9" hidden="1" x14ac:dyDescent="0.3">
      <c r="A381" s="16" t="str">
        <f t="shared" si="23"/>
        <v/>
      </c>
      <c r="D381" s="14" t="str">
        <f t="shared" si="24"/>
        <v/>
      </c>
      <c r="E381" s="6" t="str">
        <f>IF(C381="","",PMT(INPUTS!$B$5,INPUTS!$B$6,-INPUTS!$B$3,0,0))</f>
        <v/>
      </c>
      <c r="F381" s="6" t="str">
        <f>IF(C381="","",IPMT(INPUTS!$B$5,C381,INPUTS!$B$6,-INPUTS!$B$3,0,0))</f>
        <v/>
      </c>
      <c r="G381" s="6" t="str">
        <f>IF(C381="","",PPMT(INPUTS!$B$5,C381,INPUTS!$B$6,-INPUTS!$B$3,0,0))</f>
        <v/>
      </c>
      <c r="H381" s="6" t="str">
        <f t="shared" si="25"/>
        <v/>
      </c>
      <c r="I381" s="6" t="str">
        <f t="shared" si="26"/>
        <v/>
      </c>
    </row>
    <row r="382" spans="1:9" hidden="1" x14ac:dyDescent="0.3">
      <c r="A382" s="16" t="str">
        <f t="shared" si="23"/>
        <v/>
      </c>
      <c r="D382" s="14" t="str">
        <f t="shared" si="24"/>
        <v/>
      </c>
      <c r="E382" s="6" t="str">
        <f>IF(C382="","",PMT(INPUTS!$B$5,INPUTS!$B$6,-INPUTS!$B$3,0,0))</f>
        <v/>
      </c>
      <c r="F382" s="6" t="str">
        <f>IF(C382="","",IPMT(INPUTS!$B$5,C382,INPUTS!$B$6,-INPUTS!$B$3,0,0))</f>
        <v/>
      </c>
      <c r="G382" s="6" t="str">
        <f>IF(C382="","",PPMT(INPUTS!$B$5,C382,INPUTS!$B$6,-INPUTS!$B$3,0,0))</f>
        <v/>
      </c>
      <c r="H382" s="6" t="str">
        <f t="shared" si="25"/>
        <v/>
      </c>
      <c r="I382" s="6" t="str">
        <f t="shared" si="26"/>
        <v/>
      </c>
    </row>
    <row r="383" spans="1:9" hidden="1" x14ac:dyDescent="0.3">
      <c r="A383" s="16" t="str">
        <f t="shared" si="23"/>
        <v/>
      </c>
      <c r="D383" s="14" t="str">
        <f t="shared" si="24"/>
        <v/>
      </c>
      <c r="E383" s="6" t="str">
        <f>IF(C383="","",PMT(INPUTS!$B$5,INPUTS!$B$6,-INPUTS!$B$3,0,0))</f>
        <v/>
      </c>
      <c r="F383" s="6" t="str">
        <f>IF(C383="","",IPMT(INPUTS!$B$5,C383,INPUTS!$B$6,-INPUTS!$B$3,0,0))</f>
        <v/>
      </c>
      <c r="G383" s="6" t="str">
        <f>IF(C383="","",PPMT(INPUTS!$B$5,C383,INPUTS!$B$6,-INPUTS!$B$3,0,0))</f>
        <v/>
      </c>
      <c r="H383" s="6" t="str">
        <f t="shared" si="25"/>
        <v/>
      </c>
      <c r="I383" s="6" t="str">
        <f t="shared" si="26"/>
        <v/>
      </c>
    </row>
    <row r="384" spans="1:9" hidden="1" x14ac:dyDescent="0.3">
      <c r="A384" s="16" t="str">
        <f t="shared" si="23"/>
        <v/>
      </c>
      <c r="D384" s="14" t="str">
        <f t="shared" si="24"/>
        <v/>
      </c>
      <c r="E384" s="6" t="str">
        <f>IF(C384="","",PMT(INPUTS!$B$5,INPUTS!$B$6,-INPUTS!$B$3,0,0))</f>
        <v/>
      </c>
      <c r="F384" s="6" t="str">
        <f>IF(C384="","",IPMT(INPUTS!$B$5,C384,INPUTS!$B$6,-INPUTS!$B$3,0,0))</f>
        <v/>
      </c>
      <c r="G384" s="6" t="str">
        <f>IF(C384="","",PPMT(INPUTS!$B$5,C384,INPUTS!$B$6,-INPUTS!$B$3,0,0))</f>
        <v/>
      </c>
      <c r="H384" s="6" t="str">
        <f t="shared" si="25"/>
        <v/>
      </c>
      <c r="I384" s="6" t="str">
        <f t="shared" si="26"/>
        <v/>
      </c>
    </row>
    <row r="385" spans="1:9" hidden="1" x14ac:dyDescent="0.3">
      <c r="A385" s="16" t="str">
        <f t="shared" si="23"/>
        <v/>
      </c>
      <c r="D385" s="14" t="str">
        <f t="shared" si="24"/>
        <v/>
      </c>
      <c r="E385" s="6" t="str">
        <f>IF(C385="","",PMT(INPUTS!$B$5,INPUTS!$B$6,-INPUTS!$B$3,0,0))</f>
        <v/>
      </c>
      <c r="F385" s="6" t="str">
        <f>IF(C385="","",IPMT(INPUTS!$B$5,C385,INPUTS!$B$6,-INPUTS!$B$3,0,0))</f>
        <v/>
      </c>
      <c r="G385" s="6" t="str">
        <f>IF(C385="","",PPMT(INPUTS!$B$5,C385,INPUTS!$B$6,-INPUTS!$B$3,0,0))</f>
        <v/>
      </c>
      <c r="H385" s="6" t="str">
        <f t="shared" si="25"/>
        <v/>
      </c>
      <c r="I385" s="6" t="str">
        <f t="shared" si="26"/>
        <v/>
      </c>
    </row>
    <row r="386" spans="1:9" hidden="1" x14ac:dyDescent="0.3">
      <c r="A386" s="16" t="str">
        <f t="shared" si="23"/>
        <v/>
      </c>
      <c r="D386" s="14" t="str">
        <f t="shared" si="24"/>
        <v/>
      </c>
      <c r="E386" s="6" t="str">
        <f>IF(C386="","",PMT(INPUTS!$B$5,INPUTS!$B$6,-INPUTS!$B$3,0,0))</f>
        <v/>
      </c>
      <c r="F386" s="6" t="str">
        <f>IF(C386="","",IPMT(INPUTS!$B$5,C386,INPUTS!$B$6,-INPUTS!$B$3,0,0))</f>
        <v/>
      </c>
      <c r="G386" s="6" t="str">
        <f>IF(C386="","",PPMT(INPUTS!$B$5,C386,INPUTS!$B$6,-INPUTS!$B$3,0,0))</f>
        <v/>
      </c>
      <c r="H386" s="6" t="str">
        <f t="shared" si="25"/>
        <v/>
      </c>
      <c r="I386" s="6" t="str">
        <f t="shared" si="26"/>
        <v/>
      </c>
    </row>
    <row r="387" spans="1:9" hidden="1" x14ac:dyDescent="0.3">
      <c r="A387" s="16" t="str">
        <f t="shared" si="23"/>
        <v/>
      </c>
      <c r="D387" s="14" t="str">
        <f t="shared" si="24"/>
        <v/>
      </c>
      <c r="E387" s="6" t="str">
        <f>IF(C387="","",PMT(INPUTS!$B$5,INPUTS!$B$6,-INPUTS!$B$3,0,0))</f>
        <v/>
      </c>
      <c r="F387" s="6" t="str">
        <f>IF(C387="","",IPMT(INPUTS!$B$5,C387,INPUTS!$B$6,-INPUTS!$B$3,0,0))</f>
        <v/>
      </c>
      <c r="G387" s="6" t="str">
        <f>IF(C387="","",PPMT(INPUTS!$B$5,C387,INPUTS!$B$6,-INPUTS!$B$3,0,0))</f>
        <v/>
      </c>
      <c r="H387" s="6" t="str">
        <f t="shared" si="25"/>
        <v/>
      </c>
      <c r="I387" s="6" t="str">
        <f t="shared" si="26"/>
        <v/>
      </c>
    </row>
    <row r="388" spans="1:9" hidden="1" x14ac:dyDescent="0.3">
      <c r="A388" s="16" t="str">
        <f t="shared" si="23"/>
        <v/>
      </c>
      <c r="D388" s="14" t="str">
        <f t="shared" si="24"/>
        <v/>
      </c>
      <c r="E388" s="6" t="str">
        <f>IF(C388="","",PMT(INPUTS!$B$5,INPUTS!$B$6,-INPUTS!$B$3,0,0))</f>
        <v/>
      </c>
      <c r="F388" s="6" t="str">
        <f>IF(C388="","",IPMT(INPUTS!$B$5,C388,INPUTS!$B$6,-INPUTS!$B$3,0,0))</f>
        <v/>
      </c>
      <c r="G388" s="6" t="str">
        <f>IF(C388="","",PPMT(INPUTS!$B$5,C388,INPUTS!$B$6,-INPUTS!$B$3,0,0))</f>
        <v/>
      </c>
      <c r="H388" s="6" t="str">
        <f t="shared" si="25"/>
        <v/>
      </c>
      <c r="I388" s="6" t="str">
        <f t="shared" si="26"/>
        <v/>
      </c>
    </row>
    <row r="389" spans="1:9" hidden="1" x14ac:dyDescent="0.3">
      <c r="A389" s="16" t="str">
        <f t="shared" si="23"/>
        <v/>
      </c>
      <c r="D389" s="14" t="str">
        <f t="shared" si="24"/>
        <v/>
      </c>
      <c r="E389" s="6" t="str">
        <f>IF(C389="","",PMT(INPUTS!$B$5,INPUTS!$B$6,-INPUTS!$B$3,0,0))</f>
        <v/>
      </c>
      <c r="F389" s="6" t="str">
        <f>IF(C389="","",IPMT(INPUTS!$B$5,C389,INPUTS!$B$6,-INPUTS!$B$3,0,0))</f>
        <v/>
      </c>
      <c r="G389" s="6" t="str">
        <f>IF(C389="","",PPMT(INPUTS!$B$5,C389,INPUTS!$B$6,-INPUTS!$B$3,0,0))</f>
        <v/>
      </c>
      <c r="H389" s="6" t="str">
        <f t="shared" si="25"/>
        <v/>
      </c>
      <c r="I389" s="6" t="str">
        <f t="shared" si="26"/>
        <v/>
      </c>
    </row>
    <row r="390" spans="1:9" hidden="1" x14ac:dyDescent="0.3">
      <c r="A390" s="16" t="str">
        <f t="shared" si="23"/>
        <v/>
      </c>
      <c r="D390" s="14" t="str">
        <f t="shared" si="24"/>
        <v/>
      </c>
      <c r="E390" s="6" t="str">
        <f>IF(C390="","",PMT(INPUTS!$B$5,INPUTS!$B$6,-INPUTS!$B$3,0,0))</f>
        <v/>
      </c>
      <c r="F390" s="6" t="str">
        <f>IF(C390="","",IPMT(INPUTS!$B$5,C390,INPUTS!$B$6,-INPUTS!$B$3,0,0))</f>
        <v/>
      </c>
      <c r="G390" s="6" t="str">
        <f>IF(C390="","",PPMT(INPUTS!$B$5,C390,INPUTS!$B$6,-INPUTS!$B$3,0,0))</f>
        <v/>
      </c>
      <c r="H390" s="6" t="str">
        <f t="shared" si="25"/>
        <v/>
      </c>
      <c r="I390" s="6" t="str">
        <f t="shared" si="26"/>
        <v/>
      </c>
    </row>
    <row r="391" spans="1:9" hidden="1" x14ac:dyDescent="0.3">
      <c r="A391" s="16" t="str">
        <f t="shared" si="23"/>
        <v/>
      </c>
      <c r="D391" s="14" t="str">
        <f t="shared" si="24"/>
        <v/>
      </c>
      <c r="E391" s="6" t="str">
        <f>IF(C391="","",PMT(INPUTS!$B$5,INPUTS!$B$6,-INPUTS!$B$3,0,0))</f>
        <v/>
      </c>
      <c r="F391" s="6" t="str">
        <f>IF(C391="","",IPMT(INPUTS!$B$5,C391,INPUTS!$B$6,-INPUTS!$B$3,0,0))</f>
        <v/>
      </c>
      <c r="G391" s="6" t="str">
        <f>IF(C391="","",PPMT(INPUTS!$B$5,C391,INPUTS!$B$6,-INPUTS!$B$3,0,0))</f>
        <v/>
      </c>
      <c r="H391" s="6" t="str">
        <f t="shared" si="25"/>
        <v/>
      </c>
      <c r="I391" s="6" t="str">
        <f t="shared" si="26"/>
        <v/>
      </c>
    </row>
    <row r="392" spans="1:9" hidden="1" x14ac:dyDescent="0.3">
      <c r="A392" s="16" t="str">
        <f t="shared" si="23"/>
        <v/>
      </c>
      <c r="D392" s="14" t="str">
        <f t="shared" si="24"/>
        <v/>
      </c>
      <c r="E392" s="6" t="str">
        <f>IF(C392="","",PMT(INPUTS!$B$5,INPUTS!$B$6,-INPUTS!$B$3,0,0))</f>
        <v/>
      </c>
      <c r="F392" s="6" t="str">
        <f>IF(C392="","",IPMT(INPUTS!$B$5,C392,INPUTS!$B$6,-INPUTS!$B$3,0,0))</f>
        <v/>
      </c>
      <c r="G392" s="6" t="str">
        <f>IF(C392="","",PPMT(INPUTS!$B$5,C392,INPUTS!$B$6,-INPUTS!$B$3,0,0))</f>
        <v/>
      </c>
      <c r="H392" s="6" t="str">
        <f t="shared" si="25"/>
        <v/>
      </c>
      <c r="I392" s="6" t="str">
        <f t="shared" si="26"/>
        <v/>
      </c>
    </row>
    <row r="393" spans="1:9" hidden="1" x14ac:dyDescent="0.3">
      <c r="A393" s="16" t="str">
        <f t="shared" si="23"/>
        <v/>
      </c>
      <c r="D393" s="14" t="str">
        <f t="shared" si="24"/>
        <v/>
      </c>
      <c r="E393" s="6" t="str">
        <f>IF(C393="","",PMT(INPUTS!$B$5,INPUTS!$B$6,-INPUTS!$B$3,0,0))</f>
        <v/>
      </c>
      <c r="F393" s="6" t="str">
        <f>IF(C393="","",IPMT(INPUTS!$B$5,C393,INPUTS!$B$6,-INPUTS!$B$3,0,0))</f>
        <v/>
      </c>
      <c r="G393" s="6" t="str">
        <f>IF(C393="","",PPMT(INPUTS!$B$5,C393,INPUTS!$B$6,-INPUTS!$B$3,0,0))</f>
        <v/>
      </c>
      <c r="H393" s="6" t="str">
        <f t="shared" si="25"/>
        <v/>
      </c>
      <c r="I393" s="6" t="str">
        <f t="shared" si="26"/>
        <v/>
      </c>
    </row>
    <row r="394" spans="1:9" hidden="1" x14ac:dyDescent="0.3">
      <c r="A394" s="16" t="str">
        <f t="shared" si="23"/>
        <v/>
      </c>
      <c r="D394" s="14" t="str">
        <f t="shared" si="24"/>
        <v/>
      </c>
      <c r="E394" s="6" t="str">
        <f>IF(C394="","",PMT(INPUTS!$B$5,INPUTS!$B$6,-INPUTS!$B$3,0,0))</f>
        <v/>
      </c>
      <c r="F394" s="6" t="str">
        <f>IF(C394="","",IPMT(INPUTS!$B$5,C394,INPUTS!$B$6,-INPUTS!$B$3,0,0))</f>
        <v/>
      </c>
      <c r="G394" s="6" t="str">
        <f>IF(C394="","",PPMT(INPUTS!$B$5,C394,INPUTS!$B$6,-INPUTS!$B$3,0,0))</f>
        <v/>
      </c>
      <c r="H394" s="6" t="str">
        <f t="shared" si="25"/>
        <v/>
      </c>
      <c r="I394" s="6" t="str">
        <f t="shared" si="26"/>
        <v/>
      </c>
    </row>
    <row r="395" spans="1:9" hidden="1" x14ac:dyDescent="0.3">
      <c r="A395" s="16" t="str">
        <f t="shared" si="23"/>
        <v/>
      </c>
      <c r="D395" s="14" t="str">
        <f t="shared" si="24"/>
        <v/>
      </c>
      <c r="E395" s="6" t="str">
        <f>IF(C395="","",PMT(INPUTS!$B$5,INPUTS!$B$6,-INPUTS!$B$3,0,0))</f>
        <v/>
      </c>
      <c r="F395" s="6" t="str">
        <f>IF(C395="","",IPMT(INPUTS!$B$5,C395,INPUTS!$B$6,-INPUTS!$B$3,0,0))</f>
        <v/>
      </c>
      <c r="G395" s="6" t="str">
        <f>IF(C395="","",PPMT(INPUTS!$B$5,C395,INPUTS!$B$6,-INPUTS!$B$3,0,0))</f>
        <v/>
      </c>
      <c r="H395" s="6" t="str">
        <f t="shared" si="25"/>
        <v/>
      </c>
      <c r="I395" s="6" t="str">
        <f t="shared" si="26"/>
        <v/>
      </c>
    </row>
    <row r="396" spans="1:9" hidden="1" x14ac:dyDescent="0.3">
      <c r="A396" s="16" t="str">
        <f t="shared" si="23"/>
        <v/>
      </c>
      <c r="D396" s="14" t="str">
        <f t="shared" si="24"/>
        <v/>
      </c>
      <c r="E396" s="6" t="str">
        <f>IF(C396="","",PMT(INPUTS!$B$5,INPUTS!$B$6,-INPUTS!$B$3,0,0))</f>
        <v/>
      </c>
      <c r="F396" s="6" t="str">
        <f>IF(C396="","",IPMT(INPUTS!$B$5,C396,INPUTS!$B$6,-INPUTS!$B$3,0,0))</f>
        <v/>
      </c>
      <c r="G396" s="6" t="str">
        <f>IF(C396="","",PPMT(INPUTS!$B$5,C396,INPUTS!$B$6,-INPUTS!$B$3,0,0))</f>
        <v/>
      </c>
      <c r="H396" s="6" t="str">
        <f t="shared" si="25"/>
        <v/>
      </c>
      <c r="I396" s="6" t="str">
        <f t="shared" si="26"/>
        <v/>
      </c>
    </row>
    <row r="397" spans="1:9" hidden="1" x14ac:dyDescent="0.3">
      <c r="A397" s="16" t="str">
        <f t="shared" si="23"/>
        <v/>
      </c>
      <c r="D397" s="14" t="str">
        <f t="shared" si="24"/>
        <v/>
      </c>
      <c r="E397" s="6" t="str">
        <f>IF(C397="","",PMT(INPUTS!$B$5,INPUTS!$B$6,-INPUTS!$B$3,0,0))</f>
        <v/>
      </c>
      <c r="F397" s="6" t="str">
        <f>IF(C397="","",IPMT(INPUTS!$B$5,C397,INPUTS!$B$6,-INPUTS!$B$3,0,0))</f>
        <v/>
      </c>
      <c r="G397" s="6" t="str">
        <f>IF(C397="","",PPMT(INPUTS!$B$5,C397,INPUTS!$B$6,-INPUTS!$B$3,0,0))</f>
        <v/>
      </c>
      <c r="H397" s="6" t="str">
        <f t="shared" si="25"/>
        <v/>
      </c>
      <c r="I397" s="6" t="str">
        <f t="shared" si="26"/>
        <v/>
      </c>
    </row>
    <row r="398" spans="1:9" hidden="1" x14ac:dyDescent="0.3">
      <c r="A398" s="16" t="str">
        <f t="shared" si="23"/>
        <v/>
      </c>
      <c r="D398" s="14" t="str">
        <f t="shared" si="24"/>
        <v/>
      </c>
      <c r="E398" s="6" t="str">
        <f>IF(C398="","",PMT(INPUTS!$B$5,INPUTS!$B$6,-INPUTS!$B$3,0,0))</f>
        <v/>
      </c>
      <c r="F398" s="6" t="str">
        <f>IF(C398="","",IPMT(INPUTS!$B$5,C398,INPUTS!$B$6,-INPUTS!$B$3,0,0))</f>
        <v/>
      </c>
      <c r="G398" s="6" t="str">
        <f>IF(C398="","",PPMT(INPUTS!$B$5,C398,INPUTS!$B$6,-INPUTS!$B$3,0,0))</f>
        <v/>
      </c>
      <c r="H398" s="6" t="str">
        <f t="shared" si="25"/>
        <v/>
      </c>
      <c r="I398" s="6" t="str">
        <f t="shared" si="26"/>
        <v/>
      </c>
    </row>
    <row r="399" spans="1:9" hidden="1" x14ac:dyDescent="0.3">
      <c r="A399" s="16" t="str">
        <f t="shared" si="23"/>
        <v/>
      </c>
      <c r="D399" s="14" t="str">
        <f t="shared" si="24"/>
        <v/>
      </c>
      <c r="E399" s="6" t="str">
        <f>IF(C399="","",PMT(INPUTS!$B$5,INPUTS!$B$6,-INPUTS!$B$3,0,0))</f>
        <v/>
      </c>
      <c r="F399" s="6" t="str">
        <f>IF(C399="","",IPMT(INPUTS!$B$5,C399,INPUTS!$B$6,-INPUTS!$B$3,0,0))</f>
        <v/>
      </c>
      <c r="G399" s="6" t="str">
        <f>IF(C399="","",PPMT(INPUTS!$B$5,C399,INPUTS!$B$6,-INPUTS!$B$3,0,0))</f>
        <v/>
      </c>
      <c r="H399" s="6" t="str">
        <f t="shared" si="25"/>
        <v/>
      </c>
      <c r="I399" s="6" t="str">
        <f t="shared" si="26"/>
        <v/>
      </c>
    </row>
    <row r="400" spans="1:9" hidden="1" x14ac:dyDescent="0.3">
      <c r="A400" s="16" t="str">
        <f t="shared" si="23"/>
        <v/>
      </c>
      <c r="D400" s="14" t="str">
        <f t="shared" si="24"/>
        <v/>
      </c>
      <c r="E400" s="6" t="str">
        <f>IF(C400="","",PMT(INPUTS!$B$5,INPUTS!$B$6,-INPUTS!$B$3,0,0))</f>
        <v/>
      </c>
      <c r="F400" s="6" t="str">
        <f>IF(C400="","",IPMT(INPUTS!$B$5,C400,INPUTS!$B$6,-INPUTS!$B$3,0,0))</f>
        <v/>
      </c>
      <c r="G400" s="6" t="str">
        <f>IF(C400="","",PPMT(INPUTS!$B$5,C400,INPUTS!$B$6,-INPUTS!$B$3,0,0))</f>
        <v/>
      </c>
      <c r="H400" s="6" t="str">
        <f t="shared" si="25"/>
        <v/>
      </c>
      <c r="I400" s="6" t="str">
        <f t="shared" si="26"/>
        <v/>
      </c>
    </row>
    <row r="401" spans="1:9" hidden="1" x14ac:dyDescent="0.3">
      <c r="A401" s="16" t="str">
        <f t="shared" si="23"/>
        <v/>
      </c>
      <c r="D401" s="14" t="str">
        <f t="shared" si="24"/>
        <v/>
      </c>
      <c r="E401" s="6" t="str">
        <f>IF(C401="","",PMT(INPUTS!$B$5,INPUTS!$B$6,-INPUTS!$B$3,0,0))</f>
        <v/>
      </c>
      <c r="F401" s="6" t="str">
        <f>IF(C401="","",IPMT(INPUTS!$B$5,C401,INPUTS!$B$6,-INPUTS!$B$3,0,0))</f>
        <v/>
      </c>
      <c r="G401" s="6" t="str">
        <f>IF(C401="","",PPMT(INPUTS!$B$5,C401,INPUTS!$B$6,-INPUTS!$B$3,0,0))</f>
        <v/>
      </c>
      <c r="H401" s="6" t="str">
        <f t="shared" si="25"/>
        <v/>
      </c>
      <c r="I401" s="6" t="str">
        <f t="shared" si="26"/>
        <v/>
      </c>
    </row>
    <row r="402" spans="1:9" hidden="1" x14ac:dyDescent="0.3">
      <c r="A402" s="16" t="str">
        <f t="shared" ref="A402:A465" si="27">IF(D402="","",YEAR(D402))</f>
        <v/>
      </c>
      <c r="D402" s="14" t="str">
        <f t="shared" si="24"/>
        <v/>
      </c>
      <c r="E402" s="6" t="str">
        <f>IF(C402="","",PMT(INPUTS!$B$5,INPUTS!$B$6,-INPUTS!$B$3,0,0))</f>
        <v/>
      </c>
      <c r="F402" s="6" t="str">
        <f>IF(C402="","",IPMT(INPUTS!$B$5,C402,INPUTS!$B$6,-INPUTS!$B$3,0,0))</f>
        <v/>
      </c>
      <c r="G402" s="6" t="str">
        <f>IF(C402="","",PPMT(INPUTS!$B$5,C402,INPUTS!$B$6,-INPUTS!$B$3,0,0))</f>
        <v/>
      </c>
      <c r="H402" s="6" t="str">
        <f t="shared" si="25"/>
        <v/>
      </c>
      <c r="I402" s="6" t="str">
        <f t="shared" si="26"/>
        <v/>
      </c>
    </row>
    <row r="403" spans="1:9" hidden="1" x14ac:dyDescent="0.3">
      <c r="A403" s="16" t="str">
        <f t="shared" si="27"/>
        <v/>
      </c>
      <c r="D403" s="14" t="str">
        <f t="shared" si="24"/>
        <v/>
      </c>
      <c r="E403" s="6" t="str">
        <f>IF(C403="","",PMT(INPUTS!$B$5,INPUTS!$B$6,-INPUTS!$B$3,0,0))</f>
        <v/>
      </c>
      <c r="F403" s="6" t="str">
        <f>IF(C403="","",IPMT(INPUTS!$B$5,C403,INPUTS!$B$6,-INPUTS!$B$3,0,0))</f>
        <v/>
      </c>
      <c r="G403" s="6" t="str">
        <f>IF(C403="","",PPMT(INPUTS!$B$5,C403,INPUTS!$B$6,-INPUTS!$B$3,0,0))</f>
        <v/>
      </c>
      <c r="H403" s="6" t="str">
        <f t="shared" si="25"/>
        <v/>
      </c>
      <c r="I403" s="6" t="str">
        <f t="shared" si="26"/>
        <v/>
      </c>
    </row>
    <row r="404" spans="1:9" hidden="1" x14ac:dyDescent="0.3">
      <c r="A404" s="16" t="str">
        <f t="shared" si="27"/>
        <v/>
      </c>
      <c r="D404" s="14" t="str">
        <f t="shared" ref="D404:D467" si="28">IF(C403="","",DATE(YEAR($D403),MONTH($D403)+1,DAY($D403)))</f>
        <v/>
      </c>
      <c r="E404" s="6" t="str">
        <f>IF(C404="","",PMT(INPUTS!$B$5,INPUTS!$B$6,-INPUTS!$B$3,0,0))</f>
        <v/>
      </c>
      <c r="F404" s="6" t="str">
        <f>IF(C404="","",IPMT(INPUTS!$B$5,C404,INPUTS!$B$6,-INPUTS!$B$3,0,0))</f>
        <v/>
      </c>
      <c r="G404" s="6" t="str">
        <f>IF(C404="","",PPMT(INPUTS!$B$5,C404,INPUTS!$B$6,-INPUTS!$B$3,0,0))</f>
        <v/>
      </c>
      <c r="H404" s="6" t="str">
        <f t="shared" ref="H404:H467" si="29">I403</f>
        <v/>
      </c>
      <c r="I404" s="6" t="str">
        <f t="shared" si="26"/>
        <v/>
      </c>
    </row>
    <row r="405" spans="1:9" hidden="1" x14ac:dyDescent="0.3">
      <c r="A405" s="16" t="str">
        <f t="shared" si="27"/>
        <v/>
      </c>
      <c r="D405" s="14" t="str">
        <f t="shared" si="28"/>
        <v/>
      </c>
      <c r="E405" s="6" t="str">
        <f>IF(C405="","",PMT(INPUTS!$B$5,INPUTS!$B$6,-INPUTS!$B$3,0,0))</f>
        <v/>
      </c>
      <c r="F405" s="6" t="str">
        <f>IF(C405="","",IPMT(INPUTS!$B$5,C405,INPUTS!$B$6,-INPUTS!$B$3,0,0))</f>
        <v/>
      </c>
      <c r="G405" s="6" t="str">
        <f>IF(C405="","",PPMT(INPUTS!$B$5,C405,INPUTS!$B$6,-INPUTS!$B$3,0,0))</f>
        <v/>
      </c>
      <c r="H405" s="6" t="str">
        <f t="shared" si="29"/>
        <v/>
      </c>
      <c r="I405" s="6" t="str">
        <f t="shared" si="26"/>
        <v/>
      </c>
    </row>
    <row r="406" spans="1:9" hidden="1" x14ac:dyDescent="0.3">
      <c r="A406" s="16" t="str">
        <f t="shared" si="27"/>
        <v/>
      </c>
      <c r="D406" s="14" t="str">
        <f t="shared" si="28"/>
        <v/>
      </c>
      <c r="E406" s="6" t="str">
        <f>IF(C406="","",PMT(INPUTS!$B$5,INPUTS!$B$6,-INPUTS!$B$3,0,0))</f>
        <v/>
      </c>
      <c r="F406" s="6" t="str">
        <f>IF(C406="","",IPMT(INPUTS!$B$5,C406,INPUTS!$B$6,-INPUTS!$B$3,0,0))</f>
        <v/>
      </c>
      <c r="G406" s="6" t="str">
        <f>IF(C406="","",PPMT(INPUTS!$B$5,C406,INPUTS!$B$6,-INPUTS!$B$3,0,0))</f>
        <v/>
      </c>
      <c r="H406" s="6" t="str">
        <f t="shared" si="29"/>
        <v/>
      </c>
      <c r="I406" s="6" t="str">
        <f t="shared" si="26"/>
        <v/>
      </c>
    </row>
    <row r="407" spans="1:9" hidden="1" x14ac:dyDescent="0.3">
      <c r="A407" s="16" t="str">
        <f t="shared" si="27"/>
        <v/>
      </c>
      <c r="D407" s="14" t="str">
        <f t="shared" si="28"/>
        <v/>
      </c>
      <c r="E407" s="6" t="str">
        <f>IF(C407="","",PMT(INPUTS!$B$5,INPUTS!$B$6,-INPUTS!$B$3,0,0))</f>
        <v/>
      </c>
      <c r="F407" s="6" t="str">
        <f>IF(C407="","",IPMT(INPUTS!$B$5,C407,INPUTS!$B$6,-INPUTS!$B$3,0,0))</f>
        <v/>
      </c>
      <c r="G407" s="6" t="str">
        <f>IF(C407="","",PPMT(INPUTS!$B$5,C407,INPUTS!$B$6,-INPUTS!$B$3,0,0))</f>
        <v/>
      </c>
      <c r="H407" s="6" t="str">
        <f t="shared" si="29"/>
        <v/>
      </c>
      <c r="I407" s="6" t="str">
        <f t="shared" si="26"/>
        <v/>
      </c>
    </row>
    <row r="408" spans="1:9" hidden="1" x14ac:dyDescent="0.3">
      <c r="A408" s="16" t="str">
        <f t="shared" si="27"/>
        <v/>
      </c>
      <c r="D408" s="14" t="str">
        <f t="shared" si="28"/>
        <v/>
      </c>
      <c r="E408" s="6" t="str">
        <f>IF(C408="","",PMT(INPUTS!$B$5,INPUTS!$B$6,-INPUTS!$B$3,0,0))</f>
        <v/>
      </c>
      <c r="F408" s="6" t="str">
        <f>IF(C408="","",IPMT(INPUTS!$B$5,C408,INPUTS!$B$6,-INPUTS!$B$3,0,0))</f>
        <v/>
      </c>
      <c r="G408" s="6" t="str">
        <f>IF(C408="","",PPMT(INPUTS!$B$5,C408,INPUTS!$B$6,-INPUTS!$B$3,0,0))</f>
        <v/>
      </c>
      <c r="H408" s="6" t="str">
        <f t="shared" si="29"/>
        <v/>
      </c>
      <c r="I408" s="6" t="str">
        <f t="shared" si="26"/>
        <v/>
      </c>
    </row>
    <row r="409" spans="1:9" hidden="1" x14ac:dyDescent="0.3">
      <c r="A409" s="16" t="str">
        <f t="shared" si="27"/>
        <v/>
      </c>
      <c r="D409" s="14" t="str">
        <f t="shared" si="28"/>
        <v/>
      </c>
      <c r="E409" s="6" t="str">
        <f>IF(C409="","",PMT(INPUTS!$B$5,INPUTS!$B$6,-INPUTS!$B$3,0,0))</f>
        <v/>
      </c>
      <c r="F409" s="6" t="str">
        <f>IF(C409="","",IPMT(INPUTS!$B$5,C409,INPUTS!$B$6,-INPUTS!$B$3,0,0))</f>
        <v/>
      </c>
      <c r="G409" s="6" t="str">
        <f>IF(C409="","",PPMT(INPUTS!$B$5,C409,INPUTS!$B$6,-INPUTS!$B$3,0,0))</f>
        <v/>
      </c>
      <c r="H409" s="6" t="str">
        <f t="shared" si="29"/>
        <v/>
      </c>
      <c r="I409" s="6" t="str">
        <f t="shared" si="26"/>
        <v/>
      </c>
    </row>
    <row r="410" spans="1:9" hidden="1" x14ac:dyDescent="0.3">
      <c r="A410" s="16" t="str">
        <f t="shared" si="27"/>
        <v/>
      </c>
      <c r="D410" s="14" t="str">
        <f t="shared" si="28"/>
        <v/>
      </c>
      <c r="E410" s="6" t="str">
        <f>IF(C410="","",PMT(INPUTS!$B$5,INPUTS!$B$6,-INPUTS!$B$3,0,0))</f>
        <v/>
      </c>
      <c r="F410" s="6" t="str">
        <f>IF(C410="","",IPMT(INPUTS!$B$5,C410,INPUTS!$B$6,-INPUTS!$B$3,0,0))</f>
        <v/>
      </c>
      <c r="G410" s="6" t="str">
        <f>IF(C410="","",PPMT(INPUTS!$B$5,C410,INPUTS!$B$6,-INPUTS!$B$3,0,0))</f>
        <v/>
      </c>
      <c r="H410" s="6" t="str">
        <f t="shared" si="29"/>
        <v/>
      </c>
      <c r="I410" s="6" t="str">
        <f t="shared" si="26"/>
        <v/>
      </c>
    </row>
    <row r="411" spans="1:9" hidden="1" x14ac:dyDescent="0.3">
      <c r="A411" s="16" t="str">
        <f t="shared" si="27"/>
        <v/>
      </c>
      <c r="D411" s="14" t="str">
        <f t="shared" si="28"/>
        <v/>
      </c>
      <c r="E411" s="6" t="str">
        <f>IF(C411="","",PMT(INPUTS!$B$5,INPUTS!$B$6,-INPUTS!$B$3,0,0))</f>
        <v/>
      </c>
      <c r="F411" s="6" t="str">
        <f>IF(C411="","",IPMT(INPUTS!$B$5,C411,INPUTS!$B$6,-INPUTS!$B$3,0,0))</f>
        <v/>
      </c>
      <c r="G411" s="6" t="str">
        <f>IF(C411="","",PPMT(INPUTS!$B$5,C411,INPUTS!$B$6,-INPUTS!$B$3,0,0))</f>
        <v/>
      </c>
      <c r="H411" s="6" t="str">
        <f t="shared" si="29"/>
        <v/>
      </c>
      <c r="I411" s="6" t="str">
        <f t="shared" si="26"/>
        <v/>
      </c>
    </row>
    <row r="412" spans="1:9" hidden="1" x14ac:dyDescent="0.3">
      <c r="A412" s="16" t="str">
        <f t="shared" si="27"/>
        <v/>
      </c>
      <c r="D412" s="14" t="str">
        <f t="shared" si="28"/>
        <v/>
      </c>
      <c r="E412" s="6" t="str">
        <f>IF(C412="","",PMT(INPUTS!$B$5,INPUTS!$B$6,-INPUTS!$B$3,0,0))</f>
        <v/>
      </c>
      <c r="F412" s="6" t="str">
        <f>IF(C412="","",IPMT(INPUTS!$B$5,C412,INPUTS!$B$6,-INPUTS!$B$3,0,0))</f>
        <v/>
      </c>
      <c r="G412" s="6" t="str">
        <f>IF(C412="","",PPMT(INPUTS!$B$5,C412,INPUTS!$B$6,-INPUTS!$B$3,0,0))</f>
        <v/>
      </c>
      <c r="H412" s="6" t="str">
        <f t="shared" si="29"/>
        <v/>
      </c>
      <c r="I412" s="6" t="str">
        <f t="shared" si="26"/>
        <v/>
      </c>
    </row>
    <row r="413" spans="1:9" hidden="1" x14ac:dyDescent="0.3">
      <c r="A413" s="16" t="str">
        <f t="shared" si="27"/>
        <v/>
      </c>
      <c r="D413" s="14" t="str">
        <f t="shared" si="28"/>
        <v/>
      </c>
      <c r="E413" s="6" t="str">
        <f>IF(C413="","",PMT(INPUTS!$B$5,INPUTS!$B$6,-INPUTS!$B$3,0,0))</f>
        <v/>
      </c>
      <c r="F413" s="6" t="str">
        <f>IF(C413="","",IPMT(INPUTS!$B$5,C413,INPUTS!$B$6,-INPUTS!$B$3,0,0))</f>
        <v/>
      </c>
      <c r="G413" s="6" t="str">
        <f>IF(C413="","",PPMT(INPUTS!$B$5,C413,INPUTS!$B$6,-INPUTS!$B$3,0,0))</f>
        <v/>
      </c>
      <c r="H413" s="6" t="str">
        <f t="shared" si="29"/>
        <v/>
      </c>
      <c r="I413" s="6" t="str">
        <f t="shared" si="26"/>
        <v/>
      </c>
    </row>
    <row r="414" spans="1:9" hidden="1" x14ac:dyDescent="0.3">
      <c r="A414" s="16" t="str">
        <f t="shared" si="27"/>
        <v/>
      </c>
      <c r="D414" s="14" t="str">
        <f t="shared" si="28"/>
        <v/>
      </c>
      <c r="E414" s="6" t="str">
        <f>IF(C414="","",PMT(INPUTS!$B$5,INPUTS!$B$6,-INPUTS!$B$3,0,0))</f>
        <v/>
      </c>
      <c r="F414" s="6" t="str">
        <f>IF(C414="","",IPMT(INPUTS!$B$5,C414,INPUTS!$B$6,-INPUTS!$B$3,0,0))</f>
        <v/>
      </c>
      <c r="G414" s="6" t="str">
        <f>IF(C414="","",PPMT(INPUTS!$B$5,C414,INPUTS!$B$6,-INPUTS!$B$3,0,0))</f>
        <v/>
      </c>
      <c r="H414" s="6" t="str">
        <f t="shared" si="29"/>
        <v/>
      </c>
      <c r="I414" s="6" t="str">
        <f t="shared" si="26"/>
        <v/>
      </c>
    </row>
    <row r="415" spans="1:9" hidden="1" x14ac:dyDescent="0.3">
      <c r="A415" s="16" t="str">
        <f t="shared" si="27"/>
        <v/>
      </c>
      <c r="D415" s="14" t="str">
        <f t="shared" si="28"/>
        <v/>
      </c>
      <c r="E415" s="6" t="str">
        <f>IF(C415="","",PMT(INPUTS!$B$5,INPUTS!$B$6,-INPUTS!$B$3,0,0))</f>
        <v/>
      </c>
      <c r="F415" s="6" t="str">
        <f>IF(C415="","",IPMT(INPUTS!$B$5,C415,INPUTS!$B$6,-INPUTS!$B$3,0,0))</f>
        <v/>
      </c>
      <c r="G415" s="6" t="str">
        <f>IF(C415="","",PPMT(INPUTS!$B$5,C415,INPUTS!$B$6,-INPUTS!$B$3,0,0))</f>
        <v/>
      </c>
      <c r="H415" s="6" t="str">
        <f t="shared" si="29"/>
        <v/>
      </c>
      <c r="I415" s="6" t="str">
        <f t="shared" si="26"/>
        <v/>
      </c>
    </row>
    <row r="416" spans="1:9" hidden="1" x14ac:dyDescent="0.3">
      <c r="A416" s="16" t="str">
        <f t="shared" si="27"/>
        <v/>
      </c>
      <c r="D416" s="14" t="str">
        <f t="shared" si="28"/>
        <v/>
      </c>
      <c r="E416" s="6" t="str">
        <f>IF(C416="","",PMT(INPUTS!$B$5,INPUTS!$B$6,-INPUTS!$B$3,0,0))</f>
        <v/>
      </c>
      <c r="F416" s="6" t="str">
        <f>IF(C416="","",IPMT(INPUTS!$B$5,C416,INPUTS!$B$6,-INPUTS!$B$3,0,0))</f>
        <v/>
      </c>
      <c r="G416" s="6" t="str">
        <f>IF(C416="","",PPMT(INPUTS!$B$5,C416,INPUTS!$B$6,-INPUTS!$B$3,0,0))</f>
        <v/>
      </c>
      <c r="H416" s="6" t="str">
        <f t="shared" si="29"/>
        <v/>
      </c>
      <c r="I416" s="6" t="str">
        <f t="shared" si="26"/>
        <v/>
      </c>
    </row>
    <row r="417" spans="1:9" hidden="1" x14ac:dyDescent="0.3">
      <c r="A417" s="16" t="str">
        <f t="shared" si="27"/>
        <v/>
      </c>
      <c r="D417" s="14" t="str">
        <f t="shared" si="28"/>
        <v/>
      </c>
      <c r="E417" s="6" t="str">
        <f>IF(C417="","",PMT(INPUTS!$B$5,INPUTS!$B$6,-INPUTS!$B$3,0,0))</f>
        <v/>
      </c>
      <c r="F417" s="6" t="str">
        <f>IF(C417="","",IPMT(INPUTS!$B$5,C417,INPUTS!$B$6,-INPUTS!$B$3,0,0))</f>
        <v/>
      </c>
      <c r="G417" s="6" t="str">
        <f>IF(C417="","",PPMT(INPUTS!$B$5,C417,INPUTS!$B$6,-INPUTS!$B$3,0,0))</f>
        <v/>
      </c>
      <c r="H417" s="6" t="str">
        <f t="shared" si="29"/>
        <v/>
      </c>
      <c r="I417" s="6" t="str">
        <f t="shared" si="26"/>
        <v/>
      </c>
    </row>
    <row r="418" spans="1:9" hidden="1" x14ac:dyDescent="0.3">
      <c r="A418" s="16" t="str">
        <f t="shared" si="27"/>
        <v/>
      </c>
      <c r="D418" s="14" t="str">
        <f t="shared" si="28"/>
        <v/>
      </c>
      <c r="E418" s="6" t="str">
        <f>IF(C418="","",PMT(INPUTS!$B$5,INPUTS!$B$6,-INPUTS!$B$3,0,0))</f>
        <v/>
      </c>
      <c r="F418" s="6" t="str">
        <f>IF(C418="","",IPMT(INPUTS!$B$5,C418,INPUTS!$B$6,-INPUTS!$B$3,0,0))</f>
        <v/>
      </c>
      <c r="G418" s="6" t="str">
        <f>IF(C418="","",PPMT(INPUTS!$B$5,C418,INPUTS!$B$6,-INPUTS!$B$3,0,0))</f>
        <v/>
      </c>
      <c r="H418" s="6" t="str">
        <f t="shared" si="29"/>
        <v/>
      </c>
      <c r="I418" s="6" t="str">
        <f t="shared" si="26"/>
        <v/>
      </c>
    </row>
    <row r="419" spans="1:9" hidden="1" x14ac:dyDescent="0.3">
      <c r="A419" s="16" t="str">
        <f t="shared" si="27"/>
        <v/>
      </c>
      <c r="D419" s="14" t="str">
        <f t="shared" si="28"/>
        <v/>
      </c>
      <c r="E419" s="6" t="str">
        <f>IF(C419="","",PMT(INPUTS!$B$5,INPUTS!$B$6,-INPUTS!$B$3,0,0))</f>
        <v/>
      </c>
      <c r="F419" s="6" t="str">
        <f>IF(C419="","",IPMT(INPUTS!$B$5,C419,INPUTS!$B$6,-INPUTS!$B$3,0,0))</f>
        <v/>
      </c>
      <c r="G419" s="6" t="str">
        <f>IF(C419="","",PPMT(INPUTS!$B$5,C419,INPUTS!$B$6,-INPUTS!$B$3,0,0))</f>
        <v/>
      </c>
      <c r="H419" s="6" t="str">
        <f t="shared" si="29"/>
        <v/>
      </c>
      <c r="I419" s="6" t="str">
        <f t="shared" si="26"/>
        <v/>
      </c>
    </row>
    <row r="420" spans="1:9" hidden="1" x14ac:dyDescent="0.3">
      <c r="A420" s="16" t="str">
        <f t="shared" si="27"/>
        <v/>
      </c>
      <c r="D420" s="14" t="str">
        <f t="shared" si="28"/>
        <v/>
      </c>
      <c r="E420" s="6" t="str">
        <f>IF(C420="","",PMT(INPUTS!$B$5,INPUTS!$B$6,-INPUTS!$B$3,0,0))</f>
        <v/>
      </c>
      <c r="F420" s="6" t="str">
        <f>IF(C420="","",IPMT(INPUTS!$B$5,C420,INPUTS!$B$6,-INPUTS!$B$3,0,0))</f>
        <v/>
      </c>
      <c r="G420" s="6" t="str">
        <f>IF(C420="","",PPMT(INPUTS!$B$5,C420,INPUTS!$B$6,-INPUTS!$B$3,0,0))</f>
        <v/>
      </c>
      <c r="H420" s="6" t="str">
        <f t="shared" si="29"/>
        <v/>
      </c>
      <c r="I420" s="6" t="str">
        <f t="shared" si="26"/>
        <v/>
      </c>
    </row>
    <row r="421" spans="1:9" hidden="1" x14ac:dyDescent="0.3">
      <c r="A421" s="16" t="str">
        <f t="shared" si="27"/>
        <v/>
      </c>
      <c r="D421" s="14" t="str">
        <f t="shared" si="28"/>
        <v/>
      </c>
      <c r="E421" s="6" t="str">
        <f>IF(C421="","",PMT(INPUTS!$B$5,INPUTS!$B$6,-INPUTS!$B$3,0,0))</f>
        <v/>
      </c>
      <c r="F421" s="6" t="str">
        <f>IF(C421="","",IPMT(INPUTS!$B$5,C421,INPUTS!$B$6,-INPUTS!$B$3,0,0))</f>
        <v/>
      </c>
      <c r="G421" s="6" t="str">
        <f>IF(C421="","",PPMT(INPUTS!$B$5,C421,INPUTS!$B$6,-INPUTS!$B$3,0,0))</f>
        <v/>
      </c>
      <c r="H421" s="6" t="str">
        <f t="shared" si="29"/>
        <v/>
      </c>
      <c r="I421" s="6" t="str">
        <f t="shared" si="26"/>
        <v/>
      </c>
    </row>
    <row r="422" spans="1:9" hidden="1" x14ac:dyDescent="0.3">
      <c r="A422" s="16" t="str">
        <f t="shared" si="27"/>
        <v/>
      </c>
      <c r="D422" s="14" t="str">
        <f t="shared" si="28"/>
        <v/>
      </c>
      <c r="E422" s="6" t="str">
        <f>IF(C422="","",PMT(INPUTS!$B$5,INPUTS!$B$6,-INPUTS!$B$3,0,0))</f>
        <v/>
      </c>
      <c r="F422" s="6" t="str">
        <f>IF(C422="","",IPMT(INPUTS!$B$5,C422,INPUTS!$B$6,-INPUTS!$B$3,0,0))</f>
        <v/>
      </c>
      <c r="G422" s="6" t="str">
        <f>IF(C422="","",PPMT(INPUTS!$B$5,C422,INPUTS!$B$6,-INPUTS!$B$3,0,0))</f>
        <v/>
      </c>
      <c r="H422" s="6" t="str">
        <f t="shared" si="29"/>
        <v/>
      </c>
      <c r="I422" s="6" t="str">
        <f t="shared" si="26"/>
        <v/>
      </c>
    </row>
    <row r="423" spans="1:9" hidden="1" x14ac:dyDescent="0.3">
      <c r="A423" s="16" t="str">
        <f t="shared" si="27"/>
        <v/>
      </c>
      <c r="D423" s="14" t="str">
        <f t="shared" si="28"/>
        <v/>
      </c>
      <c r="E423" s="6" t="str">
        <f>IF(C423="","",PMT(INPUTS!$B$5,INPUTS!$B$6,-INPUTS!$B$3,0,0))</f>
        <v/>
      </c>
      <c r="F423" s="6" t="str">
        <f>IF(C423="","",IPMT(INPUTS!$B$5,C423,INPUTS!$B$6,-INPUTS!$B$3,0,0))</f>
        <v/>
      </c>
      <c r="G423" s="6" t="str">
        <f>IF(C423="","",PPMT(INPUTS!$B$5,C423,INPUTS!$B$6,-INPUTS!$B$3,0,0))</f>
        <v/>
      </c>
      <c r="H423" s="6" t="str">
        <f t="shared" si="29"/>
        <v/>
      </c>
      <c r="I423" s="6" t="str">
        <f t="shared" si="26"/>
        <v/>
      </c>
    </row>
    <row r="424" spans="1:9" hidden="1" x14ac:dyDescent="0.3">
      <c r="A424" s="16" t="str">
        <f t="shared" si="27"/>
        <v/>
      </c>
      <c r="D424" s="14" t="str">
        <f t="shared" si="28"/>
        <v/>
      </c>
      <c r="E424" s="6" t="str">
        <f>IF(C424="","",PMT(INPUTS!$B$5,INPUTS!$B$6,-INPUTS!$B$3,0,0))</f>
        <v/>
      </c>
      <c r="F424" s="6" t="str">
        <f>IF(C424="","",IPMT(INPUTS!$B$5,C424,INPUTS!$B$6,-INPUTS!$B$3,0,0))</f>
        <v/>
      </c>
      <c r="G424" s="6" t="str">
        <f>IF(C424="","",PPMT(INPUTS!$B$5,C424,INPUTS!$B$6,-INPUTS!$B$3,0,0))</f>
        <v/>
      </c>
      <c r="H424" s="6" t="str">
        <f t="shared" si="29"/>
        <v/>
      </c>
      <c r="I424" s="6" t="str">
        <f t="shared" si="26"/>
        <v/>
      </c>
    </row>
    <row r="425" spans="1:9" hidden="1" x14ac:dyDescent="0.3">
      <c r="A425" s="16" t="str">
        <f t="shared" si="27"/>
        <v/>
      </c>
      <c r="D425" s="14" t="str">
        <f t="shared" si="28"/>
        <v/>
      </c>
      <c r="E425" s="6" t="str">
        <f>IF(C425="","",PMT(INPUTS!$B$5,INPUTS!$B$6,-INPUTS!$B$3,0,0))</f>
        <v/>
      </c>
      <c r="F425" s="6" t="str">
        <f>IF(C425="","",IPMT(INPUTS!$B$5,C425,INPUTS!$B$6,-INPUTS!$B$3,0,0))</f>
        <v/>
      </c>
      <c r="G425" s="6" t="str">
        <f>IF(C425="","",PPMT(INPUTS!$B$5,C425,INPUTS!$B$6,-INPUTS!$B$3,0,0))</f>
        <v/>
      </c>
      <c r="H425" s="6" t="str">
        <f t="shared" si="29"/>
        <v/>
      </c>
      <c r="I425" s="6" t="str">
        <f t="shared" si="26"/>
        <v/>
      </c>
    </row>
    <row r="426" spans="1:9" hidden="1" x14ac:dyDescent="0.3">
      <c r="A426" s="16" t="str">
        <f t="shared" si="27"/>
        <v/>
      </c>
      <c r="D426" s="14" t="str">
        <f t="shared" si="28"/>
        <v/>
      </c>
      <c r="E426" s="6" t="str">
        <f>IF(C426="","",PMT(INPUTS!$B$5,INPUTS!$B$6,-INPUTS!$B$3,0,0))</f>
        <v/>
      </c>
      <c r="F426" s="6" t="str">
        <f>IF(C426="","",IPMT(INPUTS!$B$5,C426,INPUTS!$B$6,-INPUTS!$B$3,0,0))</f>
        <v/>
      </c>
      <c r="G426" s="6" t="str">
        <f>IF(C426="","",PPMT(INPUTS!$B$5,C426,INPUTS!$B$6,-INPUTS!$B$3,0,0))</f>
        <v/>
      </c>
      <c r="H426" s="6" t="str">
        <f t="shared" si="29"/>
        <v/>
      </c>
      <c r="I426" s="6" t="str">
        <f t="shared" si="26"/>
        <v/>
      </c>
    </row>
    <row r="427" spans="1:9" hidden="1" x14ac:dyDescent="0.3">
      <c r="A427" s="16" t="str">
        <f t="shared" si="27"/>
        <v/>
      </c>
      <c r="D427" s="14" t="str">
        <f t="shared" si="28"/>
        <v/>
      </c>
      <c r="E427" s="6" t="str">
        <f>IF(C427="","",PMT(INPUTS!$B$5,INPUTS!$B$6,-INPUTS!$B$3,0,0))</f>
        <v/>
      </c>
      <c r="F427" s="6" t="str">
        <f>IF(C427="","",IPMT(INPUTS!$B$5,C427,INPUTS!$B$6,-INPUTS!$B$3,0,0))</f>
        <v/>
      </c>
      <c r="G427" s="6" t="str">
        <f>IF(C427="","",PPMT(INPUTS!$B$5,C427,INPUTS!$B$6,-INPUTS!$B$3,0,0))</f>
        <v/>
      </c>
      <c r="H427" s="6" t="str">
        <f t="shared" si="29"/>
        <v/>
      </c>
      <c r="I427" s="6" t="str">
        <f t="shared" si="26"/>
        <v/>
      </c>
    </row>
    <row r="428" spans="1:9" hidden="1" x14ac:dyDescent="0.3">
      <c r="A428" s="16" t="str">
        <f t="shared" si="27"/>
        <v/>
      </c>
      <c r="D428" s="14" t="str">
        <f t="shared" si="28"/>
        <v/>
      </c>
      <c r="E428" s="6" t="str">
        <f>IF(C428="","",PMT(INPUTS!$B$5,INPUTS!$B$6,-INPUTS!$B$3,0,0))</f>
        <v/>
      </c>
      <c r="F428" s="6" t="str">
        <f>IF(C428="","",IPMT(INPUTS!$B$5,C428,INPUTS!$B$6,-INPUTS!$B$3,0,0))</f>
        <v/>
      </c>
      <c r="G428" s="6" t="str">
        <f>IF(C428="","",PPMT(INPUTS!$B$5,C428,INPUTS!$B$6,-INPUTS!$B$3,0,0))</f>
        <v/>
      </c>
      <c r="H428" s="6" t="str">
        <f t="shared" si="29"/>
        <v/>
      </c>
      <c r="I428" s="6" t="str">
        <f t="shared" si="26"/>
        <v/>
      </c>
    </row>
    <row r="429" spans="1:9" hidden="1" x14ac:dyDescent="0.3">
      <c r="A429" s="16" t="str">
        <f t="shared" si="27"/>
        <v/>
      </c>
      <c r="D429" s="14" t="str">
        <f t="shared" si="28"/>
        <v/>
      </c>
      <c r="E429" s="6" t="str">
        <f>IF(C429="","",PMT(INPUTS!$B$5,INPUTS!$B$6,-INPUTS!$B$3,0,0))</f>
        <v/>
      </c>
      <c r="F429" s="6" t="str">
        <f>IF(C429="","",IPMT(INPUTS!$B$5,C429,INPUTS!$B$6,-INPUTS!$B$3,0,0))</f>
        <v/>
      </c>
      <c r="G429" s="6" t="str">
        <f>IF(C429="","",PPMT(INPUTS!$B$5,C429,INPUTS!$B$6,-INPUTS!$B$3,0,0))</f>
        <v/>
      </c>
      <c r="H429" s="6" t="str">
        <f t="shared" si="29"/>
        <v/>
      </c>
      <c r="I429" s="6" t="str">
        <f t="shared" si="26"/>
        <v/>
      </c>
    </row>
    <row r="430" spans="1:9" hidden="1" x14ac:dyDescent="0.3">
      <c r="A430" s="16" t="str">
        <f t="shared" si="27"/>
        <v/>
      </c>
      <c r="D430" s="14" t="str">
        <f t="shared" si="28"/>
        <v/>
      </c>
      <c r="E430" s="6" t="str">
        <f>IF(C430="","",PMT(INPUTS!$B$5,INPUTS!$B$6,-INPUTS!$B$3,0,0))</f>
        <v/>
      </c>
      <c r="F430" s="6" t="str">
        <f>IF(C430="","",IPMT(INPUTS!$B$5,C430,INPUTS!$B$6,-INPUTS!$B$3,0,0))</f>
        <v/>
      </c>
      <c r="G430" s="6" t="str">
        <f>IF(C430="","",PPMT(INPUTS!$B$5,C430,INPUTS!$B$6,-INPUTS!$B$3,0,0))</f>
        <v/>
      </c>
      <c r="H430" s="6" t="str">
        <f t="shared" si="29"/>
        <v/>
      </c>
      <c r="I430" s="6" t="str">
        <f t="shared" si="26"/>
        <v/>
      </c>
    </row>
    <row r="431" spans="1:9" hidden="1" x14ac:dyDescent="0.3">
      <c r="A431" s="16" t="str">
        <f t="shared" si="27"/>
        <v/>
      </c>
      <c r="D431" s="14" t="str">
        <f t="shared" si="28"/>
        <v/>
      </c>
      <c r="E431" s="6" t="str">
        <f>IF(C431="","",PMT(INPUTS!$B$5,INPUTS!$B$6,-INPUTS!$B$3,0,0))</f>
        <v/>
      </c>
      <c r="F431" s="6" t="str">
        <f>IF(C431="","",IPMT(INPUTS!$B$5,C431,INPUTS!$B$6,-INPUTS!$B$3,0,0))</f>
        <v/>
      </c>
      <c r="G431" s="6" t="str">
        <f>IF(C431="","",PPMT(INPUTS!$B$5,C431,INPUTS!$B$6,-INPUTS!$B$3,0,0))</f>
        <v/>
      </c>
      <c r="H431" s="6" t="str">
        <f t="shared" si="29"/>
        <v/>
      </c>
      <c r="I431" s="6" t="str">
        <f t="shared" si="26"/>
        <v/>
      </c>
    </row>
    <row r="432" spans="1:9" hidden="1" x14ac:dyDescent="0.3">
      <c r="A432" s="16" t="str">
        <f t="shared" si="27"/>
        <v/>
      </c>
      <c r="D432" s="14" t="str">
        <f t="shared" si="28"/>
        <v/>
      </c>
      <c r="E432" s="6" t="str">
        <f>IF(C432="","",PMT(INPUTS!$B$5,INPUTS!$B$6,-INPUTS!$B$3,0,0))</f>
        <v/>
      </c>
      <c r="F432" s="6" t="str">
        <f>IF(C432="","",IPMT(INPUTS!$B$5,C432,INPUTS!$B$6,-INPUTS!$B$3,0,0))</f>
        <v/>
      </c>
      <c r="G432" s="6" t="str">
        <f>IF(C432="","",PPMT(INPUTS!$B$5,C432,INPUTS!$B$6,-INPUTS!$B$3,0,0))</f>
        <v/>
      </c>
      <c r="H432" s="6" t="str">
        <f t="shared" si="29"/>
        <v/>
      </c>
      <c r="I432" s="6" t="str">
        <f t="shared" ref="I432:I495" si="30">IF(C432="","",H432-G432)</f>
        <v/>
      </c>
    </row>
    <row r="433" spans="1:9" hidden="1" x14ac:dyDescent="0.3">
      <c r="A433" s="16" t="str">
        <f t="shared" si="27"/>
        <v/>
      </c>
      <c r="D433" s="14" t="str">
        <f t="shared" si="28"/>
        <v/>
      </c>
      <c r="E433" s="6" t="str">
        <f>IF(C433="","",PMT(INPUTS!$B$5,INPUTS!$B$6,-INPUTS!$B$3,0,0))</f>
        <v/>
      </c>
      <c r="F433" s="6" t="str">
        <f>IF(C433="","",IPMT(INPUTS!$B$5,C433,INPUTS!$B$6,-INPUTS!$B$3,0,0))</f>
        <v/>
      </c>
      <c r="G433" s="6" t="str">
        <f>IF(C433="","",PPMT(INPUTS!$B$5,C433,INPUTS!$B$6,-INPUTS!$B$3,0,0))</f>
        <v/>
      </c>
      <c r="H433" s="6" t="str">
        <f t="shared" si="29"/>
        <v/>
      </c>
      <c r="I433" s="6" t="str">
        <f t="shared" si="30"/>
        <v/>
      </c>
    </row>
    <row r="434" spans="1:9" hidden="1" x14ac:dyDescent="0.3">
      <c r="A434" s="16" t="str">
        <f t="shared" si="27"/>
        <v/>
      </c>
      <c r="D434" s="14" t="str">
        <f t="shared" si="28"/>
        <v/>
      </c>
      <c r="E434" s="6" t="str">
        <f>IF(C434="","",PMT(INPUTS!$B$5,INPUTS!$B$6,-INPUTS!$B$3,0,0))</f>
        <v/>
      </c>
      <c r="F434" s="6" t="str">
        <f>IF(C434="","",IPMT(INPUTS!$B$5,C434,INPUTS!$B$6,-INPUTS!$B$3,0,0))</f>
        <v/>
      </c>
      <c r="G434" s="6" t="str">
        <f>IF(C434="","",PPMT(INPUTS!$B$5,C434,INPUTS!$B$6,-INPUTS!$B$3,0,0))</f>
        <v/>
      </c>
      <c r="H434" s="6" t="str">
        <f t="shared" si="29"/>
        <v/>
      </c>
      <c r="I434" s="6" t="str">
        <f t="shared" si="30"/>
        <v/>
      </c>
    </row>
    <row r="435" spans="1:9" hidden="1" x14ac:dyDescent="0.3">
      <c r="A435" s="16" t="str">
        <f t="shared" si="27"/>
        <v/>
      </c>
      <c r="D435" s="14" t="str">
        <f t="shared" si="28"/>
        <v/>
      </c>
      <c r="E435" s="6" t="str">
        <f>IF(C435="","",PMT(INPUTS!$B$5,INPUTS!$B$6,-INPUTS!$B$3,0,0))</f>
        <v/>
      </c>
      <c r="F435" s="6" t="str">
        <f>IF(C435="","",IPMT(INPUTS!$B$5,C435,INPUTS!$B$6,-INPUTS!$B$3,0,0))</f>
        <v/>
      </c>
      <c r="G435" s="6" t="str">
        <f>IF(C435="","",PPMT(INPUTS!$B$5,C435,INPUTS!$B$6,-INPUTS!$B$3,0,0))</f>
        <v/>
      </c>
      <c r="H435" s="6" t="str">
        <f t="shared" si="29"/>
        <v/>
      </c>
      <c r="I435" s="6" t="str">
        <f t="shared" si="30"/>
        <v/>
      </c>
    </row>
    <row r="436" spans="1:9" hidden="1" x14ac:dyDescent="0.3">
      <c r="A436" s="16" t="str">
        <f t="shared" si="27"/>
        <v/>
      </c>
      <c r="D436" s="14" t="str">
        <f t="shared" si="28"/>
        <v/>
      </c>
      <c r="E436" s="6" t="str">
        <f>IF(C436="","",PMT(INPUTS!$B$5,INPUTS!$B$6,-INPUTS!$B$3,0,0))</f>
        <v/>
      </c>
      <c r="F436" s="6" t="str">
        <f>IF(C436="","",IPMT(INPUTS!$B$5,C436,INPUTS!$B$6,-INPUTS!$B$3,0,0))</f>
        <v/>
      </c>
      <c r="G436" s="6" t="str">
        <f>IF(C436="","",PPMT(INPUTS!$B$5,C436,INPUTS!$B$6,-INPUTS!$B$3,0,0))</f>
        <v/>
      </c>
      <c r="H436" s="6" t="str">
        <f t="shared" si="29"/>
        <v/>
      </c>
      <c r="I436" s="6" t="str">
        <f t="shared" si="30"/>
        <v/>
      </c>
    </row>
    <row r="437" spans="1:9" hidden="1" x14ac:dyDescent="0.3">
      <c r="A437" s="16" t="str">
        <f t="shared" si="27"/>
        <v/>
      </c>
      <c r="D437" s="14" t="str">
        <f t="shared" si="28"/>
        <v/>
      </c>
      <c r="E437" s="6" t="str">
        <f>IF(C437="","",PMT(INPUTS!$B$5,INPUTS!$B$6,-INPUTS!$B$3,0,0))</f>
        <v/>
      </c>
      <c r="F437" s="6" t="str">
        <f>IF(C437="","",IPMT(INPUTS!$B$5,C437,INPUTS!$B$6,-INPUTS!$B$3,0,0))</f>
        <v/>
      </c>
      <c r="G437" s="6" t="str">
        <f>IF(C437="","",PPMT(INPUTS!$B$5,C437,INPUTS!$B$6,-INPUTS!$B$3,0,0))</f>
        <v/>
      </c>
      <c r="H437" s="6" t="str">
        <f t="shared" si="29"/>
        <v/>
      </c>
      <c r="I437" s="6" t="str">
        <f t="shared" si="30"/>
        <v/>
      </c>
    </row>
    <row r="438" spans="1:9" hidden="1" x14ac:dyDescent="0.3">
      <c r="A438" s="16" t="str">
        <f t="shared" si="27"/>
        <v/>
      </c>
      <c r="D438" s="14" t="str">
        <f t="shared" si="28"/>
        <v/>
      </c>
      <c r="E438" s="6" t="str">
        <f>IF(C438="","",PMT(INPUTS!$B$5,INPUTS!$B$6,-INPUTS!$B$3,0,0))</f>
        <v/>
      </c>
      <c r="F438" s="6" t="str">
        <f>IF(C438="","",IPMT(INPUTS!$B$5,C438,INPUTS!$B$6,-INPUTS!$B$3,0,0))</f>
        <v/>
      </c>
      <c r="G438" s="6" t="str">
        <f>IF(C438="","",PPMT(INPUTS!$B$5,C438,INPUTS!$B$6,-INPUTS!$B$3,0,0))</f>
        <v/>
      </c>
      <c r="H438" s="6" t="str">
        <f t="shared" si="29"/>
        <v/>
      </c>
      <c r="I438" s="6" t="str">
        <f t="shared" si="30"/>
        <v/>
      </c>
    </row>
    <row r="439" spans="1:9" hidden="1" x14ac:dyDescent="0.3">
      <c r="A439" s="16" t="str">
        <f t="shared" si="27"/>
        <v/>
      </c>
      <c r="D439" s="14" t="str">
        <f t="shared" si="28"/>
        <v/>
      </c>
      <c r="E439" s="6" t="str">
        <f>IF(C439="","",PMT(INPUTS!$B$5,INPUTS!$B$6,-INPUTS!$B$3,0,0))</f>
        <v/>
      </c>
      <c r="F439" s="6" t="str">
        <f>IF(C439="","",IPMT(INPUTS!$B$5,C439,INPUTS!$B$6,-INPUTS!$B$3,0,0))</f>
        <v/>
      </c>
      <c r="G439" s="6" t="str">
        <f>IF(C439="","",PPMT(INPUTS!$B$5,C439,INPUTS!$B$6,-INPUTS!$B$3,0,0))</f>
        <v/>
      </c>
      <c r="H439" s="6" t="str">
        <f t="shared" si="29"/>
        <v/>
      </c>
      <c r="I439" s="6" t="str">
        <f t="shared" si="30"/>
        <v/>
      </c>
    </row>
    <row r="440" spans="1:9" hidden="1" x14ac:dyDescent="0.3">
      <c r="A440" s="16" t="str">
        <f t="shared" si="27"/>
        <v/>
      </c>
      <c r="D440" s="14" t="str">
        <f t="shared" si="28"/>
        <v/>
      </c>
      <c r="E440" s="6" t="str">
        <f>IF(C440="","",PMT(INPUTS!$B$5,INPUTS!$B$6,-INPUTS!$B$3,0,0))</f>
        <v/>
      </c>
      <c r="F440" s="6" t="str">
        <f>IF(C440="","",IPMT(INPUTS!$B$5,C440,INPUTS!$B$6,-INPUTS!$B$3,0,0))</f>
        <v/>
      </c>
      <c r="G440" s="6" t="str">
        <f>IF(C440="","",PPMT(INPUTS!$B$5,C440,INPUTS!$B$6,-INPUTS!$B$3,0,0))</f>
        <v/>
      </c>
      <c r="H440" s="6" t="str">
        <f t="shared" si="29"/>
        <v/>
      </c>
      <c r="I440" s="6" t="str">
        <f t="shared" si="30"/>
        <v/>
      </c>
    </row>
    <row r="441" spans="1:9" hidden="1" x14ac:dyDescent="0.3">
      <c r="A441" s="16" t="str">
        <f t="shared" si="27"/>
        <v/>
      </c>
      <c r="D441" s="14" t="str">
        <f t="shared" si="28"/>
        <v/>
      </c>
      <c r="E441" s="6" t="str">
        <f>IF(C441="","",PMT(INPUTS!$B$5,INPUTS!$B$6,-INPUTS!$B$3,0,0))</f>
        <v/>
      </c>
      <c r="F441" s="6" t="str">
        <f>IF(C441="","",IPMT(INPUTS!$B$5,C441,INPUTS!$B$6,-INPUTS!$B$3,0,0))</f>
        <v/>
      </c>
      <c r="G441" s="6" t="str">
        <f>IF(C441="","",PPMT(INPUTS!$B$5,C441,INPUTS!$B$6,-INPUTS!$B$3,0,0))</f>
        <v/>
      </c>
      <c r="H441" s="6" t="str">
        <f t="shared" si="29"/>
        <v/>
      </c>
      <c r="I441" s="6" t="str">
        <f t="shared" si="30"/>
        <v/>
      </c>
    </row>
    <row r="442" spans="1:9" hidden="1" x14ac:dyDescent="0.3">
      <c r="A442" s="16" t="str">
        <f t="shared" si="27"/>
        <v/>
      </c>
      <c r="D442" s="14" t="str">
        <f t="shared" si="28"/>
        <v/>
      </c>
      <c r="E442" s="6" t="str">
        <f>IF(C442="","",PMT(INPUTS!$B$5,INPUTS!$B$6,-INPUTS!$B$3,0,0))</f>
        <v/>
      </c>
      <c r="F442" s="6" t="str">
        <f>IF(C442="","",IPMT(INPUTS!$B$5,C442,INPUTS!$B$6,-INPUTS!$B$3,0,0))</f>
        <v/>
      </c>
      <c r="G442" s="6" t="str">
        <f>IF(C442="","",PPMT(INPUTS!$B$5,C442,INPUTS!$B$6,-INPUTS!$B$3,0,0))</f>
        <v/>
      </c>
      <c r="H442" s="6" t="str">
        <f t="shared" si="29"/>
        <v/>
      </c>
      <c r="I442" s="6" t="str">
        <f t="shared" si="30"/>
        <v/>
      </c>
    </row>
    <row r="443" spans="1:9" hidden="1" x14ac:dyDescent="0.3">
      <c r="A443" s="16" t="str">
        <f t="shared" si="27"/>
        <v/>
      </c>
      <c r="D443" s="14" t="str">
        <f t="shared" si="28"/>
        <v/>
      </c>
      <c r="E443" s="6" t="str">
        <f>IF(C443="","",PMT(INPUTS!$B$5,INPUTS!$B$6,-INPUTS!$B$3,0,0))</f>
        <v/>
      </c>
      <c r="F443" s="6" t="str">
        <f>IF(C443="","",IPMT(INPUTS!$B$5,C443,INPUTS!$B$6,-INPUTS!$B$3,0,0))</f>
        <v/>
      </c>
      <c r="G443" s="6" t="str">
        <f>IF(C443="","",PPMT(INPUTS!$B$5,C443,INPUTS!$B$6,-INPUTS!$B$3,0,0))</f>
        <v/>
      </c>
      <c r="H443" s="6" t="str">
        <f t="shared" si="29"/>
        <v/>
      </c>
      <c r="I443" s="6" t="str">
        <f t="shared" si="30"/>
        <v/>
      </c>
    </row>
    <row r="444" spans="1:9" hidden="1" x14ac:dyDescent="0.3">
      <c r="A444" s="16" t="str">
        <f t="shared" si="27"/>
        <v/>
      </c>
      <c r="D444" s="14" t="str">
        <f t="shared" si="28"/>
        <v/>
      </c>
      <c r="E444" s="6" t="str">
        <f>IF(C444="","",PMT(INPUTS!$B$5,INPUTS!$B$6,-INPUTS!$B$3,0,0))</f>
        <v/>
      </c>
      <c r="F444" s="6" t="str">
        <f>IF(C444="","",IPMT(INPUTS!$B$5,C444,INPUTS!$B$6,-INPUTS!$B$3,0,0))</f>
        <v/>
      </c>
      <c r="G444" s="6" t="str">
        <f>IF(C444="","",PPMT(INPUTS!$B$5,C444,INPUTS!$B$6,-INPUTS!$B$3,0,0))</f>
        <v/>
      </c>
      <c r="H444" s="6" t="str">
        <f t="shared" si="29"/>
        <v/>
      </c>
      <c r="I444" s="6" t="str">
        <f t="shared" si="30"/>
        <v/>
      </c>
    </row>
    <row r="445" spans="1:9" hidden="1" x14ac:dyDescent="0.3">
      <c r="A445" s="16" t="str">
        <f t="shared" si="27"/>
        <v/>
      </c>
      <c r="D445" s="14" t="str">
        <f t="shared" si="28"/>
        <v/>
      </c>
      <c r="E445" s="6" t="str">
        <f>IF(C445="","",PMT(INPUTS!$B$5,INPUTS!$B$6,-INPUTS!$B$3,0,0))</f>
        <v/>
      </c>
      <c r="F445" s="6" t="str">
        <f>IF(C445="","",IPMT(INPUTS!$B$5,C445,INPUTS!$B$6,-INPUTS!$B$3,0,0))</f>
        <v/>
      </c>
      <c r="G445" s="6" t="str">
        <f>IF(C445="","",PPMT(INPUTS!$B$5,C445,INPUTS!$B$6,-INPUTS!$B$3,0,0))</f>
        <v/>
      </c>
      <c r="H445" s="6" t="str">
        <f t="shared" si="29"/>
        <v/>
      </c>
      <c r="I445" s="6" t="str">
        <f t="shared" si="30"/>
        <v/>
      </c>
    </row>
    <row r="446" spans="1:9" hidden="1" x14ac:dyDescent="0.3">
      <c r="A446" s="16" t="str">
        <f t="shared" si="27"/>
        <v/>
      </c>
      <c r="D446" s="14" t="str">
        <f t="shared" si="28"/>
        <v/>
      </c>
      <c r="E446" s="6" t="str">
        <f>IF(C446="","",PMT(INPUTS!$B$5,INPUTS!$B$6,-INPUTS!$B$3,0,0))</f>
        <v/>
      </c>
      <c r="F446" s="6" t="str">
        <f>IF(C446="","",IPMT(INPUTS!$B$5,C446,INPUTS!$B$6,-INPUTS!$B$3,0,0))</f>
        <v/>
      </c>
      <c r="G446" s="6" t="str">
        <f>IF(C446="","",PPMT(INPUTS!$B$5,C446,INPUTS!$B$6,-INPUTS!$B$3,0,0))</f>
        <v/>
      </c>
      <c r="H446" s="6" t="str">
        <f t="shared" si="29"/>
        <v/>
      </c>
      <c r="I446" s="6" t="str">
        <f t="shared" si="30"/>
        <v/>
      </c>
    </row>
    <row r="447" spans="1:9" hidden="1" x14ac:dyDescent="0.3">
      <c r="A447" s="16" t="str">
        <f t="shared" si="27"/>
        <v/>
      </c>
      <c r="D447" s="14" t="str">
        <f t="shared" si="28"/>
        <v/>
      </c>
      <c r="E447" s="6" t="str">
        <f>IF(C447="","",PMT(INPUTS!$B$5,INPUTS!$B$6,-INPUTS!$B$3,0,0))</f>
        <v/>
      </c>
      <c r="F447" s="6" t="str">
        <f>IF(C447="","",IPMT(INPUTS!$B$5,C447,INPUTS!$B$6,-INPUTS!$B$3,0,0))</f>
        <v/>
      </c>
      <c r="G447" s="6" t="str">
        <f>IF(C447="","",PPMT(INPUTS!$B$5,C447,INPUTS!$B$6,-INPUTS!$B$3,0,0))</f>
        <v/>
      </c>
      <c r="H447" s="6" t="str">
        <f t="shared" si="29"/>
        <v/>
      </c>
      <c r="I447" s="6" t="str">
        <f t="shared" si="30"/>
        <v/>
      </c>
    </row>
    <row r="448" spans="1:9" hidden="1" x14ac:dyDescent="0.3">
      <c r="A448" s="16" t="str">
        <f t="shared" si="27"/>
        <v/>
      </c>
      <c r="D448" s="14" t="str">
        <f t="shared" si="28"/>
        <v/>
      </c>
      <c r="E448" s="6" t="str">
        <f>IF(C448="","",PMT(INPUTS!$B$5,INPUTS!$B$6,-INPUTS!$B$3,0,0))</f>
        <v/>
      </c>
      <c r="F448" s="6" t="str">
        <f>IF(C448="","",IPMT(INPUTS!$B$5,C448,INPUTS!$B$6,-INPUTS!$B$3,0,0))</f>
        <v/>
      </c>
      <c r="G448" s="6" t="str">
        <f>IF(C448="","",PPMT(INPUTS!$B$5,C448,INPUTS!$B$6,-INPUTS!$B$3,0,0))</f>
        <v/>
      </c>
      <c r="H448" s="6" t="str">
        <f t="shared" si="29"/>
        <v/>
      </c>
      <c r="I448" s="6" t="str">
        <f t="shared" si="30"/>
        <v/>
      </c>
    </row>
    <row r="449" spans="1:9" hidden="1" x14ac:dyDescent="0.3">
      <c r="A449" s="16" t="str">
        <f t="shared" si="27"/>
        <v/>
      </c>
      <c r="D449" s="14" t="str">
        <f t="shared" si="28"/>
        <v/>
      </c>
      <c r="E449" s="6" t="str">
        <f>IF(C449="","",PMT(INPUTS!$B$5,INPUTS!$B$6,-INPUTS!$B$3,0,0))</f>
        <v/>
      </c>
      <c r="F449" s="6" t="str">
        <f>IF(C449="","",IPMT(INPUTS!$B$5,C449,INPUTS!$B$6,-INPUTS!$B$3,0,0))</f>
        <v/>
      </c>
      <c r="G449" s="6" t="str">
        <f>IF(C449="","",PPMT(INPUTS!$B$5,C449,INPUTS!$B$6,-INPUTS!$B$3,0,0))</f>
        <v/>
      </c>
      <c r="H449" s="6" t="str">
        <f t="shared" si="29"/>
        <v/>
      </c>
      <c r="I449" s="6" t="str">
        <f t="shared" si="30"/>
        <v/>
      </c>
    </row>
    <row r="450" spans="1:9" hidden="1" x14ac:dyDescent="0.3">
      <c r="A450" s="16" t="str">
        <f t="shared" si="27"/>
        <v/>
      </c>
      <c r="D450" s="14" t="str">
        <f t="shared" si="28"/>
        <v/>
      </c>
      <c r="E450" s="6" t="str">
        <f>IF(C450="","",PMT(INPUTS!$B$5,INPUTS!$B$6,-INPUTS!$B$3,0,0))</f>
        <v/>
      </c>
      <c r="F450" s="6" t="str">
        <f>IF(C450="","",IPMT(INPUTS!$B$5,C450,INPUTS!$B$6,-INPUTS!$B$3,0,0))</f>
        <v/>
      </c>
      <c r="G450" s="6" t="str">
        <f>IF(C450="","",PPMT(INPUTS!$B$5,C450,INPUTS!$B$6,-INPUTS!$B$3,0,0))</f>
        <v/>
      </c>
      <c r="H450" s="6" t="str">
        <f t="shared" si="29"/>
        <v/>
      </c>
      <c r="I450" s="6" t="str">
        <f t="shared" si="30"/>
        <v/>
      </c>
    </row>
    <row r="451" spans="1:9" hidden="1" x14ac:dyDescent="0.3">
      <c r="A451" s="16" t="str">
        <f t="shared" si="27"/>
        <v/>
      </c>
      <c r="D451" s="14" t="str">
        <f t="shared" si="28"/>
        <v/>
      </c>
      <c r="E451" s="6" t="str">
        <f>IF(C451="","",PMT(INPUTS!$B$5,INPUTS!$B$6,-INPUTS!$B$3,0,0))</f>
        <v/>
      </c>
      <c r="F451" s="6" t="str">
        <f>IF(C451="","",IPMT(INPUTS!$B$5,C451,INPUTS!$B$6,-INPUTS!$B$3,0,0))</f>
        <v/>
      </c>
      <c r="G451" s="6" t="str">
        <f>IF(C451="","",PPMT(INPUTS!$B$5,C451,INPUTS!$B$6,-INPUTS!$B$3,0,0))</f>
        <v/>
      </c>
      <c r="H451" s="6" t="str">
        <f t="shared" si="29"/>
        <v/>
      </c>
      <c r="I451" s="6" t="str">
        <f t="shared" si="30"/>
        <v/>
      </c>
    </row>
    <row r="452" spans="1:9" hidden="1" x14ac:dyDescent="0.3">
      <c r="A452" s="16" t="str">
        <f t="shared" si="27"/>
        <v/>
      </c>
      <c r="D452" s="14" t="str">
        <f t="shared" si="28"/>
        <v/>
      </c>
      <c r="E452" s="6" t="str">
        <f>IF(C452="","",PMT(INPUTS!$B$5,INPUTS!$B$6,-INPUTS!$B$3,0,0))</f>
        <v/>
      </c>
      <c r="F452" s="6" t="str">
        <f>IF(C452="","",IPMT(INPUTS!$B$5,C452,INPUTS!$B$6,-INPUTS!$B$3,0,0))</f>
        <v/>
      </c>
      <c r="G452" s="6" t="str">
        <f>IF(C452="","",PPMT(INPUTS!$B$5,C452,INPUTS!$B$6,-INPUTS!$B$3,0,0))</f>
        <v/>
      </c>
      <c r="H452" s="6" t="str">
        <f t="shared" si="29"/>
        <v/>
      </c>
      <c r="I452" s="6" t="str">
        <f t="shared" si="30"/>
        <v/>
      </c>
    </row>
    <row r="453" spans="1:9" hidden="1" x14ac:dyDescent="0.3">
      <c r="A453" s="16" t="str">
        <f t="shared" si="27"/>
        <v/>
      </c>
      <c r="D453" s="14" t="str">
        <f t="shared" si="28"/>
        <v/>
      </c>
      <c r="E453" s="6" t="str">
        <f>IF(C453="","",PMT(INPUTS!$B$5,INPUTS!$B$6,-INPUTS!$B$3,0,0))</f>
        <v/>
      </c>
      <c r="F453" s="6" t="str">
        <f>IF(C453="","",IPMT(INPUTS!$B$5,C453,INPUTS!$B$6,-INPUTS!$B$3,0,0))</f>
        <v/>
      </c>
      <c r="G453" s="6" t="str">
        <f>IF(C453="","",PPMT(INPUTS!$B$5,C453,INPUTS!$B$6,-INPUTS!$B$3,0,0))</f>
        <v/>
      </c>
      <c r="H453" s="6" t="str">
        <f t="shared" si="29"/>
        <v/>
      </c>
      <c r="I453" s="6" t="str">
        <f t="shared" si="30"/>
        <v/>
      </c>
    </row>
    <row r="454" spans="1:9" hidden="1" x14ac:dyDescent="0.3">
      <c r="A454" s="16" t="str">
        <f t="shared" si="27"/>
        <v/>
      </c>
      <c r="D454" s="14" t="str">
        <f t="shared" si="28"/>
        <v/>
      </c>
      <c r="E454" s="6" t="str">
        <f>IF(C454="","",PMT(INPUTS!$B$5,INPUTS!$B$6,-INPUTS!$B$3,0,0))</f>
        <v/>
      </c>
      <c r="F454" s="6" t="str">
        <f>IF(C454="","",IPMT(INPUTS!$B$5,C454,INPUTS!$B$6,-INPUTS!$B$3,0,0))</f>
        <v/>
      </c>
      <c r="G454" s="6" t="str">
        <f>IF(C454="","",PPMT(INPUTS!$B$5,C454,INPUTS!$B$6,-INPUTS!$B$3,0,0))</f>
        <v/>
      </c>
      <c r="H454" s="6" t="str">
        <f t="shared" si="29"/>
        <v/>
      </c>
      <c r="I454" s="6" t="str">
        <f t="shared" si="30"/>
        <v/>
      </c>
    </row>
    <row r="455" spans="1:9" hidden="1" x14ac:dyDescent="0.3">
      <c r="A455" s="16" t="str">
        <f t="shared" si="27"/>
        <v/>
      </c>
      <c r="D455" s="14" t="str">
        <f t="shared" si="28"/>
        <v/>
      </c>
      <c r="E455" s="6" t="str">
        <f>IF(C455="","",PMT(INPUTS!$B$5,INPUTS!$B$6,-INPUTS!$B$3,0,0))</f>
        <v/>
      </c>
      <c r="F455" s="6" t="str">
        <f>IF(C455="","",IPMT(INPUTS!$B$5,C455,INPUTS!$B$6,-INPUTS!$B$3,0,0))</f>
        <v/>
      </c>
      <c r="G455" s="6" t="str">
        <f>IF(C455="","",PPMT(INPUTS!$B$5,C455,INPUTS!$B$6,-INPUTS!$B$3,0,0))</f>
        <v/>
      </c>
      <c r="H455" s="6" t="str">
        <f t="shared" si="29"/>
        <v/>
      </c>
      <c r="I455" s="6" t="str">
        <f t="shared" si="30"/>
        <v/>
      </c>
    </row>
    <row r="456" spans="1:9" hidden="1" x14ac:dyDescent="0.3">
      <c r="A456" s="16" t="str">
        <f t="shared" si="27"/>
        <v/>
      </c>
      <c r="D456" s="14" t="str">
        <f t="shared" si="28"/>
        <v/>
      </c>
      <c r="E456" s="6" t="str">
        <f>IF(C456="","",PMT(INPUTS!$B$5,INPUTS!$B$6,-INPUTS!$B$3,0,0))</f>
        <v/>
      </c>
      <c r="F456" s="6" t="str">
        <f>IF(C456="","",IPMT(INPUTS!$B$5,C456,INPUTS!$B$6,-INPUTS!$B$3,0,0))</f>
        <v/>
      </c>
      <c r="G456" s="6" t="str">
        <f>IF(C456="","",PPMT(INPUTS!$B$5,C456,INPUTS!$B$6,-INPUTS!$B$3,0,0))</f>
        <v/>
      </c>
      <c r="H456" s="6" t="str">
        <f t="shared" si="29"/>
        <v/>
      </c>
      <c r="I456" s="6" t="str">
        <f t="shared" si="30"/>
        <v/>
      </c>
    </row>
    <row r="457" spans="1:9" hidden="1" x14ac:dyDescent="0.3">
      <c r="A457" s="16" t="str">
        <f t="shared" si="27"/>
        <v/>
      </c>
      <c r="D457" s="14" t="str">
        <f t="shared" si="28"/>
        <v/>
      </c>
      <c r="E457" s="6" t="str">
        <f>IF(C457="","",PMT(INPUTS!$B$5,INPUTS!$B$6,-INPUTS!$B$3,0,0))</f>
        <v/>
      </c>
      <c r="F457" s="6" t="str">
        <f>IF(C457="","",IPMT(INPUTS!$B$5,C457,INPUTS!$B$6,-INPUTS!$B$3,0,0))</f>
        <v/>
      </c>
      <c r="G457" s="6" t="str">
        <f>IF(C457="","",PPMT(INPUTS!$B$5,C457,INPUTS!$B$6,-INPUTS!$B$3,0,0))</f>
        <v/>
      </c>
      <c r="H457" s="6" t="str">
        <f t="shared" si="29"/>
        <v/>
      </c>
      <c r="I457" s="6" t="str">
        <f t="shared" si="30"/>
        <v/>
      </c>
    </row>
    <row r="458" spans="1:9" hidden="1" x14ac:dyDescent="0.3">
      <c r="A458" s="16" t="str">
        <f t="shared" si="27"/>
        <v/>
      </c>
      <c r="D458" s="14" t="str">
        <f t="shared" si="28"/>
        <v/>
      </c>
      <c r="E458" s="6" t="str">
        <f>IF(C458="","",PMT(INPUTS!$B$5,INPUTS!$B$6,-INPUTS!$B$3,0,0))</f>
        <v/>
      </c>
      <c r="F458" s="6" t="str">
        <f>IF(C458="","",IPMT(INPUTS!$B$5,C458,INPUTS!$B$6,-INPUTS!$B$3,0,0))</f>
        <v/>
      </c>
      <c r="G458" s="6" t="str">
        <f>IF(C458="","",PPMT(INPUTS!$B$5,C458,INPUTS!$B$6,-INPUTS!$B$3,0,0))</f>
        <v/>
      </c>
      <c r="H458" s="6" t="str">
        <f t="shared" si="29"/>
        <v/>
      </c>
      <c r="I458" s="6" t="str">
        <f t="shared" si="30"/>
        <v/>
      </c>
    </row>
    <row r="459" spans="1:9" hidden="1" x14ac:dyDescent="0.3">
      <c r="A459" s="16" t="str">
        <f t="shared" si="27"/>
        <v/>
      </c>
      <c r="D459" s="14" t="str">
        <f t="shared" si="28"/>
        <v/>
      </c>
      <c r="E459" s="6" t="str">
        <f>IF(C459="","",PMT(INPUTS!$B$5,INPUTS!$B$6,-INPUTS!$B$3,0,0))</f>
        <v/>
      </c>
      <c r="F459" s="6" t="str">
        <f>IF(C459="","",IPMT(INPUTS!$B$5,C459,INPUTS!$B$6,-INPUTS!$B$3,0,0))</f>
        <v/>
      </c>
      <c r="G459" s="6" t="str">
        <f>IF(C459="","",PPMT(INPUTS!$B$5,C459,INPUTS!$B$6,-INPUTS!$B$3,0,0))</f>
        <v/>
      </c>
      <c r="H459" s="6" t="str">
        <f t="shared" si="29"/>
        <v/>
      </c>
      <c r="I459" s="6" t="str">
        <f t="shared" si="30"/>
        <v/>
      </c>
    </row>
    <row r="460" spans="1:9" hidden="1" x14ac:dyDescent="0.3">
      <c r="A460" s="16" t="str">
        <f t="shared" si="27"/>
        <v/>
      </c>
      <c r="D460" s="14" t="str">
        <f t="shared" si="28"/>
        <v/>
      </c>
      <c r="E460" s="6" t="str">
        <f>IF(C460="","",PMT(INPUTS!$B$5,INPUTS!$B$6,-INPUTS!$B$3,0,0))</f>
        <v/>
      </c>
      <c r="F460" s="6" t="str">
        <f>IF(C460="","",IPMT(INPUTS!$B$5,C460,INPUTS!$B$6,-INPUTS!$B$3,0,0))</f>
        <v/>
      </c>
      <c r="G460" s="6" t="str">
        <f>IF(C460="","",PPMT(INPUTS!$B$5,C460,INPUTS!$B$6,-INPUTS!$B$3,0,0))</f>
        <v/>
      </c>
      <c r="H460" s="6" t="str">
        <f t="shared" si="29"/>
        <v/>
      </c>
      <c r="I460" s="6" t="str">
        <f t="shared" si="30"/>
        <v/>
      </c>
    </row>
    <row r="461" spans="1:9" hidden="1" x14ac:dyDescent="0.3">
      <c r="A461" s="16" t="str">
        <f t="shared" si="27"/>
        <v/>
      </c>
      <c r="D461" s="14" t="str">
        <f t="shared" si="28"/>
        <v/>
      </c>
      <c r="E461" s="6" t="str">
        <f>IF(C461="","",PMT(INPUTS!$B$5,INPUTS!$B$6,-INPUTS!$B$3,0,0))</f>
        <v/>
      </c>
      <c r="F461" s="6" t="str">
        <f>IF(C461="","",IPMT(INPUTS!$B$5,C461,INPUTS!$B$6,-INPUTS!$B$3,0,0))</f>
        <v/>
      </c>
      <c r="G461" s="6" t="str">
        <f>IF(C461="","",PPMT(INPUTS!$B$5,C461,INPUTS!$B$6,-INPUTS!$B$3,0,0))</f>
        <v/>
      </c>
      <c r="H461" s="6" t="str">
        <f t="shared" si="29"/>
        <v/>
      </c>
      <c r="I461" s="6" t="str">
        <f t="shared" si="30"/>
        <v/>
      </c>
    </row>
    <row r="462" spans="1:9" hidden="1" x14ac:dyDescent="0.3">
      <c r="A462" s="16" t="str">
        <f t="shared" si="27"/>
        <v/>
      </c>
      <c r="D462" s="14" t="str">
        <f t="shared" si="28"/>
        <v/>
      </c>
      <c r="E462" s="6" t="str">
        <f>IF(C462="","",PMT(INPUTS!$B$5,INPUTS!$B$6,-INPUTS!$B$3,0,0))</f>
        <v/>
      </c>
      <c r="F462" s="6" t="str">
        <f>IF(C462="","",IPMT(INPUTS!$B$5,C462,INPUTS!$B$6,-INPUTS!$B$3,0,0))</f>
        <v/>
      </c>
      <c r="G462" s="6" t="str">
        <f>IF(C462="","",PPMT(INPUTS!$B$5,C462,INPUTS!$B$6,-INPUTS!$B$3,0,0))</f>
        <v/>
      </c>
      <c r="H462" s="6" t="str">
        <f t="shared" si="29"/>
        <v/>
      </c>
      <c r="I462" s="6" t="str">
        <f t="shared" si="30"/>
        <v/>
      </c>
    </row>
    <row r="463" spans="1:9" hidden="1" x14ac:dyDescent="0.3">
      <c r="A463" s="16" t="str">
        <f t="shared" si="27"/>
        <v/>
      </c>
      <c r="D463" s="14" t="str">
        <f t="shared" si="28"/>
        <v/>
      </c>
      <c r="E463" s="6" t="str">
        <f>IF(C463="","",PMT(INPUTS!$B$5,INPUTS!$B$6,-INPUTS!$B$3,0,0))</f>
        <v/>
      </c>
      <c r="F463" s="6" t="str">
        <f>IF(C463="","",IPMT(INPUTS!$B$5,C463,INPUTS!$B$6,-INPUTS!$B$3,0,0))</f>
        <v/>
      </c>
      <c r="G463" s="6" t="str">
        <f>IF(C463="","",PPMT(INPUTS!$B$5,C463,INPUTS!$B$6,-INPUTS!$B$3,0,0))</f>
        <v/>
      </c>
      <c r="H463" s="6" t="str">
        <f t="shared" si="29"/>
        <v/>
      </c>
      <c r="I463" s="6" t="str">
        <f t="shared" si="30"/>
        <v/>
      </c>
    </row>
    <row r="464" spans="1:9" hidden="1" x14ac:dyDescent="0.3">
      <c r="A464" s="16" t="str">
        <f t="shared" si="27"/>
        <v/>
      </c>
      <c r="D464" s="14" t="str">
        <f t="shared" si="28"/>
        <v/>
      </c>
      <c r="E464" s="6" t="str">
        <f>IF(C464="","",PMT(INPUTS!$B$5,INPUTS!$B$6,-INPUTS!$B$3,0,0))</f>
        <v/>
      </c>
      <c r="F464" s="6" t="str">
        <f>IF(C464="","",IPMT(INPUTS!$B$5,C464,INPUTS!$B$6,-INPUTS!$B$3,0,0))</f>
        <v/>
      </c>
      <c r="G464" s="6" t="str">
        <f>IF(C464="","",PPMT(INPUTS!$B$5,C464,INPUTS!$B$6,-INPUTS!$B$3,0,0))</f>
        <v/>
      </c>
      <c r="H464" s="6" t="str">
        <f t="shared" si="29"/>
        <v/>
      </c>
      <c r="I464" s="6" t="str">
        <f t="shared" si="30"/>
        <v/>
      </c>
    </row>
    <row r="465" spans="1:9" hidden="1" x14ac:dyDescent="0.3">
      <c r="A465" s="16" t="str">
        <f t="shared" si="27"/>
        <v/>
      </c>
      <c r="D465" s="14" t="str">
        <f t="shared" si="28"/>
        <v/>
      </c>
      <c r="E465" s="6" t="str">
        <f>IF(C465="","",PMT(INPUTS!$B$5,INPUTS!$B$6,-INPUTS!$B$3,0,0))</f>
        <v/>
      </c>
      <c r="F465" s="6" t="str">
        <f>IF(C465="","",IPMT(INPUTS!$B$5,C465,INPUTS!$B$6,-INPUTS!$B$3,0,0))</f>
        <v/>
      </c>
      <c r="G465" s="6" t="str">
        <f>IF(C465="","",PPMT(INPUTS!$B$5,C465,INPUTS!$B$6,-INPUTS!$B$3,0,0))</f>
        <v/>
      </c>
      <c r="H465" s="6" t="str">
        <f t="shared" si="29"/>
        <v/>
      </c>
      <c r="I465" s="6" t="str">
        <f t="shared" si="30"/>
        <v/>
      </c>
    </row>
    <row r="466" spans="1:9" hidden="1" x14ac:dyDescent="0.3">
      <c r="A466" s="16" t="str">
        <f t="shared" ref="A466:A529" si="31">IF(D466="","",YEAR(D466))</f>
        <v/>
      </c>
      <c r="D466" s="14" t="str">
        <f t="shared" si="28"/>
        <v/>
      </c>
      <c r="E466" s="6" t="str">
        <f>IF(C466="","",PMT(INPUTS!$B$5,INPUTS!$B$6,-INPUTS!$B$3,0,0))</f>
        <v/>
      </c>
      <c r="F466" s="6" t="str">
        <f>IF(C466="","",IPMT(INPUTS!$B$5,C466,INPUTS!$B$6,-INPUTS!$B$3,0,0))</f>
        <v/>
      </c>
      <c r="G466" s="6" t="str">
        <f>IF(C466="","",PPMT(INPUTS!$B$5,C466,INPUTS!$B$6,-INPUTS!$B$3,0,0))</f>
        <v/>
      </c>
      <c r="H466" s="6" t="str">
        <f t="shared" si="29"/>
        <v/>
      </c>
      <c r="I466" s="6" t="str">
        <f t="shared" si="30"/>
        <v/>
      </c>
    </row>
    <row r="467" spans="1:9" hidden="1" x14ac:dyDescent="0.3">
      <c r="A467" s="16" t="str">
        <f t="shared" si="31"/>
        <v/>
      </c>
      <c r="D467" s="14" t="str">
        <f t="shared" si="28"/>
        <v/>
      </c>
      <c r="E467" s="6" t="str">
        <f>IF(C467="","",PMT(INPUTS!$B$5,INPUTS!$B$6,-INPUTS!$B$3,0,0))</f>
        <v/>
      </c>
      <c r="F467" s="6" t="str">
        <f>IF(C467="","",IPMT(INPUTS!$B$5,C467,INPUTS!$B$6,-INPUTS!$B$3,0,0))</f>
        <v/>
      </c>
      <c r="G467" s="6" t="str">
        <f>IF(C467="","",PPMT(INPUTS!$B$5,C467,INPUTS!$B$6,-INPUTS!$B$3,0,0))</f>
        <v/>
      </c>
      <c r="H467" s="6" t="str">
        <f t="shared" si="29"/>
        <v/>
      </c>
      <c r="I467" s="6" t="str">
        <f t="shared" si="30"/>
        <v/>
      </c>
    </row>
    <row r="468" spans="1:9" hidden="1" x14ac:dyDescent="0.3">
      <c r="A468" s="16" t="str">
        <f t="shared" si="31"/>
        <v/>
      </c>
      <c r="D468" s="14" t="str">
        <f t="shared" ref="D468:D531" si="32">IF(C467="","",DATE(YEAR($D467),MONTH($D467)+1,DAY($D467)))</f>
        <v/>
      </c>
      <c r="E468" s="6" t="str">
        <f>IF(C468="","",PMT(INPUTS!$B$5,INPUTS!$B$6,-INPUTS!$B$3,0,0))</f>
        <v/>
      </c>
      <c r="F468" s="6" t="str">
        <f>IF(C468="","",IPMT(INPUTS!$B$5,C468,INPUTS!$B$6,-INPUTS!$B$3,0,0))</f>
        <v/>
      </c>
      <c r="G468" s="6" t="str">
        <f>IF(C468="","",PPMT(INPUTS!$B$5,C468,INPUTS!$B$6,-INPUTS!$B$3,0,0))</f>
        <v/>
      </c>
      <c r="H468" s="6" t="str">
        <f t="shared" ref="H468:H531" si="33">I467</f>
        <v/>
      </c>
      <c r="I468" s="6" t="str">
        <f t="shared" si="30"/>
        <v/>
      </c>
    </row>
    <row r="469" spans="1:9" hidden="1" x14ac:dyDescent="0.3">
      <c r="A469" s="16" t="str">
        <f t="shared" si="31"/>
        <v/>
      </c>
      <c r="D469" s="14" t="str">
        <f t="shared" si="32"/>
        <v/>
      </c>
      <c r="E469" s="6" t="str">
        <f>IF(C469="","",PMT(INPUTS!$B$5,INPUTS!$B$6,-INPUTS!$B$3,0,0))</f>
        <v/>
      </c>
      <c r="F469" s="6" t="str">
        <f>IF(C469="","",IPMT(INPUTS!$B$5,C469,INPUTS!$B$6,-INPUTS!$B$3,0,0))</f>
        <v/>
      </c>
      <c r="G469" s="6" t="str">
        <f>IF(C469="","",PPMT(INPUTS!$B$5,C469,INPUTS!$B$6,-INPUTS!$B$3,0,0))</f>
        <v/>
      </c>
      <c r="H469" s="6" t="str">
        <f t="shared" si="33"/>
        <v/>
      </c>
      <c r="I469" s="6" t="str">
        <f t="shared" si="30"/>
        <v/>
      </c>
    </row>
    <row r="470" spans="1:9" hidden="1" x14ac:dyDescent="0.3">
      <c r="A470" s="16" t="str">
        <f t="shared" si="31"/>
        <v/>
      </c>
      <c r="D470" s="14" t="str">
        <f t="shared" si="32"/>
        <v/>
      </c>
      <c r="E470" s="6" t="str">
        <f>IF(C470="","",PMT(INPUTS!$B$5,INPUTS!$B$6,-INPUTS!$B$3,0,0))</f>
        <v/>
      </c>
      <c r="F470" s="6" t="str">
        <f>IF(C470="","",IPMT(INPUTS!$B$5,C470,INPUTS!$B$6,-INPUTS!$B$3,0,0))</f>
        <v/>
      </c>
      <c r="G470" s="6" t="str">
        <f>IF(C470="","",PPMT(INPUTS!$B$5,C470,INPUTS!$B$6,-INPUTS!$B$3,0,0))</f>
        <v/>
      </c>
      <c r="H470" s="6" t="str">
        <f t="shared" si="33"/>
        <v/>
      </c>
      <c r="I470" s="6" t="str">
        <f t="shared" si="30"/>
        <v/>
      </c>
    </row>
    <row r="471" spans="1:9" hidden="1" x14ac:dyDescent="0.3">
      <c r="A471" s="16" t="str">
        <f t="shared" si="31"/>
        <v/>
      </c>
      <c r="D471" s="14" t="str">
        <f t="shared" si="32"/>
        <v/>
      </c>
      <c r="E471" s="6" t="str">
        <f>IF(C471="","",PMT(INPUTS!$B$5,INPUTS!$B$6,-INPUTS!$B$3,0,0))</f>
        <v/>
      </c>
      <c r="F471" s="6" t="str">
        <f>IF(C471="","",IPMT(INPUTS!$B$5,C471,INPUTS!$B$6,-INPUTS!$B$3,0,0))</f>
        <v/>
      </c>
      <c r="G471" s="6" t="str">
        <f>IF(C471="","",PPMT(INPUTS!$B$5,C471,INPUTS!$B$6,-INPUTS!$B$3,0,0))</f>
        <v/>
      </c>
      <c r="H471" s="6" t="str">
        <f t="shared" si="33"/>
        <v/>
      </c>
      <c r="I471" s="6" t="str">
        <f t="shared" si="30"/>
        <v/>
      </c>
    </row>
    <row r="472" spans="1:9" hidden="1" x14ac:dyDescent="0.3">
      <c r="A472" s="16" t="str">
        <f t="shared" si="31"/>
        <v/>
      </c>
      <c r="D472" s="14" t="str">
        <f t="shared" si="32"/>
        <v/>
      </c>
      <c r="E472" s="6" t="str">
        <f>IF(C472="","",PMT(INPUTS!$B$5,INPUTS!$B$6,-INPUTS!$B$3,0,0))</f>
        <v/>
      </c>
      <c r="F472" s="6" t="str">
        <f>IF(C472="","",IPMT(INPUTS!$B$5,C472,INPUTS!$B$6,-INPUTS!$B$3,0,0))</f>
        <v/>
      </c>
      <c r="G472" s="6" t="str">
        <f>IF(C472="","",PPMT(INPUTS!$B$5,C472,INPUTS!$B$6,-INPUTS!$B$3,0,0))</f>
        <v/>
      </c>
      <c r="H472" s="6" t="str">
        <f t="shared" si="33"/>
        <v/>
      </c>
      <c r="I472" s="6" t="str">
        <f t="shared" si="30"/>
        <v/>
      </c>
    </row>
    <row r="473" spans="1:9" hidden="1" x14ac:dyDescent="0.3">
      <c r="A473" s="16" t="str">
        <f t="shared" si="31"/>
        <v/>
      </c>
      <c r="D473" s="14" t="str">
        <f t="shared" si="32"/>
        <v/>
      </c>
      <c r="E473" s="6" t="str">
        <f>IF(C473="","",PMT(INPUTS!$B$5,INPUTS!$B$6,-INPUTS!$B$3,0,0))</f>
        <v/>
      </c>
      <c r="F473" s="6" t="str">
        <f>IF(C473="","",IPMT(INPUTS!$B$5,C473,INPUTS!$B$6,-INPUTS!$B$3,0,0))</f>
        <v/>
      </c>
      <c r="G473" s="6" t="str">
        <f>IF(C473="","",PPMT(INPUTS!$B$5,C473,INPUTS!$B$6,-INPUTS!$B$3,0,0))</f>
        <v/>
      </c>
      <c r="H473" s="6" t="str">
        <f t="shared" si="33"/>
        <v/>
      </c>
      <c r="I473" s="6" t="str">
        <f t="shared" si="30"/>
        <v/>
      </c>
    </row>
    <row r="474" spans="1:9" hidden="1" x14ac:dyDescent="0.3">
      <c r="A474" s="16" t="str">
        <f t="shared" si="31"/>
        <v/>
      </c>
      <c r="D474" s="14" t="str">
        <f t="shared" si="32"/>
        <v/>
      </c>
      <c r="E474" s="6" t="str">
        <f>IF(C474="","",PMT(INPUTS!$B$5,INPUTS!$B$6,-INPUTS!$B$3,0,0))</f>
        <v/>
      </c>
      <c r="F474" s="6" t="str">
        <f>IF(C474="","",IPMT(INPUTS!$B$5,C474,INPUTS!$B$6,-INPUTS!$B$3,0,0))</f>
        <v/>
      </c>
      <c r="G474" s="6" t="str">
        <f>IF(C474="","",PPMT(INPUTS!$B$5,C474,INPUTS!$B$6,-INPUTS!$B$3,0,0))</f>
        <v/>
      </c>
      <c r="H474" s="6" t="str">
        <f t="shared" si="33"/>
        <v/>
      </c>
      <c r="I474" s="6" t="str">
        <f t="shared" si="30"/>
        <v/>
      </c>
    </row>
    <row r="475" spans="1:9" hidden="1" x14ac:dyDescent="0.3">
      <c r="A475" s="16" t="str">
        <f t="shared" si="31"/>
        <v/>
      </c>
      <c r="D475" s="14" t="str">
        <f t="shared" si="32"/>
        <v/>
      </c>
      <c r="E475" s="6" t="str">
        <f>IF(C475="","",PMT(INPUTS!$B$5,INPUTS!$B$6,-INPUTS!$B$3,0,0))</f>
        <v/>
      </c>
      <c r="F475" s="6" t="str">
        <f>IF(C475="","",IPMT(INPUTS!$B$5,C475,INPUTS!$B$6,-INPUTS!$B$3,0,0))</f>
        <v/>
      </c>
      <c r="G475" s="6" t="str">
        <f>IF(C475="","",PPMT(INPUTS!$B$5,C475,INPUTS!$B$6,-INPUTS!$B$3,0,0))</f>
        <v/>
      </c>
      <c r="H475" s="6" t="str">
        <f t="shared" si="33"/>
        <v/>
      </c>
      <c r="I475" s="6" t="str">
        <f t="shared" si="30"/>
        <v/>
      </c>
    </row>
    <row r="476" spans="1:9" hidden="1" x14ac:dyDescent="0.3">
      <c r="A476" s="16" t="str">
        <f t="shared" si="31"/>
        <v/>
      </c>
      <c r="D476" s="14" t="str">
        <f t="shared" si="32"/>
        <v/>
      </c>
      <c r="E476" s="6" t="str">
        <f>IF(C476="","",PMT(INPUTS!$B$5,INPUTS!$B$6,-INPUTS!$B$3,0,0))</f>
        <v/>
      </c>
      <c r="F476" s="6" t="str">
        <f>IF(C476="","",IPMT(INPUTS!$B$5,C476,INPUTS!$B$6,-INPUTS!$B$3,0,0))</f>
        <v/>
      </c>
      <c r="G476" s="6" t="str">
        <f>IF(C476="","",PPMT(INPUTS!$B$5,C476,INPUTS!$B$6,-INPUTS!$B$3,0,0))</f>
        <v/>
      </c>
      <c r="H476" s="6" t="str">
        <f t="shared" si="33"/>
        <v/>
      </c>
      <c r="I476" s="6" t="str">
        <f t="shared" si="30"/>
        <v/>
      </c>
    </row>
    <row r="477" spans="1:9" hidden="1" x14ac:dyDescent="0.3">
      <c r="A477" s="16" t="str">
        <f t="shared" si="31"/>
        <v/>
      </c>
      <c r="D477" s="14" t="str">
        <f t="shared" si="32"/>
        <v/>
      </c>
      <c r="E477" s="6" t="str">
        <f>IF(C477="","",PMT(INPUTS!$B$5,INPUTS!$B$6,-INPUTS!$B$3,0,0))</f>
        <v/>
      </c>
      <c r="F477" s="6" t="str">
        <f>IF(C477="","",IPMT(INPUTS!$B$5,C477,INPUTS!$B$6,-INPUTS!$B$3,0,0))</f>
        <v/>
      </c>
      <c r="G477" s="6" t="str">
        <f>IF(C477="","",PPMT(INPUTS!$B$5,C477,INPUTS!$B$6,-INPUTS!$B$3,0,0))</f>
        <v/>
      </c>
      <c r="H477" s="6" t="str">
        <f t="shared" si="33"/>
        <v/>
      </c>
      <c r="I477" s="6" t="str">
        <f t="shared" si="30"/>
        <v/>
      </c>
    </row>
    <row r="478" spans="1:9" hidden="1" x14ac:dyDescent="0.3">
      <c r="A478" s="16" t="str">
        <f t="shared" si="31"/>
        <v/>
      </c>
      <c r="D478" s="14" t="str">
        <f t="shared" si="32"/>
        <v/>
      </c>
      <c r="E478" s="6" t="str">
        <f>IF(C478="","",PMT(INPUTS!$B$5,INPUTS!$B$6,-INPUTS!$B$3,0,0))</f>
        <v/>
      </c>
      <c r="F478" s="6" t="str">
        <f>IF(C478="","",IPMT(INPUTS!$B$5,C478,INPUTS!$B$6,-INPUTS!$B$3,0,0))</f>
        <v/>
      </c>
      <c r="G478" s="6" t="str">
        <f>IF(C478="","",PPMT(INPUTS!$B$5,C478,INPUTS!$B$6,-INPUTS!$B$3,0,0))</f>
        <v/>
      </c>
      <c r="H478" s="6" t="str">
        <f t="shared" si="33"/>
        <v/>
      </c>
      <c r="I478" s="6" t="str">
        <f t="shared" si="30"/>
        <v/>
      </c>
    </row>
    <row r="479" spans="1:9" hidden="1" x14ac:dyDescent="0.3">
      <c r="A479" s="16" t="str">
        <f t="shared" si="31"/>
        <v/>
      </c>
      <c r="D479" s="14" t="str">
        <f t="shared" si="32"/>
        <v/>
      </c>
      <c r="E479" s="6" t="str">
        <f>IF(C479="","",PMT(INPUTS!$B$5,INPUTS!$B$6,-INPUTS!$B$3,0,0))</f>
        <v/>
      </c>
      <c r="F479" s="6" t="str">
        <f>IF(C479="","",IPMT(INPUTS!$B$5,C479,INPUTS!$B$6,-INPUTS!$B$3,0,0))</f>
        <v/>
      </c>
      <c r="G479" s="6" t="str">
        <f>IF(C479="","",PPMT(INPUTS!$B$5,C479,INPUTS!$B$6,-INPUTS!$B$3,0,0))</f>
        <v/>
      </c>
      <c r="H479" s="6" t="str">
        <f t="shared" si="33"/>
        <v/>
      </c>
      <c r="I479" s="6" t="str">
        <f t="shared" si="30"/>
        <v/>
      </c>
    </row>
    <row r="480" spans="1:9" hidden="1" x14ac:dyDescent="0.3">
      <c r="A480" s="16" t="str">
        <f t="shared" si="31"/>
        <v/>
      </c>
      <c r="D480" s="14" t="str">
        <f t="shared" si="32"/>
        <v/>
      </c>
      <c r="E480" s="6" t="str">
        <f>IF(C480="","",PMT(INPUTS!$B$5,INPUTS!$B$6,-INPUTS!$B$3,0,0))</f>
        <v/>
      </c>
      <c r="F480" s="6" t="str">
        <f>IF(C480="","",IPMT(INPUTS!$B$5,C480,INPUTS!$B$6,-INPUTS!$B$3,0,0))</f>
        <v/>
      </c>
      <c r="G480" s="6" t="str">
        <f>IF(C480="","",PPMT(INPUTS!$B$5,C480,INPUTS!$B$6,-INPUTS!$B$3,0,0))</f>
        <v/>
      </c>
      <c r="H480" s="6" t="str">
        <f t="shared" si="33"/>
        <v/>
      </c>
      <c r="I480" s="6" t="str">
        <f t="shared" si="30"/>
        <v/>
      </c>
    </row>
    <row r="481" spans="1:9" hidden="1" x14ac:dyDescent="0.3">
      <c r="A481" s="16" t="str">
        <f t="shared" si="31"/>
        <v/>
      </c>
      <c r="D481" s="14" t="str">
        <f t="shared" si="32"/>
        <v/>
      </c>
      <c r="E481" s="6" t="str">
        <f>IF(C481="","",PMT(INPUTS!$B$5,INPUTS!$B$6,-INPUTS!$B$3,0,0))</f>
        <v/>
      </c>
      <c r="F481" s="6" t="str">
        <f>IF(C481="","",IPMT(INPUTS!$B$5,C481,INPUTS!$B$6,-INPUTS!$B$3,0,0))</f>
        <v/>
      </c>
      <c r="G481" s="6" t="str">
        <f>IF(C481="","",PPMT(INPUTS!$B$5,C481,INPUTS!$B$6,-INPUTS!$B$3,0,0))</f>
        <v/>
      </c>
      <c r="H481" s="6" t="str">
        <f t="shared" si="33"/>
        <v/>
      </c>
      <c r="I481" s="6" t="str">
        <f t="shared" si="30"/>
        <v/>
      </c>
    </row>
    <row r="482" spans="1:9" hidden="1" x14ac:dyDescent="0.3">
      <c r="A482" s="16" t="str">
        <f t="shared" si="31"/>
        <v/>
      </c>
      <c r="D482" s="14" t="str">
        <f t="shared" si="32"/>
        <v/>
      </c>
      <c r="E482" s="6" t="str">
        <f>IF(C482="","",PMT(INPUTS!$B$5,INPUTS!$B$6,-INPUTS!$B$3,0,0))</f>
        <v/>
      </c>
      <c r="F482" s="6" t="str">
        <f>IF(C482="","",IPMT(INPUTS!$B$5,C482,INPUTS!$B$6,-INPUTS!$B$3,0,0))</f>
        <v/>
      </c>
      <c r="G482" s="6" t="str">
        <f>IF(C482="","",PPMT(INPUTS!$B$5,C482,INPUTS!$B$6,-INPUTS!$B$3,0,0))</f>
        <v/>
      </c>
      <c r="H482" s="6" t="str">
        <f t="shared" si="33"/>
        <v/>
      </c>
      <c r="I482" s="6" t="str">
        <f t="shared" si="30"/>
        <v/>
      </c>
    </row>
    <row r="483" spans="1:9" hidden="1" x14ac:dyDescent="0.3">
      <c r="A483" s="16" t="str">
        <f t="shared" si="31"/>
        <v/>
      </c>
      <c r="D483" s="14" t="str">
        <f t="shared" si="32"/>
        <v/>
      </c>
      <c r="E483" s="6" t="str">
        <f>IF(C483="","",PMT(INPUTS!$B$5,INPUTS!$B$6,-INPUTS!$B$3,0,0))</f>
        <v/>
      </c>
      <c r="F483" s="6" t="str">
        <f>IF(C483="","",IPMT(INPUTS!$B$5,C483,INPUTS!$B$6,-INPUTS!$B$3,0,0))</f>
        <v/>
      </c>
      <c r="G483" s="6" t="str">
        <f>IF(C483="","",PPMT(INPUTS!$B$5,C483,INPUTS!$B$6,-INPUTS!$B$3,0,0))</f>
        <v/>
      </c>
      <c r="H483" s="6" t="str">
        <f t="shared" si="33"/>
        <v/>
      </c>
      <c r="I483" s="6" t="str">
        <f t="shared" si="30"/>
        <v/>
      </c>
    </row>
    <row r="484" spans="1:9" hidden="1" x14ac:dyDescent="0.3">
      <c r="A484" s="16" t="str">
        <f t="shared" si="31"/>
        <v/>
      </c>
      <c r="D484" s="14" t="str">
        <f t="shared" si="32"/>
        <v/>
      </c>
      <c r="E484" s="6" t="str">
        <f>IF(C484="","",PMT(INPUTS!$B$5,INPUTS!$B$6,-INPUTS!$B$3,0,0))</f>
        <v/>
      </c>
      <c r="F484" s="6" t="str">
        <f>IF(C484="","",IPMT(INPUTS!$B$5,C484,INPUTS!$B$6,-INPUTS!$B$3,0,0))</f>
        <v/>
      </c>
      <c r="G484" s="6" t="str">
        <f>IF(C484="","",PPMT(INPUTS!$B$5,C484,INPUTS!$B$6,-INPUTS!$B$3,0,0))</f>
        <v/>
      </c>
      <c r="H484" s="6" t="str">
        <f t="shared" si="33"/>
        <v/>
      </c>
      <c r="I484" s="6" t="str">
        <f t="shared" si="30"/>
        <v/>
      </c>
    </row>
    <row r="485" spans="1:9" hidden="1" x14ac:dyDescent="0.3">
      <c r="A485" s="16" t="str">
        <f t="shared" si="31"/>
        <v/>
      </c>
      <c r="D485" s="14" t="str">
        <f t="shared" si="32"/>
        <v/>
      </c>
      <c r="E485" s="6" t="str">
        <f>IF(C485="","",PMT(INPUTS!$B$5,INPUTS!$B$6,-INPUTS!$B$3,0,0))</f>
        <v/>
      </c>
      <c r="F485" s="6" t="str">
        <f>IF(C485="","",IPMT(INPUTS!$B$5,C485,INPUTS!$B$6,-INPUTS!$B$3,0,0))</f>
        <v/>
      </c>
      <c r="G485" s="6" t="str">
        <f>IF(C485="","",PPMT(INPUTS!$B$5,C485,INPUTS!$B$6,-INPUTS!$B$3,0,0))</f>
        <v/>
      </c>
      <c r="H485" s="6" t="str">
        <f t="shared" si="33"/>
        <v/>
      </c>
      <c r="I485" s="6" t="str">
        <f t="shared" si="30"/>
        <v/>
      </c>
    </row>
    <row r="486" spans="1:9" hidden="1" x14ac:dyDescent="0.3">
      <c r="A486" s="16" t="str">
        <f t="shared" si="31"/>
        <v/>
      </c>
      <c r="D486" s="14" t="str">
        <f t="shared" si="32"/>
        <v/>
      </c>
      <c r="E486" s="6" t="str">
        <f>IF(C486="","",PMT(INPUTS!$B$5,INPUTS!$B$6,-INPUTS!$B$3,0,0))</f>
        <v/>
      </c>
      <c r="F486" s="6" t="str">
        <f>IF(C486="","",IPMT(INPUTS!$B$5,C486,INPUTS!$B$6,-INPUTS!$B$3,0,0))</f>
        <v/>
      </c>
      <c r="G486" s="6" t="str">
        <f>IF(C486="","",PPMT(INPUTS!$B$5,C486,INPUTS!$B$6,-INPUTS!$B$3,0,0))</f>
        <v/>
      </c>
      <c r="H486" s="6" t="str">
        <f t="shared" si="33"/>
        <v/>
      </c>
      <c r="I486" s="6" t="str">
        <f t="shared" si="30"/>
        <v/>
      </c>
    </row>
    <row r="487" spans="1:9" hidden="1" x14ac:dyDescent="0.3">
      <c r="A487" s="16" t="str">
        <f t="shared" si="31"/>
        <v/>
      </c>
      <c r="D487" s="14" t="str">
        <f t="shared" si="32"/>
        <v/>
      </c>
      <c r="E487" s="6" t="str">
        <f>IF(C487="","",PMT(INPUTS!$B$5,INPUTS!$B$6,-INPUTS!$B$3,0,0))</f>
        <v/>
      </c>
      <c r="F487" s="6" t="str">
        <f>IF(C487="","",IPMT(INPUTS!$B$5,C487,INPUTS!$B$6,-INPUTS!$B$3,0,0))</f>
        <v/>
      </c>
      <c r="G487" s="6" t="str">
        <f>IF(C487="","",PPMT(INPUTS!$B$5,C487,INPUTS!$B$6,-INPUTS!$B$3,0,0))</f>
        <v/>
      </c>
      <c r="H487" s="6" t="str">
        <f t="shared" si="33"/>
        <v/>
      </c>
      <c r="I487" s="6" t="str">
        <f t="shared" si="30"/>
        <v/>
      </c>
    </row>
    <row r="488" spans="1:9" hidden="1" x14ac:dyDescent="0.3">
      <c r="A488" s="16" t="str">
        <f t="shared" si="31"/>
        <v/>
      </c>
      <c r="D488" s="14" t="str">
        <f t="shared" si="32"/>
        <v/>
      </c>
      <c r="E488" s="6" t="str">
        <f>IF(C488="","",PMT(INPUTS!$B$5,INPUTS!$B$6,-INPUTS!$B$3,0,0))</f>
        <v/>
      </c>
      <c r="F488" s="6" t="str">
        <f>IF(C488="","",IPMT(INPUTS!$B$5,C488,INPUTS!$B$6,-INPUTS!$B$3,0,0))</f>
        <v/>
      </c>
      <c r="G488" s="6" t="str">
        <f>IF(C488="","",PPMT(INPUTS!$B$5,C488,INPUTS!$B$6,-INPUTS!$B$3,0,0))</f>
        <v/>
      </c>
      <c r="H488" s="6" t="str">
        <f t="shared" si="33"/>
        <v/>
      </c>
      <c r="I488" s="6" t="str">
        <f t="shared" si="30"/>
        <v/>
      </c>
    </row>
    <row r="489" spans="1:9" hidden="1" x14ac:dyDescent="0.3">
      <c r="A489" s="16" t="str">
        <f t="shared" si="31"/>
        <v/>
      </c>
      <c r="D489" s="14" t="str">
        <f t="shared" si="32"/>
        <v/>
      </c>
      <c r="E489" s="6" t="str">
        <f>IF(C489="","",PMT(INPUTS!$B$5,INPUTS!$B$6,-INPUTS!$B$3,0,0))</f>
        <v/>
      </c>
      <c r="F489" s="6" t="str">
        <f>IF(C489="","",IPMT(INPUTS!$B$5,C489,INPUTS!$B$6,-INPUTS!$B$3,0,0))</f>
        <v/>
      </c>
      <c r="G489" s="6" t="str">
        <f>IF(C489="","",PPMT(INPUTS!$B$5,C489,INPUTS!$B$6,-INPUTS!$B$3,0,0))</f>
        <v/>
      </c>
      <c r="H489" s="6" t="str">
        <f t="shared" si="33"/>
        <v/>
      </c>
      <c r="I489" s="6" t="str">
        <f t="shared" si="30"/>
        <v/>
      </c>
    </row>
    <row r="490" spans="1:9" hidden="1" x14ac:dyDescent="0.3">
      <c r="A490" s="16" t="str">
        <f t="shared" si="31"/>
        <v/>
      </c>
      <c r="D490" s="14" t="str">
        <f t="shared" si="32"/>
        <v/>
      </c>
      <c r="E490" s="6" t="str">
        <f>IF(C490="","",PMT(INPUTS!$B$5,INPUTS!$B$6,-INPUTS!$B$3,0,0))</f>
        <v/>
      </c>
      <c r="F490" s="6" t="str">
        <f>IF(C490="","",IPMT(INPUTS!$B$5,C490,INPUTS!$B$6,-INPUTS!$B$3,0,0))</f>
        <v/>
      </c>
      <c r="G490" s="6" t="str">
        <f>IF(C490="","",PPMT(INPUTS!$B$5,C490,INPUTS!$B$6,-INPUTS!$B$3,0,0))</f>
        <v/>
      </c>
      <c r="H490" s="6" t="str">
        <f t="shared" si="33"/>
        <v/>
      </c>
      <c r="I490" s="6" t="str">
        <f t="shared" si="30"/>
        <v/>
      </c>
    </row>
    <row r="491" spans="1:9" hidden="1" x14ac:dyDescent="0.3">
      <c r="A491" s="16" t="str">
        <f t="shared" si="31"/>
        <v/>
      </c>
      <c r="D491" s="14" t="str">
        <f t="shared" si="32"/>
        <v/>
      </c>
      <c r="E491" s="6" t="str">
        <f>IF(C491="","",PMT(INPUTS!$B$5,INPUTS!$B$6,-INPUTS!$B$3,0,0))</f>
        <v/>
      </c>
      <c r="F491" s="6" t="str">
        <f>IF(C491="","",IPMT(INPUTS!$B$5,C491,INPUTS!$B$6,-INPUTS!$B$3,0,0))</f>
        <v/>
      </c>
      <c r="G491" s="6" t="str">
        <f>IF(C491="","",PPMT(INPUTS!$B$5,C491,INPUTS!$B$6,-INPUTS!$B$3,0,0))</f>
        <v/>
      </c>
      <c r="H491" s="6" t="str">
        <f t="shared" si="33"/>
        <v/>
      </c>
      <c r="I491" s="6" t="str">
        <f t="shared" si="30"/>
        <v/>
      </c>
    </row>
    <row r="492" spans="1:9" hidden="1" x14ac:dyDescent="0.3">
      <c r="A492" s="16" t="str">
        <f t="shared" si="31"/>
        <v/>
      </c>
      <c r="D492" s="14" t="str">
        <f t="shared" si="32"/>
        <v/>
      </c>
      <c r="E492" s="6" t="str">
        <f>IF(C492="","",PMT(INPUTS!$B$5,INPUTS!$B$6,-INPUTS!$B$3,0,0))</f>
        <v/>
      </c>
      <c r="F492" s="6" t="str">
        <f>IF(C492="","",IPMT(INPUTS!$B$5,C492,INPUTS!$B$6,-INPUTS!$B$3,0,0))</f>
        <v/>
      </c>
      <c r="G492" s="6" t="str">
        <f>IF(C492="","",PPMT(INPUTS!$B$5,C492,INPUTS!$B$6,-INPUTS!$B$3,0,0))</f>
        <v/>
      </c>
      <c r="H492" s="6" t="str">
        <f t="shared" si="33"/>
        <v/>
      </c>
      <c r="I492" s="6" t="str">
        <f t="shared" si="30"/>
        <v/>
      </c>
    </row>
    <row r="493" spans="1:9" hidden="1" x14ac:dyDescent="0.3">
      <c r="A493" s="16" t="str">
        <f t="shared" si="31"/>
        <v/>
      </c>
      <c r="D493" s="14" t="str">
        <f t="shared" si="32"/>
        <v/>
      </c>
      <c r="E493" s="6" t="str">
        <f>IF(C493="","",PMT(INPUTS!$B$5,INPUTS!$B$6,-INPUTS!$B$3,0,0))</f>
        <v/>
      </c>
      <c r="F493" s="6" t="str">
        <f>IF(C493="","",IPMT(INPUTS!$B$5,C493,INPUTS!$B$6,-INPUTS!$B$3,0,0))</f>
        <v/>
      </c>
      <c r="G493" s="6" t="str">
        <f>IF(C493="","",PPMT(INPUTS!$B$5,C493,INPUTS!$B$6,-INPUTS!$B$3,0,0))</f>
        <v/>
      </c>
      <c r="H493" s="6" t="str">
        <f t="shared" si="33"/>
        <v/>
      </c>
      <c r="I493" s="6" t="str">
        <f t="shared" si="30"/>
        <v/>
      </c>
    </row>
    <row r="494" spans="1:9" hidden="1" x14ac:dyDescent="0.3">
      <c r="A494" s="16" t="str">
        <f t="shared" si="31"/>
        <v/>
      </c>
      <c r="D494" s="14" t="str">
        <f t="shared" si="32"/>
        <v/>
      </c>
      <c r="E494" s="6" t="str">
        <f>IF(C494="","",PMT(INPUTS!$B$5,INPUTS!$B$6,-INPUTS!$B$3,0,0))</f>
        <v/>
      </c>
      <c r="F494" s="6" t="str">
        <f>IF(C494="","",IPMT(INPUTS!$B$5,C494,INPUTS!$B$6,-INPUTS!$B$3,0,0))</f>
        <v/>
      </c>
      <c r="G494" s="6" t="str">
        <f>IF(C494="","",PPMT(INPUTS!$B$5,C494,INPUTS!$B$6,-INPUTS!$B$3,0,0))</f>
        <v/>
      </c>
      <c r="H494" s="6" t="str">
        <f t="shared" si="33"/>
        <v/>
      </c>
      <c r="I494" s="6" t="str">
        <f t="shared" si="30"/>
        <v/>
      </c>
    </row>
    <row r="495" spans="1:9" hidden="1" x14ac:dyDescent="0.3">
      <c r="A495" s="16" t="str">
        <f t="shared" si="31"/>
        <v/>
      </c>
      <c r="D495" s="14" t="str">
        <f t="shared" si="32"/>
        <v/>
      </c>
      <c r="E495" s="6" t="str">
        <f>IF(C495="","",PMT(INPUTS!$B$5,INPUTS!$B$6,-INPUTS!$B$3,0,0))</f>
        <v/>
      </c>
      <c r="F495" s="6" t="str">
        <f>IF(C495="","",IPMT(INPUTS!$B$5,C495,INPUTS!$B$6,-INPUTS!$B$3,0,0))</f>
        <v/>
      </c>
      <c r="G495" s="6" t="str">
        <f>IF(C495="","",PPMT(INPUTS!$B$5,C495,INPUTS!$B$6,-INPUTS!$B$3,0,0))</f>
        <v/>
      </c>
      <c r="H495" s="6" t="str">
        <f t="shared" si="33"/>
        <v/>
      </c>
      <c r="I495" s="6" t="str">
        <f t="shared" si="30"/>
        <v/>
      </c>
    </row>
    <row r="496" spans="1:9" hidden="1" x14ac:dyDescent="0.3">
      <c r="A496" s="16" t="str">
        <f t="shared" si="31"/>
        <v/>
      </c>
      <c r="D496" s="14" t="str">
        <f t="shared" si="32"/>
        <v/>
      </c>
      <c r="E496" s="6" t="str">
        <f>IF(C496="","",PMT(INPUTS!$B$5,INPUTS!$B$6,-INPUTS!$B$3,0,0))</f>
        <v/>
      </c>
      <c r="F496" s="6" t="str">
        <f>IF(C496="","",IPMT(INPUTS!$B$5,C496,INPUTS!$B$6,-INPUTS!$B$3,0,0))</f>
        <v/>
      </c>
      <c r="G496" s="6" t="str">
        <f>IF(C496="","",PPMT(INPUTS!$B$5,C496,INPUTS!$B$6,-INPUTS!$B$3,0,0))</f>
        <v/>
      </c>
      <c r="H496" s="6" t="str">
        <f t="shared" si="33"/>
        <v/>
      </c>
      <c r="I496" s="6" t="str">
        <f t="shared" ref="I496:I559" si="34">IF(C496="","",H496-G496)</f>
        <v/>
      </c>
    </row>
    <row r="497" spans="1:9" hidden="1" x14ac:dyDescent="0.3">
      <c r="A497" s="16" t="str">
        <f t="shared" si="31"/>
        <v/>
      </c>
      <c r="D497" s="14" t="str">
        <f t="shared" si="32"/>
        <v/>
      </c>
      <c r="E497" s="6" t="str">
        <f>IF(C497="","",PMT(INPUTS!$B$5,INPUTS!$B$6,-INPUTS!$B$3,0,0))</f>
        <v/>
      </c>
      <c r="F497" s="6" t="str">
        <f>IF(C497="","",IPMT(INPUTS!$B$5,C497,INPUTS!$B$6,-INPUTS!$B$3,0,0))</f>
        <v/>
      </c>
      <c r="G497" s="6" t="str">
        <f>IF(C497="","",PPMT(INPUTS!$B$5,C497,INPUTS!$B$6,-INPUTS!$B$3,0,0))</f>
        <v/>
      </c>
      <c r="H497" s="6" t="str">
        <f t="shared" si="33"/>
        <v/>
      </c>
      <c r="I497" s="6" t="str">
        <f t="shared" si="34"/>
        <v/>
      </c>
    </row>
    <row r="498" spans="1:9" hidden="1" x14ac:dyDescent="0.3">
      <c r="A498" s="16" t="str">
        <f t="shared" si="31"/>
        <v/>
      </c>
      <c r="D498" s="14" t="str">
        <f t="shared" si="32"/>
        <v/>
      </c>
      <c r="E498" s="6" t="str">
        <f>IF(C498="","",PMT(INPUTS!$B$5,INPUTS!$B$6,-INPUTS!$B$3,0,0))</f>
        <v/>
      </c>
      <c r="F498" s="6" t="str">
        <f>IF(C498="","",IPMT(INPUTS!$B$5,C498,INPUTS!$B$6,-INPUTS!$B$3,0,0))</f>
        <v/>
      </c>
      <c r="G498" s="6" t="str">
        <f>IF(C498="","",PPMT(INPUTS!$B$5,C498,INPUTS!$B$6,-INPUTS!$B$3,0,0))</f>
        <v/>
      </c>
      <c r="H498" s="6" t="str">
        <f t="shared" si="33"/>
        <v/>
      </c>
      <c r="I498" s="6" t="str">
        <f t="shared" si="34"/>
        <v/>
      </c>
    </row>
    <row r="499" spans="1:9" hidden="1" x14ac:dyDescent="0.3">
      <c r="A499" s="16" t="str">
        <f t="shared" si="31"/>
        <v/>
      </c>
      <c r="D499" s="14" t="str">
        <f t="shared" si="32"/>
        <v/>
      </c>
      <c r="E499" s="6" t="str">
        <f>IF(C499="","",PMT(INPUTS!$B$5,INPUTS!$B$6,-INPUTS!$B$3,0,0))</f>
        <v/>
      </c>
      <c r="F499" s="6" t="str">
        <f>IF(C499="","",IPMT(INPUTS!$B$5,C499,INPUTS!$B$6,-INPUTS!$B$3,0,0))</f>
        <v/>
      </c>
      <c r="G499" s="6" t="str">
        <f>IF(C499="","",PPMT(INPUTS!$B$5,C499,INPUTS!$B$6,-INPUTS!$B$3,0,0))</f>
        <v/>
      </c>
      <c r="H499" s="6" t="str">
        <f t="shared" si="33"/>
        <v/>
      </c>
      <c r="I499" s="6" t="str">
        <f t="shared" si="34"/>
        <v/>
      </c>
    </row>
    <row r="500" spans="1:9" hidden="1" x14ac:dyDescent="0.3">
      <c r="A500" s="16" t="str">
        <f t="shared" si="31"/>
        <v/>
      </c>
      <c r="D500" s="14" t="str">
        <f t="shared" si="32"/>
        <v/>
      </c>
      <c r="E500" s="6" t="str">
        <f>IF(C500="","",PMT(INPUTS!$B$5,INPUTS!$B$6,-INPUTS!$B$3,0,0))</f>
        <v/>
      </c>
      <c r="F500" s="6" t="str">
        <f>IF(C500="","",IPMT(INPUTS!$B$5,C500,INPUTS!$B$6,-INPUTS!$B$3,0,0))</f>
        <v/>
      </c>
      <c r="G500" s="6" t="str">
        <f>IF(C500="","",PPMT(INPUTS!$B$5,C500,INPUTS!$B$6,-INPUTS!$B$3,0,0))</f>
        <v/>
      </c>
      <c r="H500" s="6" t="str">
        <f t="shared" si="33"/>
        <v/>
      </c>
      <c r="I500" s="6" t="str">
        <f t="shared" si="34"/>
        <v/>
      </c>
    </row>
    <row r="501" spans="1:9" hidden="1" x14ac:dyDescent="0.3">
      <c r="A501" s="16" t="str">
        <f t="shared" si="31"/>
        <v/>
      </c>
      <c r="D501" s="14" t="str">
        <f t="shared" si="32"/>
        <v/>
      </c>
      <c r="E501" s="6" t="str">
        <f>IF(C501="","",PMT(INPUTS!$B$5,INPUTS!$B$6,-INPUTS!$B$3,0,0))</f>
        <v/>
      </c>
      <c r="F501" s="6" t="str">
        <f>IF(C501="","",IPMT(INPUTS!$B$5,C501,INPUTS!$B$6,-INPUTS!$B$3,0,0))</f>
        <v/>
      </c>
      <c r="G501" s="6" t="str">
        <f>IF(C501="","",PPMT(INPUTS!$B$5,C501,INPUTS!$B$6,-INPUTS!$B$3,0,0))</f>
        <v/>
      </c>
      <c r="H501" s="6" t="str">
        <f t="shared" si="33"/>
        <v/>
      </c>
      <c r="I501" s="6" t="str">
        <f t="shared" si="34"/>
        <v/>
      </c>
    </row>
    <row r="502" spans="1:9" hidden="1" x14ac:dyDescent="0.3">
      <c r="A502" s="16" t="str">
        <f t="shared" si="31"/>
        <v/>
      </c>
      <c r="D502" s="14" t="str">
        <f t="shared" si="32"/>
        <v/>
      </c>
      <c r="E502" s="6" t="str">
        <f>IF(C502="","",PMT(INPUTS!$B$5,INPUTS!$B$6,-INPUTS!$B$3,0,0))</f>
        <v/>
      </c>
      <c r="F502" s="6" t="str">
        <f>IF(C502="","",IPMT(INPUTS!$B$5,C502,INPUTS!$B$6,-INPUTS!$B$3,0,0))</f>
        <v/>
      </c>
      <c r="G502" s="6" t="str">
        <f>IF(C502="","",PPMT(INPUTS!$B$5,C502,INPUTS!$B$6,-INPUTS!$B$3,0,0))</f>
        <v/>
      </c>
      <c r="H502" s="6" t="str">
        <f t="shared" si="33"/>
        <v/>
      </c>
      <c r="I502" s="6" t="str">
        <f t="shared" si="34"/>
        <v/>
      </c>
    </row>
    <row r="503" spans="1:9" hidden="1" x14ac:dyDescent="0.3">
      <c r="A503" s="16" t="str">
        <f t="shared" si="31"/>
        <v/>
      </c>
      <c r="D503" s="14" t="str">
        <f t="shared" si="32"/>
        <v/>
      </c>
      <c r="E503" s="6" t="str">
        <f>IF(C503="","",PMT(INPUTS!$B$5,INPUTS!$B$6,-INPUTS!$B$3,0,0))</f>
        <v/>
      </c>
      <c r="F503" s="6" t="str">
        <f>IF(C503="","",IPMT(INPUTS!$B$5,C503,INPUTS!$B$6,-INPUTS!$B$3,0,0))</f>
        <v/>
      </c>
      <c r="G503" s="6" t="str">
        <f>IF(C503="","",PPMT(INPUTS!$B$5,C503,INPUTS!$B$6,-INPUTS!$B$3,0,0))</f>
        <v/>
      </c>
      <c r="H503" s="6" t="str">
        <f t="shared" si="33"/>
        <v/>
      </c>
      <c r="I503" s="6" t="str">
        <f t="shared" si="34"/>
        <v/>
      </c>
    </row>
    <row r="504" spans="1:9" hidden="1" x14ac:dyDescent="0.3">
      <c r="A504" s="16" t="str">
        <f t="shared" si="31"/>
        <v/>
      </c>
      <c r="D504" s="14" t="str">
        <f t="shared" si="32"/>
        <v/>
      </c>
      <c r="E504" s="6" t="str">
        <f>IF(C504="","",PMT(INPUTS!$B$5,INPUTS!$B$6,-INPUTS!$B$3,0,0))</f>
        <v/>
      </c>
      <c r="F504" s="6" t="str">
        <f>IF(C504="","",IPMT(INPUTS!$B$5,C504,INPUTS!$B$6,-INPUTS!$B$3,0,0))</f>
        <v/>
      </c>
      <c r="G504" s="6" t="str">
        <f>IF(C504="","",PPMT(INPUTS!$B$5,C504,INPUTS!$B$6,-INPUTS!$B$3,0,0))</f>
        <v/>
      </c>
      <c r="H504" s="6" t="str">
        <f t="shared" si="33"/>
        <v/>
      </c>
      <c r="I504" s="6" t="str">
        <f t="shared" si="34"/>
        <v/>
      </c>
    </row>
    <row r="505" spans="1:9" hidden="1" x14ac:dyDescent="0.3">
      <c r="A505" s="16" t="str">
        <f t="shared" si="31"/>
        <v/>
      </c>
      <c r="D505" s="14" t="str">
        <f t="shared" si="32"/>
        <v/>
      </c>
      <c r="E505" s="6" t="str">
        <f>IF(C505="","",PMT(INPUTS!$B$5,INPUTS!$B$6,-INPUTS!$B$3,0,0))</f>
        <v/>
      </c>
      <c r="F505" s="6" t="str">
        <f>IF(C505="","",IPMT(INPUTS!$B$5,C505,INPUTS!$B$6,-INPUTS!$B$3,0,0))</f>
        <v/>
      </c>
      <c r="G505" s="6" t="str">
        <f>IF(C505="","",PPMT(INPUTS!$B$5,C505,INPUTS!$B$6,-INPUTS!$B$3,0,0))</f>
        <v/>
      </c>
      <c r="H505" s="6" t="str">
        <f t="shared" si="33"/>
        <v/>
      </c>
      <c r="I505" s="6" t="str">
        <f t="shared" si="34"/>
        <v/>
      </c>
    </row>
    <row r="506" spans="1:9" hidden="1" x14ac:dyDescent="0.3">
      <c r="A506" s="16" t="str">
        <f t="shared" si="31"/>
        <v/>
      </c>
      <c r="D506" s="14" t="str">
        <f t="shared" si="32"/>
        <v/>
      </c>
      <c r="E506" s="6" t="str">
        <f>IF(C506="","",PMT(INPUTS!$B$5,INPUTS!$B$6,-INPUTS!$B$3,0,0))</f>
        <v/>
      </c>
      <c r="F506" s="6" t="str">
        <f>IF(C506="","",IPMT(INPUTS!$B$5,C506,INPUTS!$B$6,-INPUTS!$B$3,0,0))</f>
        <v/>
      </c>
      <c r="G506" s="6" t="str">
        <f>IF(C506="","",PPMT(INPUTS!$B$5,C506,INPUTS!$B$6,-INPUTS!$B$3,0,0))</f>
        <v/>
      </c>
      <c r="H506" s="6" t="str">
        <f t="shared" si="33"/>
        <v/>
      </c>
      <c r="I506" s="6" t="str">
        <f t="shared" si="34"/>
        <v/>
      </c>
    </row>
    <row r="507" spans="1:9" hidden="1" x14ac:dyDescent="0.3">
      <c r="A507" s="16" t="str">
        <f t="shared" si="31"/>
        <v/>
      </c>
      <c r="D507" s="14" t="str">
        <f t="shared" si="32"/>
        <v/>
      </c>
      <c r="E507" s="6" t="str">
        <f>IF(C507="","",PMT(INPUTS!$B$5,INPUTS!$B$6,-INPUTS!$B$3,0,0))</f>
        <v/>
      </c>
      <c r="F507" s="6" t="str">
        <f>IF(C507="","",IPMT(INPUTS!$B$5,C507,INPUTS!$B$6,-INPUTS!$B$3,0,0))</f>
        <v/>
      </c>
      <c r="G507" s="6" t="str">
        <f>IF(C507="","",PPMT(INPUTS!$B$5,C507,INPUTS!$B$6,-INPUTS!$B$3,0,0))</f>
        <v/>
      </c>
      <c r="H507" s="6" t="str">
        <f t="shared" si="33"/>
        <v/>
      </c>
      <c r="I507" s="6" t="str">
        <f t="shared" si="34"/>
        <v/>
      </c>
    </row>
    <row r="508" spans="1:9" hidden="1" x14ac:dyDescent="0.3">
      <c r="A508" s="16" t="str">
        <f t="shared" si="31"/>
        <v/>
      </c>
      <c r="D508" s="14" t="str">
        <f t="shared" si="32"/>
        <v/>
      </c>
      <c r="E508" s="6" t="str">
        <f>IF(C508="","",PMT(INPUTS!$B$5,INPUTS!$B$6,-INPUTS!$B$3,0,0))</f>
        <v/>
      </c>
      <c r="F508" s="6" t="str">
        <f>IF(C508="","",IPMT(INPUTS!$B$5,C508,INPUTS!$B$6,-INPUTS!$B$3,0,0))</f>
        <v/>
      </c>
      <c r="G508" s="6" t="str">
        <f>IF(C508="","",PPMT(INPUTS!$B$5,C508,INPUTS!$B$6,-INPUTS!$B$3,0,0))</f>
        <v/>
      </c>
      <c r="H508" s="6" t="str">
        <f t="shared" si="33"/>
        <v/>
      </c>
      <c r="I508" s="6" t="str">
        <f t="shared" si="34"/>
        <v/>
      </c>
    </row>
    <row r="509" spans="1:9" hidden="1" x14ac:dyDescent="0.3">
      <c r="A509" s="16" t="str">
        <f t="shared" si="31"/>
        <v/>
      </c>
      <c r="D509" s="14" t="str">
        <f t="shared" si="32"/>
        <v/>
      </c>
      <c r="E509" s="6" t="str">
        <f>IF(C509="","",PMT(INPUTS!$B$5,INPUTS!$B$6,-INPUTS!$B$3,0,0))</f>
        <v/>
      </c>
      <c r="F509" s="6" t="str">
        <f>IF(C509="","",IPMT(INPUTS!$B$5,C509,INPUTS!$B$6,-INPUTS!$B$3,0,0))</f>
        <v/>
      </c>
      <c r="G509" s="6" t="str">
        <f>IF(C509="","",PPMT(INPUTS!$B$5,C509,INPUTS!$B$6,-INPUTS!$B$3,0,0))</f>
        <v/>
      </c>
      <c r="H509" s="6" t="str">
        <f t="shared" si="33"/>
        <v/>
      </c>
      <c r="I509" s="6" t="str">
        <f t="shared" si="34"/>
        <v/>
      </c>
    </row>
    <row r="510" spans="1:9" hidden="1" x14ac:dyDescent="0.3">
      <c r="A510" s="16" t="str">
        <f t="shared" si="31"/>
        <v/>
      </c>
      <c r="D510" s="14" t="str">
        <f t="shared" si="32"/>
        <v/>
      </c>
      <c r="E510" s="6" t="str">
        <f>IF(C510="","",PMT(INPUTS!$B$5,INPUTS!$B$6,-INPUTS!$B$3,0,0))</f>
        <v/>
      </c>
      <c r="F510" s="6" t="str">
        <f>IF(C510="","",IPMT(INPUTS!$B$5,C510,INPUTS!$B$6,-INPUTS!$B$3,0,0))</f>
        <v/>
      </c>
      <c r="G510" s="6" t="str">
        <f>IF(C510="","",PPMT(INPUTS!$B$5,C510,INPUTS!$B$6,-INPUTS!$B$3,0,0))</f>
        <v/>
      </c>
      <c r="H510" s="6" t="str">
        <f t="shared" si="33"/>
        <v/>
      </c>
      <c r="I510" s="6" t="str">
        <f t="shared" si="34"/>
        <v/>
      </c>
    </row>
    <row r="511" spans="1:9" hidden="1" x14ac:dyDescent="0.3">
      <c r="A511" s="16" t="str">
        <f t="shared" si="31"/>
        <v/>
      </c>
      <c r="D511" s="14" t="str">
        <f t="shared" si="32"/>
        <v/>
      </c>
      <c r="E511" s="6" t="str">
        <f>IF(C511="","",PMT(INPUTS!$B$5,INPUTS!$B$6,-INPUTS!$B$3,0,0))</f>
        <v/>
      </c>
      <c r="F511" s="6" t="str">
        <f>IF(C511="","",IPMT(INPUTS!$B$5,C511,INPUTS!$B$6,-INPUTS!$B$3,0,0))</f>
        <v/>
      </c>
      <c r="G511" s="6" t="str">
        <f>IF(C511="","",PPMT(INPUTS!$B$5,C511,INPUTS!$B$6,-INPUTS!$B$3,0,0))</f>
        <v/>
      </c>
      <c r="H511" s="6" t="str">
        <f t="shared" si="33"/>
        <v/>
      </c>
      <c r="I511" s="6" t="str">
        <f t="shared" si="34"/>
        <v/>
      </c>
    </row>
    <row r="512" spans="1:9" hidden="1" x14ac:dyDescent="0.3">
      <c r="A512" s="16" t="str">
        <f t="shared" si="31"/>
        <v/>
      </c>
      <c r="D512" s="14" t="str">
        <f t="shared" si="32"/>
        <v/>
      </c>
      <c r="E512" s="6" t="str">
        <f>IF(C512="","",PMT(INPUTS!$B$5,INPUTS!$B$6,-INPUTS!$B$3,0,0))</f>
        <v/>
      </c>
      <c r="F512" s="6" t="str">
        <f>IF(C512="","",IPMT(INPUTS!$B$5,C512,INPUTS!$B$6,-INPUTS!$B$3,0,0))</f>
        <v/>
      </c>
      <c r="G512" s="6" t="str">
        <f>IF(C512="","",PPMT(INPUTS!$B$5,C512,INPUTS!$B$6,-INPUTS!$B$3,0,0))</f>
        <v/>
      </c>
      <c r="H512" s="6" t="str">
        <f t="shared" si="33"/>
        <v/>
      </c>
      <c r="I512" s="6" t="str">
        <f t="shared" si="34"/>
        <v/>
      </c>
    </row>
    <row r="513" spans="1:9" hidden="1" x14ac:dyDescent="0.3">
      <c r="A513" s="16" t="str">
        <f t="shared" si="31"/>
        <v/>
      </c>
      <c r="D513" s="14" t="str">
        <f t="shared" si="32"/>
        <v/>
      </c>
      <c r="E513" s="6" t="str">
        <f>IF(C513="","",PMT(INPUTS!$B$5,INPUTS!$B$6,-INPUTS!$B$3,0,0))</f>
        <v/>
      </c>
      <c r="F513" s="6" t="str">
        <f>IF(C513="","",IPMT(INPUTS!$B$5,C513,INPUTS!$B$6,-INPUTS!$B$3,0,0))</f>
        <v/>
      </c>
      <c r="G513" s="6" t="str">
        <f>IF(C513="","",PPMT(INPUTS!$B$5,C513,INPUTS!$B$6,-INPUTS!$B$3,0,0))</f>
        <v/>
      </c>
      <c r="H513" s="6" t="str">
        <f t="shared" si="33"/>
        <v/>
      </c>
      <c r="I513" s="6" t="str">
        <f t="shared" si="34"/>
        <v/>
      </c>
    </row>
    <row r="514" spans="1:9" hidden="1" x14ac:dyDescent="0.3">
      <c r="A514" s="16" t="str">
        <f t="shared" si="31"/>
        <v/>
      </c>
      <c r="D514" s="14" t="str">
        <f t="shared" si="32"/>
        <v/>
      </c>
      <c r="E514" s="6" t="str">
        <f>IF(C514="","",PMT(INPUTS!$B$5,INPUTS!$B$6,-INPUTS!$B$3,0,0))</f>
        <v/>
      </c>
      <c r="F514" s="6" t="str">
        <f>IF(C514="","",IPMT(INPUTS!$B$5,C514,INPUTS!$B$6,-INPUTS!$B$3,0,0))</f>
        <v/>
      </c>
      <c r="G514" s="6" t="str">
        <f>IF(C514="","",PPMT(INPUTS!$B$5,C514,INPUTS!$B$6,-INPUTS!$B$3,0,0))</f>
        <v/>
      </c>
      <c r="H514" s="6" t="str">
        <f t="shared" si="33"/>
        <v/>
      </c>
      <c r="I514" s="6" t="str">
        <f t="shared" si="34"/>
        <v/>
      </c>
    </row>
    <row r="515" spans="1:9" hidden="1" x14ac:dyDescent="0.3">
      <c r="A515" s="16" t="str">
        <f t="shared" si="31"/>
        <v/>
      </c>
      <c r="D515" s="14" t="str">
        <f t="shared" si="32"/>
        <v/>
      </c>
      <c r="E515" s="6" t="str">
        <f>IF(C515="","",PMT(INPUTS!$B$5,INPUTS!$B$6,-INPUTS!$B$3,0,0))</f>
        <v/>
      </c>
      <c r="F515" s="6" t="str">
        <f>IF(C515="","",IPMT(INPUTS!$B$5,C515,INPUTS!$B$6,-INPUTS!$B$3,0,0))</f>
        <v/>
      </c>
      <c r="G515" s="6" t="str">
        <f>IF(C515="","",PPMT(INPUTS!$B$5,C515,INPUTS!$B$6,-INPUTS!$B$3,0,0))</f>
        <v/>
      </c>
      <c r="H515" s="6" t="str">
        <f t="shared" si="33"/>
        <v/>
      </c>
      <c r="I515" s="6" t="str">
        <f t="shared" si="34"/>
        <v/>
      </c>
    </row>
    <row r="516" spans="1:9" hidden="1" x14ac:dyDescent="0.3">
      <c r="A516" s="16" t="str">
        <f t="shared" si="31"/>
        <v/>
      </c>
      <c r="D516" s="14" t="str">
        <f t="shared" si="32"/>
        <v/>
      </c>
      <c r="E516" s="6" t="str">
        <f>IF(C516="","",PMT(INPUTS!$B$5,INPUTS!$B$6,-INPUTS!$B$3,0,0))</f>
        <v/>
      </c>
      <c r="F516" s="6" t="str">
        <f>IF(C516="","",IPMT(INPUTS!$B$5,C516,INPUTS!$B$6,-INPUTS!$B$3,0,0))</f>
        <v/>
      </c>
      <c r="G516" s="6" t="str">
        <f>IF(C516="","",PPMT(INPUTS!$B$5,C516,INPUTS!$B$6,-INPUTS!$B$3,0,0))</f>
        <v/>
      </c>
      <c r="H516" s="6" t="str">
        <f t="shared" si="33"/>
        <v/>
      </c>
      <c r="I516" s="6" t="str">
        <f t="shared" si="34"/>
        <v/>
      </c>
    </row>
    <row r="517" spans="1:9" hidden="1" x14ac:dyDescent="0.3">
      <c r="A517" s="16" t="str">
        <f t="shared" si="31"/>
        <v/>
      </c>
      <c r="D517" s="14" t="str">
        <f t="shared" si="32"/>
        <v/>
      </c>
      <c r="E517" s="6" t="str">
        <f>IF(C517="","",PMT(INPUTS!$B$5,INPUTS!$B$6,-INPUTS!$B$3,0,0))</f>
        <v/>
      </c>
      <c r="F517" s="6" t="str">
        <f>IF(C517="","",IPMT(INPUTS!$B$5,C517,INPUTS!$B$6,-INPUTS!$B$3,0,0))</f>
        <v/>
      </c>
      <c r="G517" s="6" t="str">
        <f>IF(C517="","",PPMT(INPUTS!$B$5,C517,INPUTS!$B$6,-INPUTS!$B$3,0,0))</f>
        <v/>
      </c>
      <c r="H517" s="6" t="str">
        <f t="shared" si="33"/>
        <v/>
      </c>
      <c r="I517" s="6" t="str">
        <f t="shared" si="34"/>
        <v/>
      </c>
    </row>
    <row r="518" spans="1:9" hidden="1" x14ac:dyDescent="0.3">
      <c r="A518" s="16" t="str">
        <f t="shared" si="31"/>
        <v/>
      </c>
      <c r="D518" s="14" t="str">
        <f t="shared" si="32"/>
        <v/>
      </c>
      <c r="E518" s="6" t="str">
        <f>IF(C518="","",PMT(INPUTS!$B$5,INPUTS!$B$6,-INPUTS!$B$3,0,0))</f>
        <v/>
      </c>
      <c r="F518" s="6" t="str">
        <f>IF(C518="","",IPMT(INPUTS!$B$5,C518,INPUTS!$B$6,-INPUTS!$B$3,0,0))</f>
        <v/>
      </c>
      <c r="G518" s="6" t="str">
        <f>IF(C518="","",PPMT(INPUTS!$B$5,C518,INPUTS!$B$6,-INPUTS!$B$3,0,0))</f>
        <v/>
      </c>
      <c r="H518" s="6" t="str">
        <f t="shared" si="33"/>
        <v/>
      </c>
      <c r="I518" s="6" t="str">
        <f t="shared" si="34"/>
        <v/>
      </c>
    </row>
    <row r="519" spans="1:9" hidden="1" x14ac:dyDescent="0.3">
      <c r="A519" s="16" t="str">
        <f t="shared" si="31"/>
        <v/>
      </c>
      <c r="D519" s="14" t="str">
        <f t="shared" si="32"/>
        <v/>
      </c>
      <c r="E519" s="6" t="str">
        <f>IF(C519="","",PMT(INPUTS!$B$5,INPUTS!$B$6,-INPUTS!$B$3,0,0))</f>
        <v/>
      </c>
      <c r="F519" s="6" t="str">
        <f>IF(C519="","",IPMT(INPUTS!$B$5,C519,INPUTS!$B$6,-INPUTS!$B$3,0,0))</f>
        <v/>
      </c>
      <c r="G519" s="6" t="str">
        <f>IF(C519="","",PPMT(INPUTS!$B$5,C519,INPUTS!$B$6,-INPUTS!$B$3,0,0))</f>
        <v/>
      </c>
      <c r="H519" s="6" t="str">
        <f t="shared" si="33"/>
        <v/>
      </c>
      <c r="I519" s="6" t="str">
        <f t="shared" si="34"/>
        <v/>
      </c>
    </row>
    <row r="520" spans="1:9" hidden="1" x14ac:dyDescent="0.3">
      <c r="A520" s="16" t="str">
        <f t="shared" si="31"/>
        <v/>
      </c>
      <c r="D520" s="14" t="str">
        <f t="shared" si="32"/>
        <v/>
      </c>
      <c r="E520" s="6" t="str">
        <f>IF(C520="","",PMT(INPUTS!$B$5,INPUTS!$B$6,-INPUTS!$B$3,0,0))</f>
        <v/>
      </c>
      <c r="F520" s="6" t="str">
        <f>IF(C520="","",IPMT(INPUTS!$B$5,C520,INPUTS!$B$6,-INPUTS!$B$3,0,0))</f>
        <v/>
      </c>
      <c r="G520" s="6" t="str">
        <f>IF(C520="","",PPMT(INPUTS!$B$5,C520,INPUTS!$B$6,-INPUTS!$B$3,0,0))</f>
        <v/>
      </c>
      <c r="H520" s="6" t="str">
        <f t="shared" si="33"/>
        <v/>
      </c>
      <c r="I520" s="6" t="str">
        <f t="shared" si="34"/>
        <v/>
      </c>
    </row>
    <row r="521" spans="1:9" hidden="1" x14ac:dyDescent="0.3">
      <c r="A521" s="16" t="str">
        <f t="shared" si="31"/>
        <v/>
      </c>
      <c r="D521" s="14" t="str">
        <f t="shared" si="32"/>
        <v/>
      </c>
      <c r="E521" s="6" t="str">
        <f>IF(C521="","",PMT(INPUTS!$B$5,INPUTS!$B$6,-INPUTS!$B$3,0,0))</f>
        <v/>
      </c>
      <c r="F521" s="6" t="str">
        <f>IF(C521="","",IPMT(INPUTS!$B$5,C521,INPUTS!$B$6,-INPUTS!$B$3,0,0))</f>
        <v/>
      </c>
      <c r="G521" s="6" t="str">
        <f>IF(C521="","",PPMT(INPUTS!$B$5,C521,INPUTS!$B$6,-INPUTS!$B$3,0,0))</f>
        <v/>
      </c>
      <c r="H521" s="6" t="str">
        <f t="shared" si="33"/>
        <v/>
      </c>
      <c r="I521" s="6" t="str">
        <f t="shared" si="34"/>
        <v/>
      </c>
    </row>
    <row r="522" spans="1:9" hidden="1" x14ac:dyDescent="0.3">
      <c r="A522" s="16" t="str">
        <f t="shared" si="31"/>
        <v/>
      </c>
      <c r="D522" s="14" t="str">
        <f t="shared" si="32"/>
        <v/>
      </c>
      <c r="E522" s="6" t="str">
        <f>IF(C522="","",PMT(INPUTS!$B$5,INPUTS!$B$6,-INPUTS!$B$3,0,0))</f>
        <v/>
      </c>
      <c r="F522" s="6" t="str">
        <f>IF(C522="","",IPMT(INPUTS!$B$5,C522,INPUTS!$B$6,-INPUTS!$B$3,0,0))</f>
        <v/>
      </c>
      <c r="G522" s="6" t="str">
        <f>IF(C522="","",PPMT(INPUTS!$B$5,C522,INPUTS!$B$6,-INPUTS!$B$3,0,0))</f>
        <v/>
      </c>
      <c r="H522" s="6" t="str">
        <f t="shared" si="33"/>
        <v/>
      </c>
      <c r="I522" s="6" t="str">
        <f t="shared" si="34"/>
        <v/>
      </c>
    </row>
    <row r="523" spans="1:9" hidden="1" x14ac:dyDescent="0.3">
      <c r="A523" s="16" t="str">
        <f t="shared" si="31"/>
        <v/>
      </c>
      <c r="D523" s="14" t="str">
        <f t="shared" si="32"/>
        <v/>
      </c>
      <c r="E523" s="6" t="str">
        <f>IF(C523="","",PMT(INPUTS!$B$5,INPUTS!$B$6,-INPUTS!$B$3,0,0))</f>
        <v/>
      </c>
      <c r="F523" s="6" t="str">
        <f>IF(C523="","",IPMT(INPUTS!$B$5,C523,INPUTS!$B$6,-INPUTS!$B$3,0,0))</f>
        <v/>
      </c>
      <c r="G523" s="6" t="str">
        <f>IF(C523="","",PPMT(INPUTS!$B$5,C523,INPUTS!$B$6,-INPUTS!$B$3,0,0))</f>
        <v/>
      </c>
      <c r="H523" s="6" t="str">
        <f t="shared" si="33"/>
        <v/>
      </c>
      <c r="I523" s="6" t="str">
        <f t="shared" si="34"/>
        <v/>
      </c>
    </row>
    <row r="524" spans="1:9" hidden="1" x14ac:dyDescent="0.3">
      <c r="A524" s="16" t="str">
        <f t="shared" si="31"/>
        <v/>
      </c>
      <c r="D524" s="14" t="str">
        <f t="shared" si="32"/>
        <v/>
      </c>
      <c r="E524" s="6" t="str">
        <f>IF(C524="","",PMT(INPUTS!$B$5,INPUTS!$B$6,-INPUTS!$B$3,0,0))</f>
        <v/>
      </c>
      <c r="F524" s="6" t="str">
        <f>IF(C524="","",IPMT(INPUTS!$B$5,C524,INPUTS!$B$6,-INPUTS!$B$3,0,0))</f>
        <v/>
      </c>
      <c r="G524" s="6" t="str">
        <f>IF(C524="","",PPMT(INPUTS!$B$5,C524,INPUTS!$B$6,-INPUTS!$B$3,0,0))</f>
        <v/>
      </c>
      <c r="H524" s="6" t="str">
        <f t="shared" si="33"/>
        <v/>
      </c>
      <c r="I524" s="6" t="str">
        <f t="shared" si="34"/>
        <v/>
      </c>
    </row>
    <row r="525" spans="1:9" hidden="1" x14ac:dyDescent="0.3">
      <c r="A525" s="16" t="str">
        <f t="shared" si="31"/>
        <v/>
      </c>
      <c r="D525" s="14" t="str">
        <f t="shared" si="32"/>
        <v/>
      </c>
      <c r="E525" s="6" t="str">
        <f>IF(C525="","",PMT(INPUTS!$B$5,INPUTS!$B$6,-INPUTS!$B$3,0,0))</f>
        <v/>
      </c>
      <c r="F525" s="6" t="str">
        <f>IF(C525="","",IPMT(INPUTS!$B$5,C525,INPUTS!$B$6,-INPUTS!$B$3,0,0))</f>
        <v/>
      </c>
      <c r="G525" s="6" t="str">
        <f>IF(C525="","",PPMT(INPUTS!$B$5,C525,INPUTS!$B$6,-INPUTS!$B$3,0,0))</f>
        <v/>
      </c>
      <c r="H525" s="6" t="str">
        <f t="shared" si="33"/>
        <v/>
      </c>
      <c r="I525" s="6" t="str">
        <f t="shared" si="34"/>
        <v/>
      </c>
    </row>
    <row r="526" spans="1:9" hidden="1" x14ac:dyDescent="0.3">
      <c r="A526" s="16" t="str">
        <f t="shared" si="31"/>
        <v/>
      </c>
      <c r="D526" s="14" t="str">
        <f t="shared" si="32"/>
        <v/>
      </c>
      <c r="E526" s="6" t="str">
        <f>IF(C526="","",PMT(INPUTS!$B$5,INPUTS!$B$6,-INPUTS!$B$3,0,0))</f>
        <v/>
      </c>
      <c r="F526" s="6" t="str">
        <f>IF(C526="","",IPMT(INPUTS!$B$5,C526,INPUTS!$B$6,-INPUTS!$B$3,0,0))</f>
        <v/>
      </c>
      <c r="G526" s="6" t="str">
        <f>IF(C526="","",PPMT(INPUTS!$B$5,C526,INPUTS!$B$6,-INPUTS!$B$3,0,0))</f>
        <v/>
      </c>
      <c r="H526" s="6" t="str">
        <f t="shared" si="33"/>
        <v/>
      </c>
      <c r="I526" s="6" t="str">
        <f t="shared" si="34"/>
        <v/>
      </c>
    </row>
    <row r="527" spans="1:9" hidden="1" x14ac:dyDescent="0.3">
      <c r="A527" s="16" t="str">
        <f t="shared" si="31"/>
        <v/>
      </c>
      <c r="D527" s="14" t="str">
        <f t="shared" si="32"/>
        <v/>
      </c>
      <c r="E527" s="6" t="str">
        <f>IF(C527="","",PMT(INPUTS!$B$5,INPUTS!$B$6,-INPUTS!$B$3,0,0))</f>
        <v/>
      </c>
      <c r="F527" s="6" t="str">
        <f>IF(C527="","",IPMT(INPUTS!$B$5,C527,INPUTS!$B$6,-INPUTS!$B$3,0,0))</f>
        <v/>
      </c>
      <c r="G527" s="6" t="str">
        <f>IF(C527="","",PPMT(INPUTS!$B$5,C527,INPUTS!$B$6,-INPUTS!$B$3,0,0))</f>
        <v/>
      </c>
      <c r="H527" s="6" t="str">
        <f t="shared" si="33"/>
        <v/>
      </c>
      <c r="I527" s="6" t="str">
        <f t="shared" si="34"/>
        <v/>
      </c>
    </row>
    <row r="528" spans="1:9" hidden="1" x14ac:dyDescent="0.3">
      <c r="A528" s="16" t="str">
        <f t="shared" si="31"/>
        <v/>
      </c>
      <c r="D528" s="14" t="str">
        <f t="shared" si="32"/>
        <v/>
      </c>
      <c r="E528" s="6" t="str">
        <f>IF(C528="","",PMT(INPUTS!$B$5,INPUTS!$B$6,-INPUTS!$B$3,0,0))</f>
        <v/>
      </c>
      <c r="F528" s="6" t="str">
        <f>IF(C528="","",IPMT(INPUTS!$B$5,C528,INPUTS!$B$6,-INPUTS!$B$3,0,0))</f>
        <v/>
      </c>
      <c r="G528" s="6" t="str">
        <f>IF(C528="","",PPMT(INPUTS!$B$5,C528,INPUTS!$B$6,-INPUTS!$B$3,0,0))</f>
        <v/>
      </c>
      <c r="H528" s="6" t="str">
        <f t="shared" si="33"/>
        <v/>
      </c>
      <c r="I528" s="6" t="str">
        <f t="shared" si="34"/>
        <v/>
      </c>
    </row>
    <row r="529" spans="1:9" hidden="1" x14ac:dyDescent="0.3">
      <c r="A529" s="16" t="str">
        <f t="shared" si="31"/>
        <v/>
      </c>
      <c r="D529" s="14" t="str">
        <f t="shared" si="32"/>
        <v/>
      </c>
      <c r="E529" s="6" t="str">
        <f>IF(C529="","",PMT(INPUTS!$B$5,INPUTS!$B$6,-INPUTS!$B$3,0,0))</f>
        <v/>
      </c>
      <c r="F529" s="6" t="str">
        <f>IF(C529="","",IPMT(INPUTS!$B$5,C529,INPUTS!$B$6,-INPUTS!$B$3,0,0))</f>
        <v/>
      </c>
      <c r="G529" s="6" t="str">
        <f>IF(C529="","",PPMT(INPUTS!$B$5,C529,INPUTS!$B$6,-INPUTS!$B$3,0,0))</f>
        <v/>
      </c>
      <c r="H529" s="6" t="str">
        <f t="shared" si="33"/>
        <v/>
      </c>
      <c r="I529" s="6" t="str">
        <f t="shared" si="34"/>
        <v/>
      </c>
    </row>
    <row r="530" spans="1:9" hidden="1" x14ac:dyDescent="0.3">
      <c r="A530" s="16" t="str">
        <f t="shared" ref="A530:A593" si="35">IF(D530="","",YEAR(D530))</f>
        <v/>
      </c>
      <c r="D530" s="14" t="str">
        <f t="shared" si="32"/>
        <v/>
      </c>
      <c r="E530" s="6" t="str">
        <f>IF(C530="","",PMT(INPUTS!$B$5,INPUTS!$B$6,-INPUTS!$B$3,0,0))</f>
        <v/>
      </c>
      <c r="F530" s="6" t="str">
        <f>IF(C530="","",IPMT(INPUTS!$B$5,C530,INPUTS!$B$6,-INPUTS!$B$3,0,0))</f>
        <v/>
      </c>
      <c r="G530" s="6" t="str">
        <f>IF(C530="","",PPMT(INPUTS!$B$5,C530,INPUTS!$B$6,-INPUTS!$B$3,0,0))</f>
        <v/>
      </c>
      <c r="H530" s="6" t="str">
        <f t="shared" si="33"/>
        <v/>
      </c>
      <c r="I530" s="6" t="str">
        <f t="shared" si="34"/>
        <v/>
      </c>
    </row>
    <row r="531" spans="1:9" hidden="1" x14ac:dyDescent="0.3">
      <c r="A531" s="16" t="str">
        <f t="shared" si="35"/>
        <v/>
      </c>
      <c r="D531" s="14" t="str">
        <f t="shared" si="32"/>
        <v/>
      </c>
      <c r="E531" s="6" t="str">
        <f>IF(C531="","",PMT(INPUTS!$B$5,INPUTS!$B$6,-INPUTS!$B$3,0,0))</f>
        <v/>
      </c>
      <c r="F531" s="6" t="str">
        <f>IF(C531="","",IPMT(INPUTS!$B$5,C531,INPUTS!$B$6,-INPUTS!$B$3,0,0))</f>
        <v/>
      </c>
      <c r="G531" s="6" t="str">
        <f>IF(C531="","",PPMT(INPUTS!$B$5,C531,INPUTS!$B$6,-INPUTS!$B$3,0,0))</f>
        <v/>
      </c>
      <c r="H531" s="6" t="str">
        <f t="shared" si="33"/>
        <v/>
      </c>
      <c r="I531" s="6" t="str">
        <f t="shared" si="34"/>
        <v/>
      </c>
    </row>
    <row r="532" spans="1:9" hidden="1" x14ac:dyDescent="0.3">
      <c r="A532" s="16" t="str">
        <f t="shared" si="35"/>
        <v/>
      </c>
      <c r="D532" s="14" t="str">
        <f t="shared" ref="D532:D595" si="36">IF(C531="","",DATE(YEAR($D531),MONTH($D531)+1,DAY($D531)))</f>
        <v/>
      </c>
      <c r="E532" s="6" t="str">
        <f>IF(C532="","",PMT(INPUTS!$B$5,INPUTS!$B$6,-INPUTS!$B$3,0,0))</f>
        <v/>
      </c>
      <c r="F532" s="6" t="str">
        <f>IF(C532="","",IPMT(INPUTS!$B$5,C532,INPUTS!$B$6,-INPUTS!$B$3,0,0))</f>
        <v/>
      </c>
      <c r="G532" s="6" t="str">
        <f>IF(C532="","",PPMT(INPUTS!$B$5,C532,INPUTS!$B$6,-INPUTS!$B$3,0,0))</f>
        <v/>
      </c>
      <c r="H532" s="6" t="str">
        <f t="shared" ref="H532:H595" si="37">I531</f>
        <v/>
      </c>
      <c r="I532" s="6" t="str">
        <f t="shared" si="34"/>
        <v/>
      </c>
    </row>
    <row r="533" spans="1:9" hidden="1" x14ac:dyDescent="0.3">
      <c r="A533" s="16" t="str">
        <f t="shared" si="35"/>
        <v/>
      </c>
      <c r="D533" s="14" t="str">
        <f t="shared" si="36"/>
        <v/>
      </c>
      <c r="E533" s="6" t="str">
        <f>IF(C533="","",PMT(INPUTS!$B$5,INPUTS!$B$6,-INPUTS!$B$3,0,0))</f>
        <v/>
      </c>
      <c r="F533" s="6" t="str">
        <f>IF(C533="","",IPMT(INPUTS!$B$5,C533,INPUTS!$B$6,-INPUTS!$B$3,0,0))</f>
        <v/>
      </c>
      <c r="G533" s="6" t="str">
        <f>IF(C533="","",PPMT(INPUTS!$B$5,C533,INPUTS!$B$6,-INPUTS!$B$3,0,0))</f>
        <v/>
      </c>
      <c r="H533" s="6" t="str">
        <f t="shared" si="37"/>
        <v/>
      </c>
      <c r="I533" s="6" t="str">
        <f t="shared" si="34"/>
        <v/>
      </c>
    </row>
    <row r="534" spans="1:9" hidden="1" x14ac:dyDescent="0.3">
      <c r="A534" s="16" t="str">
        <f t="shared" si="35"/>
        <v/>
      </c>
      <c r="D534" s="14" t="str">
        <f t="shared" si="36"/>
        <v/>
      </c>
      <c r="E534" s="6" t="str">
        <f>IF(C534="","",PMT(INPUTS!$B$5,INPUTS!$B$6,-INPUTS!$B$3,0,0))</f>
        <v/>
      </c>
      <c r="F534" s="6" t="str">
        <f>IF(C534="","",IPMT(INPUTS!$B$5,C534,INPUTS!$B$6,-INPUTS!$B$3,0,0))</f>
        <v/>
      </c>
      <c r="G534" s="6" t="str">
        <f>IF(C534="","",PPMT(INPUTS!$B$5,C534,INPUTS!$B$6,-INPUTS!$B$3,0,0))</f>
        <v/>
      </c>
      <c r="H534" s="6" t="str">
        <f t="shared" si="37"/>
        <v/>
      </c>
      <c r="I534" s="6" t="str">
        <f t="shared" si="34"/>
        <v/>
      </c>
    </row>
    <row r="535" spans="1:9" hidden="1" x14ac:dyDescent="0.3">
      <c r="A535" s="16" t="str">
        <f t="shared" si="35"/>
        <v/>
      </c>
      <c r="D535" s="14" t="str">
        <f t="shared" si="36"/>
        <v/>
      </c>
      <c r="E535" s="6" t="str">
        <f>IF(C535="","",PMT(INPUTS!$B$5,INPUTS!$B$6,-INPUTS!$B$3,0,0))</f>
        <v/>
      </c>
      <c r="F535" s="6" t="str">
        <f>IF(C535="","",IPMT(INPUTS!$B$5,C535,INPUTS!$B$6,-INPUTS!$B$3,0,0))</f>
        <v/>
      </c>
      <c r="G535" s="6" t="str">
        <f>IF(C535="","",PPMT(INPUTS!$B$5,C535,INPUTS!$B$6,-INPUTS!$B$3,0,0))</f>
        <v/>
      </c>
      <c r="H535" s="6" t="str">
        <f t="shared" si="37"/>
        <v/>
      </c>
      <c r="I535" s="6" t="str">
        <f t="shared" si="34"/>
        <v/>
      </c>
    </row>
    <row r="536" spans="1:9" hidden="1" x14ac:dyDescent="0.3">
      <c r="A536" s="16" t="str">
        <f t="shared" si="35"/>
        <v/>
      </c>
      <c r="D536" s="14" t="str">
        <f t="shared" si="36"/>
        <v/>
      </c>
      <c r="E536" s="6" t="str">
        <f>IF(C536="","",PMT(INPUTS!$B$5,INPUTS!$B$6,-INPUTS!$B$3,0,0))</f>
        <v/>
      </c>
      <c r="F536" s="6" t="str">
        <f>IF(C536="","",IPMT(INPUTS!$B$5,C536,INPUTS!$B$6,-INPUTS!$B$3,0,0))</f>
        <v/>
      </c>
      <c r="G536" s="6" t="str">
        <f>IF(C536="","",PPMT(INPUTS!$B$5,C536,INPUTS!$B$6,-INPUTS!$B$3,0,0))</f>
        <v/>
      </c>
      <c r="H536" s="6" t="str">
        <f t="shared" si="37"/>
        <v/>
      </c>
      <c r="I536" s="6" t="str">
        <f t="shared" si="34"/>
        <v/>
      </c>
    </row>
    <row r="537" spans="1:9" hidden="1" x14ac:dyDescent="0.3">
      <c r="A537" s="16" t="str">
        <f t="shared" si="35"/>
        <v/>
      </c>
      <c r="D537" s="14" t="str">
        <f t="shared" si="36"/>
        <v/>
      </c>
      <c r="E537" s="6" t="str">
        <f>IF(C537="","",PMT(INPUTS!$B$5,INPUTS!$B$6,-INPUTS!$B$3,0,0))</f>
        <v/>
      </c>
      <c r="F537" s="6" t="str">
        <f>IF(C537="","",IPMT(INPUTS!$B$5,C537,INPUTS!$B$6,-INPUTS!$B$3,0,0))</f>
        <v/>
      </c>
      <c r="G537" s="6" t="str">
        <f>IF(C537="","",PPMT(INPUTS!$B$5,C537,INPUTS!$B$6,-INPUTS!$B$3,0,0))</f>
        <v/>
      </c>
      <c r="H537" s="6" t="str">
        <f t="shared" si="37"/>
        <v/>
      </c>
      <c r="I537" s="6" t="str">
        <f t="shared" si="34"/>
        <v/>
      </c>
    </row>
    <row r="538" spans="1:9" hidden="1" x14ac:dyDescent="0.3">
      <c r="A538" s="16" t="str">
        <f t="shared" si="35"/>
        <v/>
      </c>
      <c r="D538" s="14" t="str">
        <f t="shared" si="36"/>
        <v/>
      </c>
      <c r="E538" s="6" t="str">
        <f>IF(C538="","",PMT(INPUTS!$B$5,INPUTS!$B$6,-INPUTS!$B$3,0,0))</f>
        <v/>
      </c>
      <c r="F538" s="6" t="str">
        <f>IF(C538="","",IPMT(INPUTS!$B$5,C538,INPUTS!$B$6,-INPUTS!$B$3,0,0))</f>
        <v/>
      </c>
      <c r="G538" s="6" t="str">
        <f>IF(C538="","",PPMT(INPUTS!$B$5,C538,INPUTS!$B$6,-INPUTS!$B$3,0,0))</f>
        <v/>
      </c>
      <c r="H538" s="6" t="str">
        <f t="shared" si="37"/>
        <v/>
      </c>
      <c r="I538" s="6" t="str">
        <f t="shared" si="34"/>
        <v/>
      </c>
    </row>
    <row r="539" spans="1:9" hidden="1" x14ac:dyDescent="0.3">
      <c r="A539" s="16" t="str">
        <f t="shared" si="35"/>
        <v/>
      </c>
      <c r="D539" s="14" t="str">
        <f t="shared" si="36"/>
        <v/>
      </c>
      <c r="E539" s="6" t="str">
        <f>IF(C539="","",PMT(INPUTS!$B$5,INPUTS!$B$6,-INPUTS!$B$3,0,0))</f>
        <v/>
      </c>
      <c r="F539" s="6" t="str">
        <f>IF(C539="","",IPMT(INPUTS!$B$5,C539,INPUTS!$B$6,-INPUTS!$B$3,0,0))</f>
        <v/>
      </c>
      <c r="G539" s="6" t="str">
        <f>IF(C539="","",PPMT(INPUTS!$B$5,C539,INPUTS!$B$6,-INPUTS!$B$3,0,0))</f>
        <v/>
      </c>
      <c r="H539" s="6" t="str">
        <f t="shared" si="37"/>
        <v/>
      </c>
      <c r="I539" s="6" t="str">
        <f t="shared" si="34"/>
        <v/>
      </c>
    </row>
    <row r="540" spans="1:9" hidden="1" x14ac:dyDescent="0.3">
      <c r="A540" s="16" t="str">
        <f t="shared" si="35"/>
        <v/>
      </c>
      <c r="D540" s="14" t="str">
        <f t="shared" si="36"/>
        <v/>
      </c>
      <c r="E540" s="6" t="str">
        <f>IF(C540="","",PMT(INPUTS!$B$5,INPUTS!$B$6,-INPUTS!$B$3,0,0))</f>
        <v/>
      </c>
      <c r="F540" s="6" t="str">
        <f>IF(C540="","",IPMT(INPUTS!$B$5,C540,INPUTS!$B$6,-INPUTS!$B$3,0,0))</f>
        <v/>
      </c>
      <c r="G540" s="6" t="str">
        <f>IF(C540="","",PPMT(INPUTS!$B$5,C540,INPUTS!$B$6,-INPUTS!$B$3,0,0))</f>
        <v/>
      </c>
      <c r="H540" s="6" t="str">
        <f t="shared" si="37"/>
        <v/>
      </c>
      <c r="I540" s="6" t="str">
        <f t="shared" si="34"/>
        <v/>
      </c>
    </row>
    <row r="541" spans="1:9" hidden="1" x14ac:dyDescent="0.3">
      <c r="A541" s="16" t="str">
        <f t="shared" si="35"/>
        <v/>
      </c>
      <c r="D541" s="14" t="str">
        <f t="shared" si="36"/>
        <v/>
      </c>
      <c r="E541" s="6" t="str">
        <f>IF(C541="","",PMT(INPUTS!$B$5,INPUTS!$B$6,-INPUTS!$B$3,0,0))</f>
        <v/>
      </c>
      <c r="F541" s="6" t="str">
        <f>IF(C541="","",IPMT(INPUTS!$B$5,C541,INPUTS!$B$6,-INPUTS!$B$3,0,0))</f>
        <v/>
      </c>
      <c r="G541" s="6" t="str">
        <f>IF(C541="","",PPMT(INPUTS!$B$5,C541,INPUTS!$B$6,-INPUTS!$B$3,0,0))</f>
        <v/>
      </c>
      <c r="H541" s="6" t="str">
        <f t="shared" si="37"/>
        <v/>
      </c>
      <c r="I541" s="6" t="str">
        <f t="shared" si="34"/>
        <v/>
      </c>
    </row>
    <row r="542" spans="1:9" hidden="1" x14ac:dyDescent="0.3">
      <c r="A542" s="16" t="str">
        <f t="shared" si="35"/>
        <v/>
      </c>
      <c r="D542" s="14" t="str">
        <f t="shared" si="36"/>
        <v/>
      </c>
      <c r="E542" s="6" t="str">
        <f>IF(C542="","",PMT(INPUTS!$B$5,INPUTS!$B$6,-INPUTS!$B$3,0,0))</f>
        <v/>
      </c>
      <c r="F542" s="6" t="str">
        <f>IF(C542="","",IPMT(INPUTS!$B$5,C542,INPUTS!$B$6,-INPUTS!$B$3,0,0))</f>
        <v/>
      </c>
      <c r="G542" s="6" t="str">
        <f>IF(C542="","",PPMT(INPUTS!$B$5,C542,INPUTS!$B$6,-INPUTS!$B$3,0,0))</f>
        <v/>
      </c>
      <c r="H542" s="6" t="str">
        <f t="shared" si="37"/>
        <v/>
      </c>
      <c r="I542" s="6" t="str">
        <f t="shared" si="34"/>
        <v/>
      </c>
    </row>
    <row r="543" spans="1:9" hidden="1" x14ac:dyDescent="0.3">
      <c r="A543" s="16" t="str">
        <f t="shared" si="35"/>
        <v/>
      </c>
      <c r="D543" s="14" t="str">
        <f t="shared" si="36"/>
        <v/>
      </c>
      <c r="E543" s="6" t="str">
        <f>IF(C543="","",PMT(INPUTS!$B$5,INPUTS!$B$6,-INPUTS!$B$3,0,0))</f>
        <v/>
      </c>
      <c r="F543" s="6" t="str">
        <f>IF(C543="","",IPMT(INPUTS!$B$5,C543,INPUTS!$B$6,-INPUTS!$B$3,0,0))</f>
        <v/>
      </c>
      <c r="G543" s="6" t="str">
        <f>IF(C543="","",PPMT(INPUTS!$B$5,C543,INPUTS!$B$6,-INPUTS!$B$3,0,0))</f>
        <v/>
      </c>
      <c r="H543" s="6" t="str">
        <f t="shared" si="37"/>
        <v/>
      </c>
      <c r="I543" s="6" t="str">
        <f t="shared" si="34"/>
        <v/>
      </c>
    </row>
    <row r="544" spans="1:9" hidden="1" x14ac:dyDescent="0.3">
      <c r="A544" s="16" t="str">
        <f t="shared" si="35"/>
        <v/>
      </c>
      <c r="D544" s="14" t="str">
        <f t="shared" si="36"/>
        <v/>
      </c>
      <c r="E544" s="6" t="str">
        <f>IF(C544="","",PMT(INPUTS!$B$5,INPUTS!$B$6,-INPUTS!$B$3,0,0))</f>
        <v/>
      </c>
      <c r="F544" s="6" t="str">
        <f>IF(C544="","",IPMT(INPUTS!$B$5,C544,INPUTS!$B$6,-INPUTS!$B$3,0,0))</f>
        <v/>
      </c>
      <c r="G544" s="6" t="str">
        <f>IF(C544="","",PPMT(INPUTS!$B$5,C544,INPUTS!$B$6,-INPUTS!$B$3,0,0))</f>
        <v/>
      </c>
      <c r="H544" s="6" t="str">
        <f t="shared" si="37"/>
        <v/>
      </c>
      <c r="I544" s="6" t="str">
        <f t="shared" si="34"/>
        <v/>
      </c>
    </row>
    <row r="545" spans="1:9" hidden="1" x14ac:dyDescent="0.3">
      <c r="A545" s="16" t="str">
        <f t="shared" si="35"/>
        <v/>
      </c>
      <c r="D545" s="14" t="str">
        <f t="shared" si="36"/>
        <v/>
      </c>
      <c r="E545" s="6" t="str">
        <f>IF(C545="","",PMT(INPUTS!$B$5,INPUTS!$B$6,-INPUTS!$B$3,0,0))</f>
        <v/>
      </c>
      <c r="F545" s="6" t="str">
        <f>IF(C545="","",IPMT(INPUTS!$B$5,C545,INPUTS!$B$6,-INPUTS!$B$3,0,0))</f>
        <v/>
      </c>
      <c r="G545" s="6" t="str">
        <f>IF(C545="","",PPMT(INPUTS!$B$5,C545,INPUTS!$B$6,-INPUTS!$B$3,0,0))</f>
        <v/>
      </c>
      <c r="H545" s="6" t="str">
        <f t="shared" si="37"/>
        <v/>
      </c>
      <c r="I545" s="6" t="str">
        <f t="shared" si="34"/>
        <v/>
      </c>
    </row>
    <row r="546" spans="1:9" hidden="1" x14ac:dyDescent="0.3">
      <c r="A546" s="16" t="str">
        <f t="shared" si="35"/>
        <v/>
      </c>
      <c r="D546" s="14" t="str">
        <f t="shared" si="36"/>
        <v/>
      </c>
      <c r="E546" s="6" t="str">
        <f>IF(C546="","",PMT(INPUTS!$B$5,INPUTS!$B$6,-INPUTS!$B$3,0,0))</f>
        <v/>
      </c>
      <c r="F546" s="6" t="str">
        <f>IF(C546="","",IPMT(INPUTS!$B$5,C546,INPUTS!$B$6,-INPUTS!$B$3,0,0))</f>
        <v/>
      </c>
      <c r="G546" s="6" t="str">
        <f>IF(C546="","",PPMT(INPUTS!$B$5,C546,INPUTS!$B$6,-INPUTS!$B$3,0,0))</f>
        <v/>
      </c>
      <c r="H546" s="6" t="str">
        <f t="shared" si="37"/>
        <v/>
      </c>
      <c r="I546" s="6" t="str">
        <f t="shared" si="34"/>
        <v/>
      </c>
    </row>
    <row r="547" spans="1:9" hidden="1" x14ac:dyDescent="0.3">
      <c r="A547" s="16" t="str">
        <f t="shared" si="35"/>
        <v/>
      </c>
      <c r="D547" s="14" t="str">
        <f t="shared" si="36"/>
        <v/>
      </c>
      <c r="E547" s="6" t="str">
        <f>IF(C547="","",PMT(INPUTS!$B$5,INPUTS!$B$6,-INPUTS!$B$3,0,0))</f>
        <v/>
      </c>
      <c r="F547" s="6" t="str">
        <f>IF(C547="","",IPMT(INPUTS!$B$5,C547,INPUTS!$B$6,-INPUTS!$B$3,0,0))</f>
        <v/>
      </c>
      <c r="G547" s="6" t="str">
        <f>IF(C547="","",PPMT(INPUTS!$B$5,C547,INPUTS!$B$6,-INPUTS!$B$3,0,0))</f>
        <v/>
      </c>
      <c r="H547" s="6" t="str">
        <f t="shared" si="37"/>
        <v/>
      </c>
      <c r="I547" s="6" t="str">
        <f t="shared" si="34"/>
        <v/>
      </c>
    </row>
    <row r="548" spans="1:9" hidden="1" x14ac:dyDescent="0.3">
      <c r="A548" s="16" t="str">
        <f t="shared" si="35"/>
        <v/>
      </c>
      <c r="D548" s="14" t="str">
        <f t="shared" si="36"/>
        <v/>
      </c>
      <c r="E548" s="6" t="str">
        <f>IF(C548="","",PMT(INPUTS!$B$5,INPUTS!$B$6,-INPUTS!$B$3,0,0))</f>
        <v/>
      </c>
      <c r="F548" s="6" t="str">
        <f>IF(C548="","",IPMT(INPUTS!$B$5,C548,INPUTS!$B$6,-INPUTS!$B$3,0,0))</f>
        <v/>
      </c>
      <c r="G548" s="6" t="str">
        <f>IF(C548="","",PPMT(INPUTS!$B$5,C548,INPUTS!$B$6,-INPUTS!$B$3,0,0))</f>
        <v/>
      </c>
      <c r="H548" s="6" t="str">
        <f t="shared" si="37"/>
        <v/>
      </c>
      <c r="I548" s="6" t="str">
        <f t="shared" si="34"/>
        <v/>
      </c>
    </row>
    <row r="549" spans="1:9" hidden="1" x14ac:dyDescent="0.3">
      <c r="A549" s="16" t="str">
        <f t="shared" si="35"/>
        <v/>
      </c>
      <c r="D549" s="14" t="str">
        <f t="shared" si="36"/>
        <v/>
      </c>
      <c r="E549" s="6" t="str">
        <f>IF(C549="","",PMT(INPUTS!$B$5,INPUTS!$B$6,-INPUTS!$B$3,0,0))</f>
        <v/>
      </c>
      <c r="F549" s="6" t="str">
        <f>IF(C549="","",IPMT(INPUTS!$B$5,C549,INPUTS!$B$6,-INPUTS!$B$3,0,0))</f>
        <v/>
      </c>
      <c r="G549" s="6" t="str">
        <f>IF(C549="","",PPMT(INPUTS!$B$5,C549,INPUTS!$B$6,-INPUTS!$B$3,0,0))</f>
        <v/>
      </c>
      <c r="H549" s="6" t="str">
        <f t="shared" si="37"/>
        <v/>
      </c>
      <c r="I549" s="6" t="str">
        <f t="shared" si="34"/>
        <v/>
      </c>
    </row>
    <row r="550" spans="1:9" hidden="1" x14ac:dyDescent="0.3">
      <c r="A550" s="16" t="str">
        <f t="shared" si="35"/>
        <v/>
      </c>
      <c r="D550" s="14" t="str">
        <f t="shared" si="36"/>
        <v/>
      </c>
      <c r="E550" s="6" t="str">
        <f>IF(C550="","",PMT(INPUTS!$B$5,INPUTS!$B$6,-INPUTS!$B$3,0,0))</f>
        <v/>
      </c>
      <c r="F550" s="6" t="str">
        <f>IF(C550="","",IPMT(INPUTS!$B$5,C550,INPUTS!$B$6,-INPUTS!$B$3,0,0))</f>
        <v/>
      </c>
      <c r="G550" s="6" t="str">
        <f>IF(C550="","",PPMT(INPUTS!$B$5,C550,INPUTS!$B$6,-INPUTS!$B$3,0,0))</f>
        <v/>
      </c>
      <c r="H550" s="6" t="str">
        <f t="shared" si="37"/>
        <v/>
      </c>
      <c r="I550" s="6" t="str">
        <f t="shared" si="34"/>
        <v/>
      </c>
    </row>
    <row r="551" spans="1:9" hidden="1" x14ac:dyDescent="0.3">
      <c r="A551" s="16" t="str">
        <f t="shared" si="35"/>
        <v/>
      </c>
      <c r="D551" s="14" t="str">
        <f t="shared" si="36"/>
        <v/>
      </c>
      <c r="E551" s="6" t="str">
        <f>IF(C551="","",PMT(INPUTS!$B$5,INPUTS!$B$6,-INPUTS!$B$3,0,0))</f>
        <v/>
      </c>
      <c r="F551" s="6" t="str">
        <f>IF(C551="","",IPMT(INPUTS!$B$5,C551,INPUTS!$B$6,-INPUTS!$B$3,0,0))</f>
        <v/>
      </c>
      <c r="G551" s="6" t="str">
        <f>IF(C551="","",PPMT(INPUTS!$B$5,C551,INPUTS!$B$6,-INPUTS!$B$3,0,0))</f>
        <v/>
      </c>
      <c r="H551" s="6" t="str">
        <f t="shared" si="37"/>
        <v/>
      </c>
      <c r="I551" s="6" t="str">
        <f t="shared" si="34"/>
        <v/>
      </c>
    </row>
    <row r="552" spans="1:9" hidden="1" x14ac:dyDescent="0.3">
      <c r="A552" s="16" t="str">
        <f t="shared" si="35"/>
        <v/>
      </c>
      <c r="D552" s="14" t="str">
        <f t="shared" si="36"/>
        <v/>
      </c>
      <c r="E552" s="6" t="str">
        <f>IF(C552="","",PMT(INPUTS!$B$5,INPUTS!$B$6,-INPUTS!$B$3,0,0))</f>
        <v/>
      </c>
      <c r="F552" s="6" t="str">
        <f>IF(C552="","",IPMT(INPUTS!$B$5,C552,INPUTS!$B$6,-INPUTS!$B$3,0,0))</f>
        <v/>
      </c>
      <c r="G552" s="6" t="str">
        <f>IF(C552="","",PPMT(INPUTS!$B$5,C552,INPUTS!$B$6,-INPUTS!$B$3,0,0))</f>
        <v/>
      </c>
      <c r="H552" s="6" t="str">
        <f t="shared" si="37"/>
        <v/>
      </c>
      <c r="I552" s="6" t="str">
        <f t="shared" si="34"/>
        <v/>
      </c>
    </row>
    <row r="553" spans="1:9" hidden="1" x14ac:dyDescent="0.3">
      <c r="A553" s="16" t="str">
        <f t="shared" si="35"/>
        <v/>
      </c>
      <c r="D553" s="14" t="str">
        <f t="shared" si="36"/>
        <v/>
      </c>
      <c r="E553" s="6" t="str">
        <f>IF(C553="","",PMT(INPUTS!$B$5,INPUTS!$B$6,-INPUTS!$B$3,0,0))</f>
        <v/>
      </c>
      <c r="F553" s="6" t="str">
        <f>IF(C553="","",IPMT(INPUTS!$B$5,C553,INPUTS!$B$6,-INPUTS!$B$3,0,0))</f>
        <v/>
      </c>
      <c r="G553" s="6" t="str">
        <f>IF(C553="","",PPMT(INPUTS!$B$5,C553,INPUTS!$B$6,-INPUTS!$B$3,0,0))</f>
        <v/>
      </c>
      <c r="H553" s="6" t="str">
        <f t="shared" si="37"/>
        <v/>
      </c>
      <c r="I553" s="6" t="str">
        <f t="shared" si="34"/>
        <v/>
      </c>
    </row>
    <row r="554" spans="1:9" hidden="1" x14ac:dyDescent="0.3">
      <c r="A554" s="16" t="str">
        <f t="shared" si="35"/>
        <v/>
      </c>
      <c r="D554" s="14" t="str">
        <f t="shared" si="36"/>
        <v/>
      </c>
      <c r="E554" s="6" t="str">
        <f>IF(C554="","",PMT(INPUTS!$B$5,INPUTS!$B$6,-INPUTS!$B$3,0,0))</f>
        <v/>
      </c>
      <c r="F554" s="6" t="str">
        <f>IF(C554="","",IPMT(INPUTS!$B$5,C554,INPUTS!$B$6,-INPUTS!$B$3,0,0))</f>
        <v/>
      </c>
      <c r="G554" s="6" t="str">
        <f>IF(C554="","",PPMT(INPUTS!$B$5,C554,INPUTS!$B$6,-INPUTS!$B$3,0,0))</f>
        <v/>
      </c>
      <c r="H554" s="6" t="str">
        <f t="shared" si="37"/>
        <v/>
      </c>
      <c r="I554" s="6" t="str">
        <f t="shared" si="34"/>
        <v/>
      </c>
    </row>
    <row r="555" spans="1:9" hidden="1" x14ac:dyDescent="0.3">
      <c r="A555" s="16" t="str">
        <f t="shared" si="35"/>
        <v/>
      </c>
      <c r="D555" s="14" t="str">
        <f t="shared" si="36"/>
        <v/>
      </c>
      <c r="E555" s="6" t="str">
        <f>IF(C555="","",PMT(INPUTS!$B$5,INPUTS!$B$6,-INPUTS!$B$3,0,0))</f>
        <v/>
      </c>
      <c r="F555" s="6" t="str">
        <f>IF(C555="","",IPMT(INPUTS!$B$5,C555,INPUTS!$B$6,-INPUTS!$B$3,0,0))</f>
        <v/>
      </c>
      <c r="G555" s="6" t="str">
        <f>IF(C555="","",PPMT(INPUTS!$B$5,C555,INPUTS!$B$6,-INPUTS!$B$3,0,0))</f>
        <v/>
      </c>
      <c r="H555" s="6" t="str">
        <f t="shared" si="37"/>
        <v/>
      </c>
      <c r="I555" s="6" t="str">
        <f t="shared" si="34"/>
        <v/>
      </c>
    </row>
    <row r="556" spans="1:9" hidden="1" x14ac:dyDescent="0.3">
      <c r="A556" s="16" t="str">
        <f t="shared" si="35"/>
        <v/>
      </c>
      <c r="D556" s="14" t="str">
        <f t="shared" si="36"/>
        <v/>
      </c>
      <c r="E556" s="6" t="str">
        <f>IF(C556="","",PMT(INPUTS!$B$5,INPUTS!$B$6,-INPUTS!$B$3,0,0))</f>
        <v/>
      </c>
      <c r="F556" s="6" t="str">
        <f>IF(C556="","",IPMT(INPUTS!$B$5,C556,INPUTS!$B$6,-INPUTS!$B$3,0,0))</f>
        <v/>
      </c>
      <c r="G556" s="6" t="str">
        <f>IF(C556="","",PPMT(INPUTS!$B$5,C556,INPUTS!$B$6,-INPUTS!$B$3,0,0))</f>
        <v/>
      </c>
      <c r="H556" s="6" t="str">
        <f t="shared" si="37"/>
        <v/>
      </c>
      <c r="I556" s="6" t="str">
        <f t="shared" si="34"/>
        <v/>
      </c>
    </row>
    <row r="557" spans="1:9" hidden="1" x14ac:dyDescent="0.3">
      <c r="A557" s="16" t="str">
        <f t="shared" si="35"/>
        <v/>
      </c>
      <c r="D557" s="14" t="str">
        <f t="shared" si="36"/>
        <v/>
      </c>
      <c r="E557" s="6" t="str">
        <f>IF(C557="","",PMT(INPUTS!$B$5,INPUTS!$B$6,-INPUTS!$B$3,0,0))</f>
        <v/>
      </c>
      <c r="F557" s="6" t="str">
        <f>IF(C557="","",IPMT(INPUTS!$B$5,C557,INPUTS!$B$6,-INPUTS!$B$3,0,0))</f>
        <v/>
      </c>
      <c r="G557" s="6" t="str">
        <f>IF(C557="","",PPMT(INPUTS!$B$5,C557,INPUTS!$B$6,-INPUTS!$B$3,0,0))</f>
        <v/>
      </c>
      <c r="H557" s="6" t="str">
        <f t="shared" si="37"/>
        <v/>
      </c>
      <c r="I557" s="6" t="str">
        <f t="shared" si="34"/>
        <v/>
      </c>
    </row>
    <row r="558" spans="1:9" hidden="1" x14ac:dyDescent="0.3">
      <c r="A558" s="16" t="str">
        <f t="shared" si="35"/>
        <v/>
      </c>
      <c r="D558" s="14" t="str">
        <f t="shared" si="36"/>
        <v/>
      </c>
      <c r="E558" s="6" t="str">
        <f>IF(C558="","",PMT(INPUTS!$B$5,INPUTS!$B$6,-INPUTS!$B$3,0,0))</f>
        <v/>
      </c>
      <c r="F558" s="6" t="str">
        <f>IF(C558="","",IPMT(INPUTS!$B$5,C558,INPUTS!$B$6,-INPUTS!$B$3,0,0))</f>
        <v/>
      </c>
      <c r="G558" s="6" t="str">
        <f>IF(C558="","",PPMT(INPUTS!$B$5,C558,INPUTS!$B$6,-INPUTS!$B$3,0,0))</f>
        <v/>
      </c>
      <c r="H558" s="6" t="str">
        <f t="shared" si="37"/>
        <v/>
      </c>
      <c r="I558" s="6" t="str">
        <f t="shared" si="34"/>
        <v/>
      </c>
    </row>
    <row r="559" spans="1:9" hidden="1" x14ac:dyDescent="0.3">
      <c r="A559" s="16" t="str">
        <f t="shared" si="35"/>
        <v/>
      </c>
      <c r="D559" s="14" t="str">
        <f t="shared" si="36"/>
        <v/>
      </c>
      <c r="E559" s="6" t="str">
        <f>IF(C559="","",PMT(INPUTS!$B$5,INPUTS!$B$6,-INPUTS!$B$3,0,0))</f>
        <v/>
      </c>
      <c r="F559" s="6" t="str">
        <f>IF(C559="","",IPMT(INPUTS!$B$5,C559,INPUTS!$B$6,-INPUTS!$B$3,0,0))</f>
        <v/>
      </c>
      <c r="G559" s="6" t="str">
        <f>IF(C559="","",PPMT(INPUTS!$B$5,C559,INPUTS!$B$6,-INPUTS!$B$3,0,0))</f>
        <v/>
      </c>
      <c r="H559" s="6" t="str">
        <f t="shared" si="37"/>
        <v/>
      </c>
      <c r="I559" s="6" t="str">
        <f t="shared" si="34"/>
        <v/>
      </c>
    </row>
    <row r="560" spans="1:9" hidden="1" x14ac:dyDescent="0.3">
      <c r="A560" s="16" t="str">
        <f t="shared" si="35"/>
        <v/>
      </c>
      <c r="D560" s="14" t="str">
        <f t="shared" si="36"/>
        <v/>
      </c>
      <c r="E560" s="6" t="str">
        <f>IF(C560="","",PMT(INPUTS!$B$5,INPUTS!$B$6,-INPUTS!$B$3,0,0))</f>
        <v/>
      </c>
      <c r="F560" s="6" t="str">
        <f>IF(C560="","",IPMT(INPUTS!$B$5,C560,INPUTS!$B$6,-INPUTS!$B$3,0,0))</f>
        <v/>
      </c>
      <c r="G560" s="6" t="str">
        <f>IF(C560="","",PPMT(INPUTS!$B$5,C560,INPUTS!$B$6,-INPUTS!$B$3,0,0))</f>
        <v/>
      </c>
      <c r="H560" s="6" t="str">
        <f t="shared" si="37"/>
        <v/>
      </c>
      <c r="I560" s="6" t="str">
        <f t="shared" ref="I560:I623" si="38">IF(C560="","",H560-G560)</f>
        <v/>
      </c>
    </row>
    <row r="561" spans="1:9" hidden="1" x14ac:dyDescent="0.3">
      <c r="A561" s="16" t="str">
        <f t="shared" si="35"/>
        <v/>
      </c>
      <c r="D561" s="14" t="str">
        <f t="shared" si="36"/>
        <v/>
      </c>
      <c r="E561" s="6" t="str">
        <f>IF(C561="","",PMT(INPUTS!$B$5,INPUTS!$B$6,-INPUTS!$B$3,0,0))</f>
        <v/>
      </c>
      <c r="F561" s="6" t="str">
        <f>IF(C561="","",IPMT(INPUTS!$B$5,C561,INPUTS!$B$6,-INPUTS!$B$3,0,0))</f>
        <v/>
      </c>
      <c r="G561" s="6" t="str">
        <f>IF(C561="","",PPMT(INPUTS!$B$5,C561,INPUTS!$B$6,-INPUTS!$B$3,0,0))</f>
        <v/>
      </c>
      <c r="H561" s="6" t="str">
        <f t="shared" si="37"/>
        <v/>
      </c>
      <c r="I561" s="6" t="str">
        <f t="shared" si="38"/>
        <v/>
      </c>
    </row>
    <row r="562" spans="1:9" hidden="1" x14ac:dyDescent="0.3">
      <c r="A562" s="16" t="str">
        <f t="shared" si="35"/>
        <v/>
      </c>
      <c r="D562" s="14" t="str">
        <f t="shared" si="36"/>
        <v/>
      </c>
      <c r="E562" s="6" t="str">
        <f>IF(C562="","",PMT(INPUTS!$B$5,INPUTS!$B$6,-INPUTS!$B$3,0,0))</f>
        <v/>
      </c>
      <c r="F562" s="6" t="str">
        <f>IF(C562="","",IPMT(INPUTS!$B$5,C562,INPUTS!$B$6,-INPUTS!$B$3,0,0))</f>
        <v/>
      </c>
      <c r="G562" s="6" t="str">
        <f>IF(C562="","",PPMT(INPUTS!$B$5,C562,INPUTS!$B$6,-INPUTS!$B$3,0,0))</f>
        <v/>
      </c>
      <c r="H562" s="6" t="str">
        <f t="shared" si="37"/>
        <v/>
      </c>
      <c r="I562" s="6" t="str">
        <f t="shared" si="38"/>
        <v/>
      </c>
    </row>
    <row r="563" spans="1:9" hidden="1" x14ac:dyDescent="0.3">
      <c r="A563" s="16" t="str">
        <f t="shared" si="35"/>
        <v/>
      </c>
      <c r="D563" s="14" t="str">
        <f t="shared" si="36"/>
        <v/>
      </c>
      <c r="E563" s="6" t="str">
        <f>IF(C563="","",PMT(INPUTS!$B$5,INPUTS!$B$6,-INPUTS!$B$3,0,0))</f>
        <v/>
      </c>
      <c r="F563" s="6" t="str">
        <f>IF(C563="","",IPMT(INPUTS!$B$5,C563,INPUTS!$B$6,-INPUTS!$B$3,0,0))</f>
        <v/>
      </c>
      <c r="G563" s="6" t="str">
        <f>IF(C563="","",PPMT(INPUTS!$B$5,C563,INPUTS!$B$6,-INPUTS!$B$3,0,0))</f>
        <v/>
      </c>
      <c r="H563" s="6" t="str">
        <f t="shared" si="37"/>
        <v/>
      </c>
      <c r="I563" s="6" t="str">
        <f t="shared" si="38"/>
        <v/>
      </c>
    </row>
    <row r="564" spans="1:9" hidden="1" x14ac:dyDescent="0.3">
      <c r="A564" s="16" t="str">
        <f t="shared" si="35"/>
        <v/>
      </c>
      <c r="D564" s="14" t="str">
        <f t="shared" si="36"/>
        <v/>
      </c>
      <c r="E564" s="6" t="str">
        <f>IF(C564="","",PMT(INPUTS!$B$5,INPUTS!$B$6,-INPUTS!$B$3,0,0))</f>
        <v/>
      </c>
      <c r="F564" s="6" t="str">
        <f>IF(C564="","",IPMT(INPUTS!$B$5,C564,INPUTS!$B$6,-INPUTS!$B$3,0,0))</f>
        <v/>
      </c>
      <c r="G564" s="6" t="str">
        <f>IF(C564="","",PPMT(INPUTS!$B$5,C564,INPUTS!$B$6,-INPUTS!$B$3,0,0))</f>
        <v/>
      </c>
      <c r="H564" s="6" t="str">
        <f t="shared" si="37"/>
        <v/>
      </c>
      <c r="I564" s="6" t="str">
        <f t="shared" si="38"/>
        <v/>
      </c>
    </row>
    <row r="565" spans="1:9" hidden="1" x14ac:dyDescent="0.3">
      <c r="A565" s="16" t="str">
        <f t="shared" si="35"/>
        <v/>
      </c>
      <c r="D565" s="14" t="str">
        <f t="shared" si="36"/>
        <v/>
      </c>
      <c r="E565" s="6" t="str">
        <f>IF(C565="","",PMT(INPUTS!$B$5,INPUTS!$B$6,-INPUTS!$B$3,0,0))</f>
        <v/>
      </c>
      <c r="F565" s="6" t="str">
        <f>IF(C565="","",IPMT(INPUTS!$B$5,C565,INPUTS!$B$6,-INPUTS!$B$3,0,0))</f>
        <v/>
      </c>
      <c r="G565" s="6" t="str">
        <f>IF(C565="","",PPMT(INPUTS!$B$5,C565,INPUTS!$B$6,-INPUTS!$B$3,0,0))</f>
        <v/>
      </c>
      <c r="H565" s="6" t="str">
        <f t="shared" si="37"/>
        <v/>
      </c>
      <c r="I565" s="6" t="str">
        <f t="shared" si="38"/>
        <v/>
      </c>
    </row>
    <row r="566" spans="1:9" hidden="1" x14ac:dyDescent="0.3">
      <c r="A566" s="16" t="str">
        <f t="shared" si="35"/>
        <v/>
      </c>
      <c r="D566" s="14" t="str">
        <f t="shared" si="36"/>
        <v/>
      </c>
      <c r="E566" s="6" t="str">
        <f>IF(C566="","",PMT(INPUTS!$B$5,INPUTS!$B$6,-INPUTS!$B$3,0,0))</f>
        <v/>
      </c>
      <c r="F566" s="6" t="str">
        <f>IF(C566="","",IPMT(INPUTS!$B$5,C566,INPUTS!$B$6,-INPUTS!$B$3,0,0))</f>
        <v/>
      </c>
      <c r="G566" s="6" t="str">
        <f>IF(C566="","",PPMT(INPUTS!$B$5,C566,INPUTS!$B$6,-INPUTS!$B$3,0,0))</f>
        <v/>
      </c>
      <c r="H566" s="6" t="str">
        <f t="shared" si="37"/>
        <v/>
      </c>
      <c r="I566" s="6" t="str">
        <f t="shared" si="38"/>
        <v/>
      </c>
    </row>
    <row r="567" spans="1:9" hidden="1" x14ac:dyDescent="0.3">
      <c r="A567" s="16" t="str">
        <f t="shared" si="35"/>
        <v/>
      </c>
      <c r="D567" s="14" t="str">
        <f t="shared" si="36"/>
        <v/>
      </c>
      <c r="E567" s="6" t="str">
        <f>IF(C567="","",PMT(INPUTS!$B$5,INPUTS!$B$6,-INPUTS!$B$3,0,0))</f>
        <v/>
      </c>
      <c r="F567" s="6" t="str">
        <f>IF(C567="","",IPMT(INPUTS!$B$5,C567,INPUTS!$B$6,-INPUTS!$B$3,0,0))</f>
        <v/>
      </c>
      <c r="G567" s="6" t="str">
        <f>IF(C567="","",PPMT(INPUTS!$B$5,C567,INPUTS!$B$6,-INPUTS!$B$3,0,0))</f>
        <v/>
      </c>
      <c r="H567" s="6" t="str">
        <f t="shared" si="37"/>
        <v/>
      </c>
      <c r="I567" s="6" t="str">
        <f t="shared" si="38"/>
        <v/>
      </c>
    </row>
    <row r="568" spans="1:9" hidden="1" x14ac:dyDescent="0.3">
      <c r="A568" s="16" t="str">
        <f t="shared" si="35"/>
        <v/>
      </c>
      <c r="D568" s="14" t="str">
        <f t="shared" si="36"/>
        <v/>
      </c>
      <c r="E568" s="6" t="str">
        <f>IF(C568="","",PMT(INPUTS!$B$5,INPUTS!$B$6,-INPUTS!$B$3,0,0))</f>
        <v/>
      </c>
      <c r="F568" s="6" t="str">
        <f>IF(C568="","",IPMT(INPUTS!$B$5,C568,INPUTS!$B$6,-INPUTS!$B$3,0,0))</f>
        <v/>
      </c>
      <c r="G568" s="6" t="str">
        <f>IF(C568="","",PPMT(INPUTS!$B$5,C568,INPUTS!$B$6,-INPUTS!$B$3,0,0))</f>
        <v/>
      </c>
      <c r="H568" s="6" t="str">
        <f t="shared" si="37"/>
        <v/>
      </c>
      <c r="I568" s="6" t="str">
        <f t="shared" si="38"/>
        <v/>
      </c>
    </row>
    <row r="569" spans="1:9" hidden="1" x14ac:dyDescent="0.3">
      <c r="A569" s="16" t="str">
        <f t="shared" si="35"/>
        <v/>
      </c>
      <c r="D569" s="14" t="str">
        <f t="shared" si="36"/>
        <v/>
      </c>
      <c r="E569" s="6" t="str">
        <f>IF(C569="","",PMT(INPUTS!$B$5,INPUTS!$B$6,-INPUTS!$B$3,0,0))</f>
        <v/>
      </c>
      <c r="F569" s="6" t="str">
        <f>IF(C569="","",IPMT(INPUTS!$B$5,C569,INPUTS!$B$6,-INPUTS!$B$3,0,0))</f>
        <v/>
      </c>
      <c r="G569" s="6" t="str">
        <f>IF(C569="","",PPMT(INPUTS!$B$5,C569,INPUTS!$B$6,-INPUTS!$B$3,0,0))</f>
        <v/>
      </c>
      <c r="H569" s="6" t="str">
        <f t="shared" si="37"/>
        <v/>
      </c>
      <c r="I569" s="6" t="str">
        <f t="shared" si="38"/>
        <v/>
      </c>
    </row>
    <row r="570" spans="1:9" hidden="1" x14ac:dyDescent="0.3">
      <c r="A570" s="16" t="str">
        <f t="shared" si="35"/>
        <v/>
      </c>
      <c r="D570" s="14" t="str">
        <f t="shared" si="36"/>
        <v/>
      </c>
      <c r="E570" s="6" t="str">
        <f>IF(C570="","",PMT(INPUTS!$B$5,INPUTS!$B$6,-INPUTS!$B$3,0,0))</f>
        <v/>
      </c>
      <c r="F570" s="6" t="str">
        <f>IF(C570="","",IPMT(INPUTS!$B$5,C570,INPUTS!$B$6,-INPUTS!$B$3,0,0))</f>
        <v/>
      </c>
      <c r="G570" s="6" t="str">
        <f>IF(C570="","",PPMT(INPUTS!$B$5,C570,INPUTS!$B$6,-INPUTS!$B$3,0,0))</f>
        <v/>
      </c>
      <c r="H570" s="6" t="str">
        <f t="shared" si="37"/>
        <v/>
      </c>
      <c r="I570" s="6" t="str">
        <f t="shared" si="38"/>
        <v/>
      </c>
    </row>
    <row r="571" spans="1:9" hidden="1" x14ac:dyDescent="0.3">
      <c r="A571" s="16" t="str">
        <f t="shared" si="35"/>
        <v/>
      </c>
      <c r="D571" s="14" t="str">
        <f t="shared" si="36"/>
        <v/>
      </c>
      <c r="E571" s="6" t="str">
        <f>IF(C571="","",PMT(INPUTS!$B$5,INPUTS!$B$6,-INPUTS!$B$3,0,0))</f>
        <v/>
      </c>
      <c r="F571" s="6" t="str">
        <f>IF(C571="","",IPMT(INPUTS!$B$5,C571,INPUTS!$B$6,-INPUTS!$B$3,0,0))</f>
        <v/>
      </c>
      <c r="G571" s="6" t="str">
        <f>IF(C571="","",PPMT(INPUTS!$B$5,C571,INPUTS!$B$6,-INPUTS!$B$3,0,0))</f>
        <v/>
      </c>
      <c r="H571" s="6" t="str">
        <f t="shared" si="37"/>
        <v/>
      </c>
      <c r="I571" s="6" t="str">
        <f t="shared" si="38"/>
        <v/>
      </c>
    </row>
    <row r="572" spans="1:9" hidden="1" x14ac:dyDescent="0.3">
      <c r="A572" s="16" t="str">
        <f t="shared" si="35"/>
        <v/>
      </c>
      <c r="D572" s="14" t="str">
        <f t="shared" si="36"/>
        <v/>
      </c>
      <c r="E572" s="6" t="str">
        <f>IF(C572="","",PMT(INPUTS!$B$5,INPUTS!$B$6,-INPUTS!$B$3,0,0))</f>
        <v/>
      </c>
      <c r="F572" s="6" t="str">
        <f>IF(C572="","",IPMT(INPUTS!$B$5,C572,INPUTS!$B$6,-INPUTS!$B$3,0,0))</f>
        <v/>
      </c>
      <c r="G572" s="6" t="str">
        <f>IF(C572="","",PPMT(INPUTS!$B$5,C572,INPUTS!$B$6,-INPUTS!$B$3,0,0))</f>
        <v/>
      </c>
      <c r="H572" s="6" t="str">
        <f t="shared" si="37"/>
        <v/>
      </c>
      <c r="I572" s="6" t="str">
        <f t="shared" si="38"/>
        <v/>
      </c>
    </row>
    <row r="573" spans="1:9" hidden="1" x14ac:dyDescent="0.3">
      <c r="A573" s="16" t="str">
        <f t="shared" si="35"/>
        <v/>
      </c>
      <c r="D573" s="14" t="str">
        <f t="shared" si="36"/>
        <v/>
      </c>
      <c r="E573" s="6" t="str">
        <f>IF(C573="","",PMT(INPUTS!$B$5,INPUTS!$B$6,-INPUTS!$B$3,0,0))</f>
        <v/>
      </c>
      <c r="F573" s="6" t="str">
        <f>IF(C573="","",IPMT(INPUTS!$B$5,C573,INPUTS!$B$6,-INPUTS!$B$3,0,0))</f>
        <v/>
      </c>
      <c r="G573" s="6" t="str">
        <f>IF(C573="","",PPMT(INPUTS!$B$5,C573,INPUTS!$B$6,-INPUTS!$B$3,0,0))</f>
        <v/>
      </c>
      <c r="H573" s="6" t="str">
        <f t="shared" si="37"/>
        <v/>
      </c>
      <c r="I573" s="6" t="str">
        <f t="shared" si="38"/>
        <v/>
      </c>
    </row>
    <row r="574" spans="1:9" hidden="1" x14ac:dyDescent="0.3">
      <c r="A574" s="16" t="str">
        <f t="shared" si="35"/>
        <v/>
      </c>
      <c r="D574" s="14" t="str">
        <f t="shared" si="36"/>
        <v/>
      </c>
      <c r="E574" s="6" t="str">
        <f>IF(C574="","",PMT(INPUTS!$B$5,INPUTS!$B$6,-INPUTS!$B$3,0,0))</f>
        <v/>
      </c>
      <c r="F574" s="6" t="str">
        <f>IF(C574="","",IPMT(INPUTS!$B$5,C574,INPUTS!$B$6,-INPUTS!$B$3,0,0))</f>
        <v/>
      </c>
      <c r="G574" s="6" t="str">
        <f>IF(C574="","",PPMT(INPUTS!$B$5,C574,INPUTS!$B$6,-INPUTS!$B$3,0,0))</f>
        <v/>
      </c>
      <c r="H574" s="6" t="str">
        <f t="shared" si="37"/>
        <v/>
      </c>
      <c r="I574" s="6" t="str">
        <f t="shared" si="38"/>
        <v/>
      </c>
    </row>
    <row r="575" spans="1:9" hidden="1" x14ac:dyDescent="0.3">
      <c r="A575" s="16" t="str">
        <f t="shared" si="35"/>
        <v/>
      </c>
      <c r="D575" s="14" t="str">
        <f t="shared" si="36"/>
        <v/>
      </c>
      <c r="E575" s="6" t="str">
        <f>IF(C575="","",PMT(INPUTS!$B$5,INPUTS!$B$6,-INPUTS!$B$3,0,0))</f>
        <v/>
      </c>
      <c r="F575" s="6" t="str">
        <f>IF(C575="","",IPMT(INPUTS!$B$5,C575,INPUTS!$B$6,-INPUTS!$B$3,0,0))</f>
        <v/>
      </c>
      <c r="G575" s="6" t="str">
        <f>IF(C575="","",PPMT(INPUTS!$B$5,C575,INPUTS!$B$6,-INPUTS!$B$3,0,0))</f>
        <v/>
      </c>
      <c r="H575" s="6" t="str">
        <f t="shared" si="37"/>
        <v/>
      </c>
      <c r="I575" s="6" t="str">
        <f t="shared" si="38"/>
        <v/>
      </c>
    </row>
    <row r="576" spans="1:9" hidden="1" x14ac:dyDescent="0.3">
      <c r="A576" s="16" t="str">
        <f t="shared" si="35"/>
        <v/>
      </c>
      <c r="D576" s="14" t="str">
        <f t="shared" si="36"/>
        <v/>
      </c>
      <c r="E576" s="6" t="str">
        <f>IF(C576="","",PMT(INPUTS!$B$5,INPUTS!$B$6,-INPUTS!$B$3,0,0))</f>
        <v/>
      </c>
      <c r="F576" s="6" t="str">
        <f>IF(C576="","",IPMT(INPUTS!$B$5,C576,INPUTS!$B$6,-INPUTS!$B$3,0,0))</f>
        <v/>
      </c>
      <c r="G576" s="6" t="str">
        <f>IF(C576="","",PPMT(INPUTS!$B$5,C576,INPUTS!$B$6,-INPUTS!$B$3,0,0))</f>
        <v/>
      </c>
      <c r="H576" s="6" t="str">
        <f t="shared" si="37"/>
        <v/>
      </c>
      <c r="I576" s="6" t="str">
        <f t="shared" si="38"/>
        <v/>
      </c>
    </row>
    <row r="577" spans="1:9" hidden="1" x14ac:dyDescent="0.3">
      <c r="A577" s="16" t="str">
        <f t="shared" si="35"/>
        <v/>
      </c>
      <c r="D577" s="14" t="str">
        <f t="shared" si="36"/>
        <v/>
      </c>
      <c r="E577" s="6" t="str">
        <f>IF(C577="","",PMT(INPUTS!$B$5,INPUTS!$B$6,-INPUTS!$B$3,0,0))</f>
        <v/>
      </c>
      <c r="F577" s="6" t="str">
        <f>IF(C577="","",IPMT(INPUTS!$B$5,C577,INPUTS!$B$6,-INPUTS!$B$3,0,0))</f>
        <v/>
      </c>
      <c r="G577" s="6" t="str">
        <f>IF(C577="","",PPMT(INPUTS!$B$5,C577,INPUTS!$B$6,-INPUTS!$B$3,0,0))</f>
        <v/>
      </c>
      <c r="H577" s="6" t="str">
        <f t="shared" si="37"/>
        <v/>
      </c>
      <c r="I577" s="6" t="str">
        <f t="shared" si="38"/>
        <v/>
      </c>
    </row>
    <row r="578" spans="1:9" hidden="1" x14ac:dyDescent="0.3">
      <c r="A578" s="16" t="str">
        <f t="shared" si="35"/>
        <v/>
      </c>
      <c r="D578" s="14" t="str">
        <f t="shared" si="36"/>
        <v/>
      </c>
      <c r="E578" s="6" t="str">
        <f>IF(C578="","",PMT(INPUTS!$B$5,INPUTS!$B$6,-INPUTS!$B$3,0,0))</f>
        <v/>
      </c>
      <c r="F578" s="6" t="str">
        <f>IF(C578="","",IPMT(INPUTS!$B$5,C578,INPUTS!$B$6,-INPUTS!$B$3,0,0))</f>
        <v/>
      </c>
      <c r="G578" s="6" t="str">
        <f>IF(C578="","",PPMT(INPUTS!$B$5,C578,INPUTS!$B$6,-INPUTS!$B$3,0,0))</f>
        <v/>
      </c>
      <c r="H578" s="6" t="str">
        <f t="shared" si="37"/>
        <v/>
      </c>
      <c r="I578" s="6" t="str">
        <f t="shared" si="38"/>
        <v/>
      </c>
    </row>
    <row r="579" spans="1:9" hidden="1" x14ac:dyDescent="0.3">
      <c r="A579" s="16" t="str">
        <f t="shared" si="35"/>
        <v/>
      </c>
      <c r="D579" s="14" t="str">
        <f t="shared" si="36"/>
        <v/>
      </c>
      <c r="E579" s="6" t="str">
        <f>IF(C579="","",PMT(INPUTS!$B$5,INPUTS!$B$6,-INPUTS!$B$3,0,0))</f>
        <v/>
      </c>
      <c r="F579" s="6" t="str">
        <f>IF(C579="","",IPMT(INPUTS!$B$5,C579,INPUTS!$B$6,-INPUTS!$B$3,0,0))</f>
        <v/>
      </c>
      <c r="G579" s="6" t="str">
        <f>IF(C579="","",PPMT(INPUTS!$B$5,C579,INPUTS!$B$6,-INPUTS!$B$3,0,0))</f>
        <v/>
      </c>
      <c r="H579" s="6" t="str">
        <f t="shared" si="37"/>
        <v/>
      </c>
      <c r="I579" s="6" t="str">
        <f t="shared" si="38"/>
        <v/>
      </c>
    </row>
    <row r="580" spans="1:9" hidden="1" x14ac:dyDescent="0.3">
      <c r="A580" s="16" t="str">
        <f t="shared" si="35"/>
        <v/>
      </c>
      <c r="D580" s="14" t="str">
        <f t="shared" si="36"/>
        <v/>
      </c>
      <c r="E580" s="6" t="str">
        <f>IF(C580="","",PMT(INPUTS!$B$5,INPUTS!$B$6,-INPUTS!$B$3,0,0))</f>
        <v/>
      </c>
      <c r="F580" s="6" t="str">
        <f>IF(C580="","",IPMT(INPUTS!$B$5,C580,INPUTS!$B$6,-INPUTS!$B$3,0,0))</f>
        <v/>
      </c>
      <c r="G580" s="6" t="str">
        <f>IF(C580="","",PPMT(INPUTS!$B$5,C580,INPUTS!$B$6,-INPUTS!$B$3,0,0))</f>
        <v/>
      </c>
      <c r="H580" s="6" t="str">
        <f t="shared" si="37"/>
        <v/>
      </c>
      <c r="I580" s="6" t="str">
        <f t="shared" si="38"/>
        <v/>
      </c>
    </row>
    <row r="581" spans="1:9" hidden="1" x14ac:dyDescent="0.3">
      <c r="A581" s="16" t="str">
        <f t="shared" si="35"/>
        <v/>
      </c>
      <c r="D581" s="14" t="str">
        <f t="shared" si="36"/>
        <v/>
      </c>
      <c r="E581" s="6" t="str">
        <f>IF(C581="","",PMT(INPUTS!$B$5,INPUTS!$B$6,-INPUTS!$B$3,0,0))</f>
        <v/>
      </c>
      <c r="F581" s="6" t="str">
        <f>IF(C581="","",IPMT(INPUTS!$B$5,C581,INPUTS!$B$6,-INPUTS!$B$3,0,0))</f>
        <v/>
      </c>
      <c r="G581" s="6" t="str">
        <f>IF(C581="","",PPMT(INPUTS!$B$5,C581,INPUTS!$B$6,-INPUTS!$B$3,0,0))</f>
        <v/>
      </c>
      <c r="H581" s="6" t="str">
        <f t="shared" si="37"/>
        <v/>
      </c>
      <c r="I581" s="6" t="str">
        <f t="shared" si="38"/>
        <v/>
      </c>
    </row>
    <row r="582" spans="1:9" hidden="1" x14ac:dyDescent="0.3">
      <c r="A582" s="16" t="str">
        <f t="shared" si="35"/>
        <v/>
      </c>
      <c r="D582" s="14" t="str">
        <f t="shared" si="36"/>
        <v/>
      </c>
      <c r="E582" s="6" t="str">
        <f>IF(C582="","",PMT(INPUTS!$B$5,INPUTS!$B$6,-INPUTS!$B$3,0,0))</f>
        <v/>
      </c>
      <c r="F582" s="6" t="str">
        <f>IF(C582="","",IPMT(INPUTS!$B$5,C582,INPUTS!$B$6,-INPUTS!$B$3,0,0))</f>
        <v/>
      </c>
      <c r="G582" s="6" t="str">
        <f>IF(C582="","",PPMT(INPUTS!$B$5,C582,INPUTS!$B$6,-INPUTS!$B$3,0,0))</f>
        <v/>
      </c>
      <c r="H582" s="6" t="str">
        <f t="shared" si="37"/>
        <v/>
      </c>
      <c r="I582" s="6" t="str">
        <f t="shared" si="38"/>
        <v/>
      </c>
    </row>
    <row r="583" spans="1:9" hidden="1" x14ac:dyDescent="0.3">
      <c r="A583" s="16" t="str">
        <f t="shared" si="35"/>
        <v/>
      </c>
      <c r="D583" s="14" t="str">
        <f t="shared" si="36"/>
        <v/>
      </c>
      <c r="E583" s="6" t="str">
        <f>IF(C583="","",PMT(INPUTS!$B$5,INPUTS!$B$6,-INPUTS!$B$3,0,0))</f>
        <v/>
      </c>
      <c r="F583" s="6" t="str">
        <f>IF(C583="","",IPMT(INPUTS!$B$5,C583,INPUTS!$B$6,-INPUTS!$B$3,0,0))</f>
        <v/>
      </c>
      <c r="G583" s="6" t="str">
        <f>IF(C583="","",PPMT(INPUTS!$B$5,C583,INPUTS!$B$6,-INPUTS!$B$3,0,0))</f>
        <v/>
      </c>
      <c r="H583" s="6" t="str">
        <f t="shared" si="37"/>
        <v/>
      </c>
      <c r="I583" s="6" t="str">
        <f t="shared" si="38"/>
        <v/>
      </c>
    </row>
    <row r="584" spans="1:9" hidden="1" x14ac:dyDescent="0.3">
      <c r="A584" s="16" t="str">
        <f t="shared" si="35"/>
        <v/>
      </c>
      <c r="D584" s="14" t="str">
        <f t="shared" si="36"/>
        <v/>
      </c>
      <c r="E584" s="6" t="str">
        <f>IF(C584="","",PMT(INPUTS!$B$5,INPUTS!$B$6,-INPUTS!$B$3,0,0))</f>
        <v/>
      </c>
      <c r="F584" s="6" t="str">
        <f>IF(C584="","",IPMT(INPUTS!$B$5,C584,INPUTS!$B$6,-INPUTS!$B$3,0,0))</f>
        <v/>
      </c>
      <c r="G584" s="6" t="str">
        <f>IF(C584="","",PPMT(INPUTS!$B$5,C584,INPUTS!$B$6,-INPUTS!$B$3,0,0))</f>
        <v/>
      </c>
      <c r="H584" s="6" t="str">
        <f t="shared" si="37"/>
        <v/>
      </c>
      <c r="I584" s="6" t="str">
        <f t="shared" si="38"/>
        <v/>
      </c>
    </row>
    <row r="585" spans="1:9" hidden="1" x14ac:dyDescent="0.3">
      <c r="A585" s="16" t="str">
        <f t="shared" si="35"/>
        <v/>
      </c>
      <c r="D585" s="14" t="str">
        <f t="shared" si="36"/>
        <v/>
      </c>
      <c r="E585" s="6" t="str">
        <f>IF(C585="","",PMT(INPUTS!$B$5,INPUTS!$B$6,-INPUTS!$B$3,0,0))</f>
        <v/>
      </c>
      <c r="F585" s="6" t="str">
        <f>IF(C585="","",IPMT(INPUTS!$B$5,C585,INPUTS!$B$6,-INPUTS!$B$3,0,0))</f>
        <v/>
      </c>
      <c r="G585" s="6" t="str">
        <f>IF(C585="","",PPMT(INPUTS!$B$5,C585,INPUTS!$B$6,-INPUTS!$B$3,0,0))</f>
        <v/>
      </c>
      <c r="H585" s="6" t="str">
        <f t="shared" si="37"/>
        <v/>
      </c>
      <c r="I585" s="6" t="str">
        <f t="shared" si="38"/>
        <v/>
      </c>
    </row>
    <row r="586" spans="1:9" hidden="1" x14ac:dyDescent="0.3">
      <c r="A586" s="16" t="str">
        <f t="shared" si="35"/>
        <v/>
      </c>
      <c r="D586" s="14" t="str">
        <f t="shared" si="36"/>
        <v/>
      </c>
      <c r="E586" s="6" t="str">
        <f>IF(C586="","",PMT(INPUTS!$B$5,INPUTS!$B$6,-INPUTS!$B$3,0,0))</f>
        <v/>
      </c>
      <c r="F586" s="6" t="str">
        <f>IF(C586="","",IPMT(INPUTS!$B$5,C586,INPUTS!$B$6,-INPUTS!$B$3,0,0))</f>
        <v/>
      </c>
      <c r="G586" s="6" t="str">
        <f>IF(C586="","",PPMT(INPUTS!$B$5,C586,INPUTS!$B$6,-INPUTS!$B$3,0,0))</f>
        <v/>
      </c>
      <c r="H586" s="6" t="str">
        <f t="shared" si="37"/>
        <v/>
      </c>
      <c r="I586" s="6" t="str">
        <f t="shared" si="38"/>
        <v/>
      </c>
    </row>
    <row r="587" spans="1:9" hidden="1" x14ac:dyDescent="0.3">
      <c r="A587" s="16" t="str">
        <f t="shared" si="35"/>
        <v/>
      </c>
      <c r="D587" s="14" t="str">
        <f t="shared" si="36"/>
        <v/>
      </c>
      <c r="E587" s="6" t="str">
        <f>IF(C587="","",PMT(INPUTS!$B$5,INPUTS!$B$6,-INPUTS!$B$3,0,0))</f>
        <v/>
      </c>
      <c r="F587" s="6" t="str">
        <f>IF(C587="","",IPMT(INPUTS!$B$5,C587,INPUTS!$B$6,-INPUTS!$B$3,0,0))</f>
        <v/>
      </c>
      <c r="G587" s="6" t="str">
        <f>IF(C587="","",PPMT(INPUTS!$B$5,C587,INPUTS!$B$6,-INPUTS!$B$3,0,0))</f>
        <v/>
      </c>
      <c r="H587" s="6" t="str">
        <f t="shared" si="37"/>
        <v/>
      </c>
      <c r="I587" s="6" t="str">
        <f t="shared" si="38"/>
        <v/>
      </c>
    </row>
    <row r="588" spans="1:9" hidden="1" x14ac:dyDescent="0.3">
      <c r="A588" s="16" t="str">
        <f t="shared" si="35"/>
        <v/>
      </c>
      <c r="D588" s="14" t="str">
        <f t="shared" si="36"/>
        <v/>
      </c>
      <c r="E588" s="6" t="str">
        <f>IF(C588="","",PMT(INPUTS!$B$5,INPUTS!$B$6,-INPUTS!$B$3,0,0))</f>
        <v/>
      </c>
      <c r="F588" s="6" t="str">
        <f>IF(C588="","",IPMT(INPUTS!$B$5,C588,INPUTS!$B$6,-INPUTS!$B$3,0,0))</f>
        <v/>
      </c>
      <c r="G588" s="6" t="str">
        <f>IF(C588="","",PPMT(INPUTS!$B$5,C588,INPUTS!$B$6,-INPUTS!$B$3,0,0))</f>
        <v/>
      </c>
      <c r="H588" s="6" t="str">
        <f t="shared" si="37"/>
        <v/>
      </c>
      <c r="I588" s="6" t="str">
        <f t="shared" si="38"/>
        <v/>
      </c>
    </row>
    <row r="589" spans="1:9" hidden="1" x14ac:dyDescent="0.3">
      <c r="A589" s="16" t="str">
        <f t="shared" si="35"/>
        <v/>
      </c>
      <c r="D589" s="14" t="str">
        <f t="shared" si="36"/>
        <v/>
      </c>
      <c r="E589" s="6" t="str">
        <f>IF(C589="","",PMT(INPUTS!$B$5,INPUTS!$B$6,-INPUTS!$B$3,0,0))</f>
        <v/>
      </c>
      <c r="F589" s="6" t="str">
        <f>IF(C589="","",IPMT(INPUTS!$B$5,C589,INPUTS!$B$6,-INPUTS!$B$3,0,0))</f>
        <v/>
      </c>
      <c r="G589" s="6" t="str">
        <f>IF(C589="","",PPMT(INPUTS!$B$5,C589,INPUTS!$B$6,-INPUTS!$B$3,0,0))</f>
        <v/>
      </c>
      <c r="H589" s="6" t="str">
        <f t="shared" si="37"/>
        <v/>
      </c>
      <c r="I589" s="6" t="str">
        <f t="shared" si="38"/>
        <v/>
      </c>
    </row>
    <row r="590" spans="1:9" hidden="1" x14ac:dyDescent="0.3">
      <c r="A590" s="16" t="str">
        <f t="shared" si="35"/>
        <v/>
      </c>
      <c r="D590" s="14" t="str">
        <f t="shared" si="36"/>
        <v/>
      </c>
      <c r="E590" s="6" t="str">
        <f>IF(C590="","",PMT(INPUTS!$B$5,INPUTS!$B$6,-INPUTS!$B$3,0,0))</f>
        <v/>
      </c>
      <c r="F590" s="6" t="str">
        <f>IF(C590="","",IPMT(INPUTS!$B$5,C590,INPUTS!$B$6,-INPUTS!$B$3,0,0))</f>
        <v/>
      </c>
      <c r="G590" s="6" t="str">
        <f>IF(C590="","",PPMT(INPUTS!$B$5,C590,INPUTS!$B$6,-INPUTS!$B$3,0,0))</f>
        <v/>
      </c>
      <c r="H590" s="6" t="str">
        <f t="shared" si="37"/>
        <v/>
      </c>
      <c r="I590" s="6" t="str">
        <f t="shared" si="38"/>
        <v/>
      </c>
    </row>
    <row r="591" spans="1:9" hidden="1" x14ac:dyDescent="0.3">
      <c r="A591" s="16" t="str">
        <f t="shared" si="35"/>
        <v/>
      </c>
      <c r="D591" s="14" t="str">
        <f t="shared" si="36"/>
        <v/>
      </c>
      <c r="E591" s="6" t="str">
        <f>IF(C591="","",PMT(INPUTS!$B$5,INPUTS!$B$6,-INPUTS!$B$3,0,0))</f>
        <v/>
      </c>
      <c r="F591" s="6" t="str">
        <f>IF(C591="","",IPMT(INPUTS!$B$5,C591,INPUTS!$B$6,-INPUTS!$B$3,0,0))</f>
        <v/>
      </c>
      <c r="G591" s="6" t="str">
        <f>IF(C591="","",PPMT(INPUTS!$B$5,C591,INPUTS!$B$6,-INPUTS!$B$3,0,0))</f>
        <v/>
      </c>
      <c r="H591" s="6" t="str">
        <f t="shared" si="37"/>
        <v/>
      </c>
      <c r="I591" s="6" t="str">
        <f t="shared" si="38"/>
        <v/>
      </c>
    </row>
    <row r="592" spans="1:9" hidden="1" x14ac:dyDescent="0.3">
      <c r="A592" s="16" t="str">
        <f t="shared" si="35"/>
        <v/>
      </c>
      <c r="D592" s="14" t="str">
        <f t="shared" si="36"/>
        <v/>
      </c>
      <c r="E592" s="6" t="str">
        <f>IF(C592="","",PMT(INPUTS!$B$5,INPUTS!$B$6,-INPUTS!$B$3,0,0))</f>
        <v/>
      </c>
      <c r="F592" s="6" t="str">
        <f>IF(C592="","",IPMT(INPUTS!$B$5,C592,INPUTS!$B$6,-INPUTS!$B$3,0,0))</f>
        <v/>
      </c>
      <c r="G592" s="6" t="str">
        <f>IF(C592="","",PPMT(INPUTS!$B$5,C592,INPUTS!$B$6,-INPUTS!$B$3,0,0))</f>
        <v/>
      </c>
      <c r="H592" s="6" t="str">
        <f t="shared" si="37"/>
        <v/>
      </c>
      <c r="I592" s="6" t="str">
        <f t="shared" si="38"/>
        <v/>
      </c>
    </row>
    <row r="593" spans="1:9" hidden="1" x14ac:dyDescent="0.3">
      <c r="A593" s="16" t="str">
        <f t="shared" si="35"/>
        <v/>
      </c>
      <c r="D593" s="14" t="str">
        <f t="shared" si="36"/>
        <v/>
      </c>
      <c r="E593" s="6" t="str">
        <f>IF(C593="","",PMT(INPUTS!$B$5,INPUTS!$B$6,-INPUTS!$B$3,0,0))</f>
        <v/>
      </c>
      <c r="F593" s="6" t="str">
        <f>IF(C593="","",IPMT(INPUTS!$B$5,C593,INPUTS!$B$6,-INPUTS!$B$3,0,0))</f>
        <v/>
      </c>
      <c r="G593" s="6" t="str">
        <f>IF(C593="","",PPMT(INPUTS!$B$5,C593,INPUTS!$B$6,-INPUTS!$B$3,0,0))</f>
        <v/>
      </c>
      <c r="H593" s="6" t="str">
        <f t="shared" si="37"/>
        <v/>
      </c>
      <c r="I593" s="6" t="str">
        <f t="shared" si="38"/>
        <v/>
      </c>
    </row>
    <row r="594" spans="1:9" hidden="1" x14ac:dyDescent="0.3">
      <c r="A594" s="16" t="str">
        <f t="shared" ref="A594:A657" si="39">IF(D594="","",YEAR(D594))</f>
        <v/>
      </c>
      <c r="D594" s="14" t="str">
        <f t="shared" si="36"/>
        <v/>
      </c>
      <c r="E594" s="6" t="str">
        <f>IF(C594="","",PMT(INPUTS!$B$5,INPUTS!$B$6,-INPUTS!$B$3,0,0))</f>
        <v/>
      </c>
      <c r="F594" s="6" t="str">
        <f>IF(C594="","",IPMT(INPUTS!$B$5,C594,INPUTS!$B$6,-INPUTS!$B$3,0,0))</f>
        <v/>
      </c>
      <c r="G594" s="6" t="str">
        <f>IF(C594="","",PPMT(INPUTS!$B$5,C594,INPUTS!$B$6,-INPUTS!$B$3,0,0))</f>
        <v/>
      </c>
      <c r="H594" s="6" t="str">
        <f t="shared" si="37"/>
        <v/>
      </c>
      <c r="I594" s="6" t="str">
        <f t="shared" si="38"/>
        <v/>
      </c>
    </row>
    <row r="595" spans="1:9" hidden="1" x14ac:dyDescent="0.3">
      <c r="A595" s="16" t="str">
        <f t="shared" si="39"/>
        <v/>
      </c>
      <c r="D595" s="14" t="str">
        <f t="shared" si="36"/>
        <v/>
      </c>
      <c r="E595" s="6" t="str">
        <f>IF(C595="","",PMT(INPUTS!$B$5,INPUTS!$B$6,-INPUTS!$B$3,0,0))</f>
        <v/>
      </c>
      <c r="F595" s="6" t="str">
        <f>IF(C595="","",IPMT(INPUTS!$B$5,C595,INPUTS!$B$6,-INPUTS!$B$3,0,0))</f>
        <v/>
      </c>
      <c r="G595" s="6" t="str">
        <f>IF(C595="","",PPMT(INPUTS!$B$5,C595,INPUTS!$B$6,-INPUTS!$B$3,0,0))</f>
        <v/>
      </c>
      <c r="H595" s="6" t="str">
        <f t="shared" si="37"/>
        <v/>
      </c>
      <c r="I595" s="6" t="str">
        <f t="shared" si="38"/>
        <v/>
      </c>
    </row>
    <row r="596" spans="1:9" hidden="1" x14ac:dyDescent="0.3">
      <c r="A596" s="16" t="str">
        <f t="shared" si="39"/>
        <v/>
      </c>
      <c r="D596" s="14" t="str">
        <f t="shared" ref="D596:D659" si="40">IF(C595="","",DATE(YEAR($D595),MONTH($D595)+1,DAY($D595)))</f>
        <v/>
      </c>
      <c r="E596" s="6" t="str">
        <f>IF(C596="","",PMT(INPUTS!$B$5,INPUTS!$B$6,-INPUTS!$B$3,0,0))</f>
        <v/>
      </c>
      <c r="F596" s="6" t="str">
        <f>IF(C596="","",IPMT(INPUTS!$B$5,C596,INPUTS!$B$6,-INPUTS!$B$3,0,0))</f>
        <v/>
      </c>
      <c r="G596" s="6" t="str">
        <f>IF(C596="","",PPMT(INPUTS!$B$5,C596,INPUTS!$B$6,-INPUTS!$B$3,0,0))</f>
        <v/>
      </c>
      <c r="H596" s="6" t="str">
        <f t="shared" ref="H596:H659" si="41">I595</f>
        <v/>
      </c>
      <c r="I596" s="6" t="str">
        <f t="shared" si="38"/>
        <v/>
      </c>
    </row>
    <row r="597" spans="1:9" hidden="1" x14ac:dyDescent="0.3">
      <c r="A597" s="16" t="str">
        <f t="shared" si="39"/>
        <v/>
      </c>
      <c r="D597" s="14" t="str">
        <f t="shared" si="40"/>
        <v/>
      </c>
      <c r="E597" s="6" t="str">
        <f>IF(C597="","",PMT(INPUTS!$B$5,INPUTS!$B$6,-INPUTS!$B$3,0,0))</f>
        <v/>
      </c>
      <c r="F597" s="6" t="str">
        <f>IF(C597="","",IPMT(INPUTS!$B$5,C597,INPUTS!$B$6,-INPUTS!$B$3,0,0))</f>
        <v/>
      </c>
      <c r="G597" s="6" t="str">
        <f>IF(C597="","",PPMT(INPUTS!$B$5,C597,INPUTS!$B$6,-INPUTS!$B$3,0,0))</f>
        <v/>
      </c>
      <c r="H597" s="6" t="str">
        <f t="shared" si="41"/>
        <v/>
      </c>
      <c r="I597" s="6" t="str">
        <f t="shared" si="38"/>
        <v/>
      </c>
    </row>
    <row r="598" spans="1:9" hidden="1" x14ac:dyDescent="0.3">
      <c r="A598" s="16" t="str">
        <f t="shared" si="39"/>
        <v/>
      </c>
      <c r="D598" s="14" t="str">
        <f t="shared" si="40"/>
        <v/>
      </c>
      <c r="E598" s="6" t="str">
        <f>IF(C598="","",PMT(INPUTS!$B$5,INPUTS!$B$6,-INPUTS!$B$3,0,0))</f>
        <v/>
      </c>
      <c r="F598" s="6" t="str">
        <f>IF(C598="","",IPMT(INPUTS!$B$5,C598,INPUTS!$B$6,-INPUTS!$B$3,0,0))</f>
        <v/>
      </c>
      <c r="G598" s="6" t="str">
        <f>IF(C598="","",PPMT(INPUTS!$B$5,C598,INPUTS!$B$6,-INPUTS!$B$3,0,0))</f>
        <v/>
      </c>
      <c r="H598" s="6" t="str">
        <f t="shared" si="41"/>
        <v/>
      </c>
      <c r="I598" s="6" t="str">
        <f t="shared" si="38"/>
        <v/>
      </c>
    </row>
    <row r="599" spans="1:9" hidden="1" x14ac:dyDescent="0.3">
      <c r="A599" s="16" t="str">
        <f t="shared" si="39"/>
        <v/>
      </c>
      <c r="D599" s="14" t="str">
        <f t="shared" si="40"/>
        <v/>
      </c>
      <c r="E599" s="6" t="str">
        <f>IF(C599="","",PMT(INPUTS!$B$5,INPUTS!$B$6,-INPUTS!$B$3,0,0))</f>
        <v/>
      </c>
      <c r="F599" s="6" t="str">
        <f>IF(C599="","",IPMT(INPUTS!$B$5,C599,INPUTS!$B$6,-INPUTS!$B$3,0,0))</f>
        <v/>
      </c>
      <c r="G599" s="6" t="str">
        <f>IF(C599="","",PPMT(INPUTS!$B$5,C599,INPUTS!$B$6,-INPUTS!$B$3,0,0))</f>
        <v/>
      </c>
      <c r="H599" s="6" t="str">
        <f t="shared" si="41"/>
        <v/>
      </c>
      <c r="I599" s="6" t="str">
        <f t="shared" si="38"/>
        <v/>
      </c>
    </row>
    <row r="600" spans="1:9" hidden="1" x14ac:dyDescent="0.3">
      <c r="A600" s="16" t="str">
        <f t="shared" si="39"/>
        <v/>
      </c>
      <c r="D600" s="14" t="str">
        <f t="shared" si="40"/>
        <v/>
      </c>
      <c r="E600" s="6" t="str">
        <f>IF(C600="","",PMT(INPUTS!$B$5,INPUTS!$B$6,-INPUTS!$B$3,0,0))</f>
        <v/>
      </c>
      <c r="F600" s="6" t="str">
        <f>IF(C600="","",IPMT(INPUTS!$B$5,C600,INPUTS!$B$6,-INPUTS!$B$3,0,0))</f>
        <v/>
      </c>
      <c r="G600" s="6" t="str">
        <f>IF(C600="","",PPMT(INPUTS!$B$5,C600,INPUTS!$B$6,-INPUTS!$B$3,0,0))</f>
        <v/>
      </c>
      <c r="H600" s="6" t="str">
        <f t="shared" si="41"/>
        <v/>
      </c>
      <c r="I600" s="6" t="str">
        <f t="shared" si="38"/>
        <v/>
      </c>
    </row>
    <row r="601" spans="1:9" hidden="1" x14ac:dyDescent="0.3">
      <c r="A601" s="16" t="str">
        <f t="shared" si="39"/>
        <v/>
      </c>
      <c r="D601" s="14" t="str">
        <f t="shared" si="40"/>
        <v/>
      </c>
      <c r="E601" s="6" t="str">
        <f>IF(C601="","",PMT(INPUTS!$B$5,INPUTS!$B$6,-INPUTS!$B$3,0,0))</f>
        <v/>
      </c>
      <c r="F601" s="6" t="str">
        <f>IF(C601="","",IPMT(INPUTS!$B$5,C601,INPUTS!$B$6,-INPUTS!$B$3,0,0))</f>
        <v/>
      </c>
      <c r="G601" s="6" t="str">
        <f>IF(C601="","",PPMT(INPUTS!$B$5,C601,INPUTS!$B$6,-INPUTS!$B$3,0,0))</f>
        <v/>
      </c>
      <c r="H601" s="6" t="str">
        <f t="shared" si="41"/>
        <v/>
      </c>
      <c r="I601" s="6" t="str">
        <f t="shared" si="38"/>
        <v/>
      </c>
    </row>
    <row r="602" spans="1:9" hidden="1" x14ac:dyDescent="0.3">
      <c r="A602" s="16" t="str">
        <f t="shared" si="39"/>
        <v/>
      </c>
      <c r="D602" s="14" t="str">
        <f t="shared" si="40"/>
        <v/>
      </c>
      <c r="E602" s="6" t="str">
        <f>IF(C602="","",PMT(INPUTS!$B$5,INPUTS!$B$6,-INPUTS!$B$3,0,0))</f>
        <v/>
      </c>
      <c r="F602" s="6" t="str">
        <f>IF(C602="","",IPMT(INPUTS!$B$5,C602,INPUTS!$B$6,-INPUTS!$B$3,0,0))</f>
        <v/>
      </c>
      <c r="G602" s="6" t="str">
        <f>IF(C602="","",PPMT(INPUTS!$B$5,C602,INPUTS!$B$6,-INPUTS!$B$3,0,0))</f>
        <v/>
      </c>
      <c r="H602" s="6" t="str">
        <f t="shared" si="41"/>
        <v/>
      </c>
      <c r="I602" s="6" t="str">
        <f t="shared" si="38"/>
        <v/>
      </c>
    </row>
    <row r="603" spans="1:9" hidden="1" x14ac:dyDescent="0.3">
      <c r="A603" s="16" t="str">
        <f t="shared" si="39"/>
        <v/>
      </c>
      <c r="D603" s="14" t="str">
        <f t="shared" si="40"/>
        <v/>
      </c>
      <c r="E603" s="6" t="str">
        <f>IF(C603="","",PMT(INPUTS!$B$5,INPUTS!$B$6,-INPUTS!$B$3,0,0))</f>
        <v/>
      </c>
      <c r="F603" s="6" t="str">
        <f>IF(C603="","",IPMT(INPUTS!$B$5,C603,INPUTS!$B$6,-INPUTS!$B$3,0,0))</f>
        <v/>
      </c>
      <c r="G603" s="6" t="str">
        <f>IF(C603="","",PPMT(INPUTS!$B$5,C603,INPUTS!$B$6,-INPUTS!$B$3,0,0))</f>
        <v/>
      </c>
      <c r="H603" s="6" t="str">
        <f t="shared" si="41"/>
        <v/>
      </c>
      <c r="I603" s="6" t="str">
        <f t="shared" si="38"/>
        <v/>
      </c>
    </row>
    <row r="604" spans="1:9" hidden="1" x14ac:dyDescent="0.3">
      <c r="A604" s="16" t="str">
        <f t="shared" si="39"/>
        <v/>
      </c>
      <c r="D604" s="14" t="str">
        <f t="shared" si="40"/>
        <v/>
      </c>
      <c r="E604" s="6" t="str">
        <f>IF(C604="","",PMT(INPUTS!$B$5,INPUTS!$B$6,-INPUTS!$B$3,0,0))</f>
        <v/>
      </c>
      <c r="F604" s="6" t="str">
        <f>IF(C604="","",IPMT(INPUTS!$B$5,C604,INPUTS!$B$6,-INPUTS!$B$3,0,0))</f>
        <v/>
      </c>
      <c r="G604" s="6" t="str">
        <f>IF(C604="","",PPMT(INPUTS!$B$5,C604,INPUTS!$B$6,-INPUTS!$B$3,0,0))</f>
        <v/>
      </c>
      <c r="H604" s="6" t="str">
        <f t="shared" si="41"/>
        <v/>
      </c>
      <c r="I604" s="6" t="str">
        <f t="shared" si="38"/>
        <v/>
      </c>
    </row>
    <row r="605" spans="1:9" hidden="1" x14ac:dyDescent="0.3">
      <c r="A605" s="16" t="str">
        <f t="shared" si="39"/>
        <v/>
      </c>
      <c r="D605" s="14" t="str">
        <f t="shared" si="40"/>
        <v/>
      </c>
      <c r="E605" s="6" t="str">
        <f>IF(C605="","",PMT(INPUTS!$B$5,INPUTS!$B$6,-INPUTS!$B$3,0,0))</f>
        <v/>
      </c>
      <c r="F605" s="6" t="str">
        <f>IF(C605="","",IPMT(INPUTS!$B$5,C605,INPUTS!$B$6,-INPUTS!$B$3,0,0))</f>
        <v/>
      </c>
      <c r="G605" s="6" t="str">
        <f>IF(C605="","",PPMT(INPUTS!$B$5,C605,INPUTS!$B$6,-INPUTS!$B$3,0,0))</f>
        <v/>
      </c>
      <c r="H605" s="6" t="str">
        <f t="shared" si="41"/>
        <v/>
      </c>
      <c r="I605" s="6" t="str">
        <f t="shared" si="38"/>
        <v/>
      </c>
    </row>
    <row r="606" spans="1:9" hidden="1" x14ac:dyDescent="0.3">
      <c r="A606" s="16" t="str">
        <f t="shared" si="39"/>
        <v/>
      </c>
      <c r="D606" s="14" t="str">
        <f t="shared" si="40"/>
        <v/>
      </c>
      <c r="E606" s="6" t="str">
        <f>IF(C606="","",PMT(INPUTS!$B$5,INPUTS!$B$6,-INPUTS!$B$3,0,0))</f>
        <v/>
      </c>
      <c r="F606" s="6" t="str">
        <f>IF(C606="","",IPMT(INPUTS!$B$5,C606,INPUTS!$B$6,-INPUTS!$B$3,0,0))</f>
        <v/>
      </c>
      <c r="G606" s="6" t="str">
        <f>IF(C606="","",PPMT(INPUTS!$B$5,C606,INPUTS!$B$6,-INPUTS!$B$3,0,0))</f>
        <v/>
      </c>
      <c r="H606" s="6" t="str">
        <f t="shared" si="41"/>
        <v/>
      </c>
      <c r="I606" s="6" t="str">
        <f t="shared" si="38"/>
        <v/>
      </c>
    </row>
    <row r="607" spans="1:9" hidden="1" x14ac:dyDescent="0.3">
      <c r="A607" s="16" t="str">
        <f t="shared" si="39"/>
        <v/>
      </c>
      <c r="D607" s="14" t="str">
        <f t="shared" si="40"/>
        <v/>
      </c>
      <c r="E607" s="6" t="str">
        <f>IF(C607="","",PMT(INPUTS!$B$5,INPUTS!$B$6,-INPUTS!$B$3,0,0))</f>
        <v/>
      </c>
      <c r="F607" s="6" t="str">
        <f>IF(C607="","",IPMT(INPUTS!$B$5,C607,INPUTS!$B$6,-INPUTS!$B$3,0,0))</f>
        <v/>
      </c>
      <c r="G607" s="6" t="str">
        <f>IF(C607="","",PPMT(INPUTS!$B$5,C607,INPUTS!$B$6,-INPUTS!$B$3,0,0))</f>
        <v/>
      </c>
      <c r="H607" s="6" t="str">
        <f t="shared" si="41"/>
        <v/>
      </c>
      <c r="I607" s="6" t="str">
        <f t="shared" si="38"/>
        <v/>
      </c>
    </row>
    <row r="608" spans="1:9" hidden="1" x14ac:dyDescent="0.3">
      <c r="A608" s="16" t="str">
        <f t="shared" si="39"/>
        <v/>
      </c>
      <c r="D608" s="14" t="str">
        <f t="shared" si="40"/>
        <v/>
      </c>
      <c r="E608" s="6" t="str">
        <f>IF(C608="","",PMT(INPUTS!$B$5,INPUTS!$B$6,-INPUTS!$B$3,0,0))</f>
        <v/>
      </c>
      <c r="F608" s="6" t="str">
        <f>IF(C608="","",IPMT(INPUTS!$B$5,C608,INPUTS!$B$6,-INPUTS!$B$3,0,0))</f>
        <v/>
      </c>
      <c r="G608" s="6" t="str">
        <f>IF(C608="","",PPMT(INPUTS!$B$5,C608,INPUTS!$B$6,-INPUTS!$B$3,0,0))</f>
        <v/>
      </c>
      <c r="H608" s="6" t="str">
        <f t="shared" si="41"/>
        <v/>
      </c>
      <c r="I608" s="6" t="str">
        <f t="shared" si="38"/>
        <v/>
      </c>
    </row>
    <row r="609" spans="1:9" hidden="1" x14ac:dyDescent="0.3">
      <c r="A609" s="16" t="str">
        <f t="shared" si="39"/>
        <v/>
      </c>
      <c r="D609" s="14" t="str">
        <f t="shared" si="40"/>
        <v/>
      </c>
      <c r="E609" s="6" t="str">
        <f>IF(C609="","",PMT(INPUTS!$B$5,INPUTS!$B$6,-INPUTS!$B$3,0,0))</f>
        <v/>
      </c>
      <c r="F609" s="6" t="str">
        <f>IF(C609="","",IPMT(INPUTS!$B$5,C609,INPUTS!$B$6,-INPUTS!$B$3,0,0))</f>
        <v/>
      </c>
      <c r="G609" s="6" t="str">
        <f>IF(C609="","",PPMT(INPUTS!$B$5,C609,INPUTS!$B$6,-INPUTS!$B$3,0,0))</f>
        <v/>
      </c>
      <c r="H609" s="6" t="str">
        <f t="shared" si="41"/>
        <v/>
      </c>
      <c r="I609" s="6" t="str">
        <f t="shared" si="38"/>
        <v/>
      </c>
    </row>
    <row r="610" spans="1:9" hidden="1" x14ac:dyDescent="0.3">
      <c r="A610" s="16" t="str">
        <f t="shared" si="39"/>
        <v/>
      </c>
      <c r="D610" s="14" t="str">
        <f t="shared" si="40"/>
        <v/>
      </c>
      <c r="E610" s="6" t="str">
        <f>IF(C610="","",PMT(INPUTS!$B$5,INPUTS!$B$6,-INPUTS!$B$3,0,0))</f>
        <v/>
      </c>
      <c r="F610" s="6" t="str">
        <f>IF(C610="","",IPMT(INPUTS!$B$5,C610,INPUTS!$B$6,-INPUTS!$B$3,0,0))</f>
        <v/>
      </c>
      <c r="G610" s="6" t="str">
        <f>IF(C610="","",PPMT(INPUTS!$B$5,C610,INPUTS!$B$6,-INPUTS!$B$3,0,0))</f>
        <v/>
      </c>
      <c r="H610" s="6" t="str">
        <f t="shared" si="41"/>
        <v/>
      </c>
      <c r="I610" s="6" t="str">
        <f t="shared" si="38"/>
        <v/>
      </c>
    </row>
    <row r="611" spans="1:9" hidden="1" x14ac:dyDescent="0.3">
      <c r="A611" s="16" t="str">
        <f t="shared" si="39"/>
        <v/>
      </c>
      <c r="D611" s="14" t="str">
        <f t="shared" si="40"/>
        <v/>
      </c>
      <c r="E611" s="6" t="str">
        <f>IF(C611="","",PMT(INPUTS!$B$5,INPUTS!$B$6,-INPUTS!$B$3,0,0))</f>
        <v/>
      </c>
      <c r="F611" s="6" t="str">
        <f>IF(C611="","",IPMT(INPUTS!$B$5,C611,INPUTS!$B$6,-INPUTS!$B$3,0,0))</f>
        <v/>
      </c>
      <c r="G611" s="6" t="str">
        <f>IF(C611="","",PPMT(INPUTS!$B$5,C611,INPUTS!$B$6,-INPUTS!$B$3,0,0))</f>
        <v/>
      </c>
      <c r="H611" s="6" t="str">
        <f t="shared" si="41"/>
        <v/>
      </c>
      <c r="I611" s="6" t="str">
        <f t="shared" si="38"/>
        <v/>
      </c>
    </row>
    <row r="612" spans="1:9" hidden="1" x14ac:dyDescent="0.3">
      <c r="A612" s="16" t="str">
        <f t="shared" si="39"/>
        <v/>
      </c>
      <c r="D612" s="14" t="str">
        <f t="shared" si="40"/>
        <v/>
      </c>
      <c r="E612" s="6" t="str">
        <f>IF(C612="","",PMT(INPUTS!$B$5,INPUTS!$B$6,-INPUTS!$B$3,0,0))</f>
        <v/>
      </c>
      <c r="F612" s="6" t="str">
        <f>IF(C612="","",IPMT(INPUTS!$B$5,C612,INPUTS!$B$6,-INPUTS!$B$3,0,0))</f>
        <v/>
      </c>
      <c r="G612" s="6" t="str">
        <f>IF(C612="","",PPMT(INPUTS!$B$5,C612,INPUTS!$B$6,-INPUTS!$B$3,0,0))</f>
        <v/>
      </c>
      <c r="H612" s="6" t="str">
        <f t="shared" si="41"/>
        <v/>
      </c>
      <c r="I612" s="6" t="str">
        <f t="shared" si="38"/>
        <v/>
      </c>
    </row>
    <row r="613" spans="1:9" hidden="1" x14ac:dyDescent="0.3">
      <c r="A613" s="16" t="str">
        <f t="shared" si="39"/>
        <v/>
      </c>
      <c r="D613" s="14" t="str">
        <f t="shared" si="40"/>
        <v/>
      </c>
      <c r="E613" s="6" t="str">
        <f>IF(C613="","",PMT(INPUTS!$B$5,INPUTS!$B$6,-INPUTS!$B$3,0,0))</f>
        <v/>
      </c>
      <c r="F613" s="6" t="str">
        <f>IF(C613="","",IPMT(INPUTS!$B$5,C613,INPUTS!$B$6,-INPUTS!$B$3,0,0))</f>
        <v/>
      </c>
      <c r="G613" s="6" t="str">
        <f>IF(C613="","",PPMT(INPUTS!$B$5,C613,INPUTS!$B$6,-INPUTS!$B$3,0,0))</f>
        <v/>
      </c>
      <c r="H613" s="6" t="str">
        <f t="shared" si="41"/>
        <v/>
      </c>
      <c r="I613" s="6" t="str">
        <f t="shared" si="38"/>
        <v/>
      </c>
    </row>
    <row r="614" spans="1:9" hidden="1" x14ac:dyDescent="0.3">
      <c r="A614" s="16" t="str">
        <f t="shared" si="39"/>
        <v/>
      </c>
      <c r="D614" s="14" t="str">
        <f t="shared" si="40"/>
        <v/>
      </c>
      <c r="E614" s="6" t="str">
        <f>IF(C614="","",PMT(INPUTS!$B$5,INPUTS!$B$6,-INPUTS!$B$3,0,0))</f>
        <v/>
      </c>
      <c r="F614" s="6" t="str">
        <f>IF(C614="","",IPMT(INPUTS!$B$5,C614,INPUTS!$B$6,-INPUTS!$B$3,0,0))</f>
        <v/>
      </c>
      <c r="G614" s="6" t="str">
        <f>IF(C614="","",PPMT(INPUTS!$B$5,C614,INPUTS!$B$6,-INPUTS!$B$3,0,0))</f>
        <v/>
      </c>
      <c r="H614" s="6" t="str">
        <f t="shared" si="41"/>
        <v/>
      </c>
      <c r="I614" s="6" t="str">
        <f t="shared" si="38"/>
        <v/>
      </c>
    </row>
    <row r="615" spans="1:9" hidden="1" x14ac:dyDescent="0.3">
      <c r="A615" s="16" t="str">
        <f t="shared" si="39"/>
        <v/>
      </c>
      <c r="D615" s="14" t="str">
        <f t="shared" si="40"/>
        <v/>
      </c>
      <c r="E615" s="6" t="str">
        <f>IF(C615="","",PMT(INPUTS!$B$5,INPUTS!$B$6,-INPUTS!$B$3,0,0))</f>
        <v/>
      </c>
      <c r="F615" s="6" t="str">
        <f>IF(C615="","",IPMT(INPUTS!$B$5,C615,INPUTS!$B$6,-INPUTS!$B$3,0,0))</f>
        <v/>
      </c>
      <c r="G615" s="6" t="str">
        <f>IF(C615="","",PPMT(INPUTS!$B$5,C615,INPUTS!$B$6,-INPUTS!$B$3,0,0))</f>
        <v/>
      </c>
      <c r="H615" s="6" t="str">
        <f t="shared" si="41"/>
        <v/>
      </c>
      <c r="I615" s="6" t="str">
        <f t="shared" si="38"/>
        <v/>
      </c>
    </row>
    <row r="616" spans="1:9" hidden="1" x14ac:dyDescent="0.3">
      <c r="A616" s="16" t="str">
        <f t="shared" si="39"/>
        <v/>
      </c>
      <c r="D616" s="14" t="str">
        <f t="shared" si="40"/>
        <v/>
      </c>
      <c r="E616" s="6" t="str">
        <f>IF(C616="","",PMT(INPUTS!$B$5,INPUTS!$B$6,-INPUTS!$B$3,0,0))</f>
        <v/>
      </c>
      <c r="F616" s="6" t="str">
        <f>IF(C616="","",IPMT(INPUTS!$B$5,C616,INPUTS!$B$6,-INPUTS!$B$3,0,0))</f>
        <v/>
      </c>
      <c r="G616" s="6" t="str">
        <f>IF(C616="","",PPMT(INPUTS!$B$5,C616,INPUTS!$B$6,-INPUTS!$B$3,0,0))</f>
        <v/>
      </c>
      <c r="H616" s="6" t="str">
        <f t="shared" si="41"/>
        <v/>
      </c>
      <c r="I616" s="6" t="str">
        <f t="shared" si="38"/>
        <v/>
      </c>
    </row>
    <row r="617" spans="1:9" hidden="1" x14ac:dyDescent="0.3">
      <c r="A617" s="16" t="str">
        <f t="shared" si="39"/>
        <v/>
      </c>
      <c r="D617" s="14" t="str">
        <f t="shared" si="40"/>
        <v/>
      </c>
      <c r="E617" s="6" t="str">
        <f>IF(C617="","",PMT(INPUTS!$B$5,INPUTS!$B$6,-INPUTS!$B$3,0,0))</f>
        <v/>
      </c>
      <c r="F617" s="6" t="str">
        <f>IF(C617="","",IPMT(INPUTS!$B$5,C617,INPUTS!$B$6,-INPUTS!$B$3,0,0))</f>
        <v/>
      </c>
      <c r="G617" s="6" t="str">
        <f>IF(C617="","",PPMT(INPUTS!$B$5,C617,INPUTS!$B$6,-INPUTS!$B$3,0,0))</f>
        <v/>
      </c>
      <c r="H617" s="6" t="str">
        <f t="shared" si="41"/>
        <v/>
      </c>
      <c r="I617" s="6" t="str">
        <f t="shared" si="38"/>
        <v/>
      </c>
    </row>
    <row r="618" spans="1:9" hidden="1" x14ac:dyDescent="0.3">
      <c r="A618" s="16" t="str">
        <f t="shared" si="39"/>
        <v/>
      </c>
      <c r="D618" s="14" t="str">
        <f t="shared" si="40"/>
        <v/>
      </c>
      <c r="E618" s="6" t="str">
        <f>IF(C618="","",PMT(INPUTS!$B$5,INPUTS!$B$6,-INPUTS!$B$3,0,0))</f>
        <v/>
      </c>
      <c r="F618" s="6" t="str">
        <f>IF(C618="","",IPMT(INPUTS!$B$5,C618,INPUTS!$B$6,-INPUTS!$B$3,0,0))</f>
        <v/>
      </c>
      <c r="G618" s="6" t="str">
        <f>IF(C618="","",PPMT(INPUTS!$B$5,C618,INPUTS!$B$6,-INPUTS!$B$3,0,0))</f>
        <v/>
      </c>
      <c r="H618" s="6" t="str">
        <f t="shared" si="41"/>
        <v/>
      </c>
      <c r="I618" s="6" t="str">
        <f t="shared" si="38"/>
        <v/>
      </c>
    </row>
    <row r="619" spans="1:9" hidden="1" x14ac:dyDescent="0.3">
      <c r="A619" s="16" t="str">
        <f t="shared" si="39"/>
        <v/>
      </c>
      <c r="D619" s="14" t="str">
        <f t="shared" si="40"/>
        <v/>
      </c>
      <c r="E619" s="6" t="str">
        <f>IF(C619="","",PMT(INPUTS!$B$5,INPUTS!$B$6,-INPUTS!$B$3,0,0))</f>
        <v/>
      </c>
      <c r="F619" s="6" t="str">
        <f>IF(C619="","",IPMT(INPUTS!$B$5,C619,INPUTS!$B$6,-INPUTS!$B$3,0,0))</f>
        <v/>
      </c>
      <c r="G619" s="6" t="str">
        <f>IF(C619="","",PPMT(INPUTS!$B$5,C619,INPUTS!$B$6,-INPUTS!$B$3,0,0))</f>
        <v/>
      </c>
      <c r="H619" s="6" t="str">
        <f t="shared" si="41"/>
        <v/>
      </c>
      <c r="I619" s="6" t="str">
        <f t="shared" si="38"/>
        <v/>
      </c>
    </row>
    <row r="620" spans="1:9" hidden="1" x14ac:dyDescent="0.3">
      <c r="A620" s="16" t="str">
        <f t="shared" si="39"/>
        <v/>
      </c>
      <c r="D620" s="14" t="str">
        <f t="shared" si="40"/>
        <v/>
      </c>
      <c r="E620" s="6" t="str">
        <f>IF(C620="","",PMT(INPUTS!$B$5,INPUTS!$B$6,-INPUTS!$B$3,0,0))</f>
        <v/>
      </c>
      <c r="F620" s="6" t="str">
        <f>IF(C620="","",IPMT(INPUTS!$B$5,C620,INPUTS!$B$6,-INPUTS!$B$3,0,0))</f>
        <v/>
      </c>
      <c r="G620" s="6" t="str">
        <f>IF(C620="","",PPMT(INPUTS!$B$5,C620,INPUTS!$B$6,-INPUTS!$B$3,0,0))</f>
        <v/>
      </c>
      <c r="H620" s="6" t="str">
        <f t="shared" si="41"/>
        <v/>
      </c>
      <c r="I620" s="6" t="str">
        <f t="shared" si="38"/>
        <v/>
      </c>
    </row>
    <row r="621" spans="1:9" hidden="1" x14ac:dyDescent="0.3">
      <c r="A621" s="16" t="str">
        <f t="shared" si="39"/>
        <v/>
      </c>
      <c r="D621" s="14" t="str">
        <f t="shared" si="40"/>
        <v/>
      </c>
      <c r="E621" s="6" t="str">
        <f>IF(C621="","",PMT(INPUTS!$B$5,INPUTS!$B$6,-INPUTS!$B$3,0,0))</f>
        <v/>
      </c>
      <c r="F621" s="6" t="str">
        <f>IF(C621="","",IPMT(INPUTS!$B$5,C621,INPUTS!$B$6,-INPUTS!$B$3,0,0))</f>
        <v/>
      </c>
      <c r="G621" s="6" t="str">
        <f>IF(C621="","",PPMT(INPUTS!$B$5,C621,INPUTS!$B$6,-INPUTS!$B$3,0,0))</f>
        <v/>
      </c>
      <c r="H621" s="6" t="str">
        <f t="shared" si="41"/>
        <v/>
      </c>
      <c r="I621" s="6" t="str">
        <f t="shared" si="38"/>
        <v/>
      </c>
    </row>
    <row r="622" spans="1:9" hidden="1" x14ac:dyDescent="0.3">
      <c r="A622" s="16" t="str">
        <f t="shared" si="39"/>
        <v/>
      </c>
      <c r="D622" s="14" t="str">
        <f t="shared" si="40"/>
        <v/>
      </c>
      <c r="E622" s="6" t="str">
        <f>IF(C622="","",PMT(INPUTS!$B$5,INPUTS!$B$6,-INPUTS!$B$3,0,0))</f>
        <v/>
      </c>
      <c r="F622" s="6" t="str">
        <f>IF(C622="","",IPMT(INPUTS!$B$5,C622,INPUTS!$B$6,-INPUTS!$B$3,0,0))</f>
        <v/>
      </c>
      <c r="G622" s="6" t="str">
        <f>IF(C622="","",PPMT(INPUTS!$B$5,C622,INPUTS!$B$6,-INPUTS!$B$3,0,0))</f>
        <v/>
      </c>
      <c r="H622" s="6" t="str">
        <f t="shared" si="41"/>
        <v/>
      </c>
      <c r="I622" s="6" t="str">
        <f t="shared" si="38"/>
        <v/>
      </c>
    </row>
    <row r="623" spans="1:9" hidden="1" x14ac:dyDescent="0.3">
      <c r="A623" s="16" t="str">
        <f t="shared" si="39"/>
        <v/>
      </c>
      <c r="D623" s="14" t="str">
        <f t="shared" si="40"/>
        <v/>
      </c>
      <c r="E623" s="6" t="str">
        <f>IF(C623="","",PMT(INPUTS!$B$5,INPUTS!$B$6,-INPUTS!$B$3,0,0))</f>
        <v/>
      </c>
      <c r="F623" s="6" t="str">
        <f>IF(C623="","",IPMT(INPUTS!$B$5,C623,INPUTS!$B$6,-INPUTS!$B$3,0,0))</f>
        <v/>
      </c>
      <c r="G623" s="6" t="str">
        <f>IF(C623="","",PPMT(INPUTS!$B$5,C623,INPUTS!$B$6,-INPUTS!$B$3,0,0))</f>
        <v/>
      </c>
      <c r="H623" s="6" t="str">
        <f t="shared" si="41"/>
        <v/>
      </c>
      <c r="I623" s="6" t="str">
        <f t="shared" si="38"/>
        <v/>
      </c>
    </row>
    <row r="624" spans="1:9" hidden="1" x14ac:dyDescent="0.3">
      <c r="A624" s="16" t="str">
        <f t="shared" si="39"/>
        <v/>
      </c>
      <c r="D624" s="14" t="str">
        <f t="shared" si="40"/>
        <v/>
      </c>
      <c r="E624" s="6" t="str">
        <f>IF(C624="","",PMT(INPUTS!$B$5,INPUTS!$B$6,-INPUTS!$B$3,0,0))</f>
        <v/>
      </c>
      <c r="F624" s="6" t="str">
        <f>IF(C624="","",IPMT(INPUTS!$B$5,C624,INPUTS!$B$6,-INPUTS!$B$3,0,0))</f>
        <v/>
      </c>
      <c r="G624" s="6" t="str">
        <f>IF(C624="","",PPMT(INPUTS!$B$5,C624,INPUTS!$B$6,-INPUTS!$B$3,0,0))</f>
        <v/>
      </c>
      <c r="H624" s="6" t="str">
        <f t="shared" si="41"/>
        <v/>
      </c>
      <c r="I624" s="6" t="str">
        <f t="shared" ref="I624:I687" si="42">IF(C624="","",H624-G624)</f>
        <v/>
      </c>
    </row>
    <row r="625" spans="1:9" hidden="1" x14ac:dyDescent="0.3">
      <c r="A625" s="16" t="str">
        <f t="shared" si="39"/>
        <v/>
      </c>
      <c r="D625" s="14" t="str">
        <f t="shared" si="40"/>
        <v/>
      </c>
      <c r="E625" s="6" t="str">
        <f>IF(C625="","",PMT(INPUTS!$B$5,INPUTS!$B$6,-INPUTS!$B$3,0,0))</f>
        <v/>
      </c>
      <c r="F625" s="6" t="str">
        <f>IF(C625="","",IPMT(INPUTS!$B$5,C625,INPUTS!$B$6,-INPUTS!$B$3,0,0))</f>
        <v/>
      </c>
      <c r="G625" s="6" t="str">
        <f>IF(C625="","",PPMT(INPUTS!$B$5,C625,INPUTS!$B$6,-INPUTS!$B$3,0,0))</f>
        <v/>
      </c>
      <c r="H625" s="6" t="str">
        <f t="shared" si="41"/>
        <v/>
      </c>
      <c r="I625" s="6" t="str">
        <f t="shared" si="42"/>
        <v/>
      </c>
    </row>
    <row r="626" spans="1:9" hidden="1" x14ac:dyDescent="0.3">
      <c r="A626" s="16" t="str">
        <f t="shared" si="39"/>
        <v/>
      </c>
      <c r="D626" s="14" t="str">
        <f t="shared" si="40"/>
        <v/>
      </c>
      <c r="E626" s="6" t="str">
        <f>IF(C626="","",PMT(INPUTS!$B$5,INPUTS!$B$6,-INPUTS!$B$3,0,0))</f>
        <v/>
      </c>
      <c r="F626" s="6" t="str">
        <f>IF(C626="","",IPMT(INPUTS!$B$5,C626,INPUTS!$B$6,-INPUTS!$B$3,0,0))</f>
        <v/>
      </c>
      <c r="G626" s="6" t="str">
        <f>IF(C626="","",PPMT(INPUTS!$B$5,C626,INPUTS!$B$6,-INPUTS!$B$3,0,0))</f>
        <v/>
      </c>
      <c r="H626" s="6" t="str">
        <f t="shared" si="41"/>
        <v/>
      </c>
      <c r="I626" s="6" t="str">
        <f t="shared" si="42"/>
        <v/>
      </c>
    </row>
    <row r="627" spans="1:9" hidden="1" x14ac:dyDescent="0.3">
      <c r="A627" s="16" t="str">
        <f t="shared" si="39"/>
        <v/>
      </c>
      <c r="D627" s="14" t="str">
        <f t="shared" si="40"/>
        <v/>
      </c>
      <c r="E627" s="6" t="str">
        <f>IF(C627="","",PMT(INPUTS!$B$5,INPUTS!$B$6,-INPUTS!$B$3,0,0))</f>
        <v/>
      </c>
      <c r="F627" s="6" t="str">
        <f>IF(C627="","",IPMT(INPUTS!$B$5,C627,INPUTS!$B$6,-INPUTS!$B$3,0,0))</f>
        <v/>
      </c>
      <c r="G627" s="6" t="str">
        <f>IF(C627="","",PPMT(INPUTS!$B$5,C627,INPUTS!$B$6,-INPUTS!$B$3,0,0))</f>
        <v/>
      </c>
      <c r="H627" s="6" t="str">
        <f t="shared" si="41"/>
        <v/>
      </c>
      <c r="I627" s="6" t="str">
        <f t="shared" si="42"/>
        <v/>
      </c>
    </row>
    <row r="628" spans="1:9" hidden="1" x14ac:dyDescent="0.3">
      <c r="A628" s="16" t="str">
        <f t="shared" si="39"/>
        <v/>
      </c>
      <c r="D628" s="14" t="str">
        <f t="shared" si="40"/>
        <v/>
      </c>
      <c r="E628" s="6" t="str">
        <f>IF(C628="","",PMT(INPUTS!$B$5,INPUTS!$B$6,-INPUTS!$B$3,0,0))</f>
        <v/>
      </c>
      <c r="F628" s="6" t="str">
        <f>IF(C628="","",IPMT(INPUTS!$B$5,C628,INPUTS!$B$6,-INPUTS!$B$3,0,0))</f>
        <v/>
      </c>
      <c r="G628" s="6" t="str">
        <f>IF(C628="","",PPMT(INPUTS!$B$5,C628,INPUTS!$B$6,-INPUTS!$B$3,0,0))</f>
        <v/>
      </c>
      <c r="H628" s="6" t="str">
        <f t="shared" si="41"/>
        <v/>
      </c>
      <c r="I628" s="6" t="str">
        <f t="shared" si="42"/>
        <v/>
      </c>
    </row>
    <row r="629" spans="1:9" hidden="1" x14ac:dyDescent="0.3">
      <c r="A629" s="16" t="str">
        <f t="shared" si="39"/>
        <v/>
      </c>
      <c r="D629" s="14" t="str">
        <f t="shared" si="40"/>
        <v/>
      </c>
      <c r="E629" s="6" t="str">
        <f>IF(C629="","",PMT(INPUTS!$B$5,INPUTS!$B$6,-INPUTS!$B$3,0,0))</f>
        <v/>
      </c>
      <c r="F629" s="6" t="str">
        <f>IF(C629="","",IPMT(INPUTS!$B$5,C629,INPUTS!$B$6,-INPUTS!$B$3,0,0))</f>
        <v/>
      </c>
      <c r="G629" s="6" t="str">
        <f>IF(C629="","",PPMT(INPUTS!$B$5,C629,INPUTS!$B$6,-INPUTS!$B$3,0,0))</f>
        <v/>
      </c>
      <c r="H629" s="6" t="str">
        <f t="shared" si="41"/>
        <v/>
      </c>
      <c r="I629" s="6" t="str">
        <f t="shared" si="42"/>
        <v/>
      </c>
    </row>
    <row r="630" spans="1:9" hidden="1" x14ac:dyDescent="0.3">
      <c r="A630" s="16" t="str">
        <f t="shared" si="39"/>
        <v/>
      </c>
      <c r="D630" s="14" t="str">
        <f t="shared" si="40"/>
        <v/>
      </c>
      <c r="E630" s="6" t="str">
        <f>IF(C630="","",PMT(INPUTS!$B$5,INPUTS!$B$6,-INPUTS!$B$3,0,0))</f>
        <v/>
      </c>
      <c r="F630" s="6" t="str">
        <f>IF(C630="","",IPMT(INPUTS!$B$5,C630,INPUTS!$B$6,-INPUTS!$B$3,0,0))</f>
        <v/>
      </c>
      <c r="G630" s="6" t="str">
        <f>IF(C630="","",PPMT(INPUTS!$B$5,C630,INPUTS!$B$6,-INPUTS!$B$3,0,0))</f>
        <v/>
      </c>
      <c r="H630" s="6" t="str">
        <f t="shared" si="41"/>
        <v/>
      </c>
      <c r="I630" s="6" t="str">
        <f t="shared" si="42"/>
        <v/>
      </c>
    </row>
    <row r="631" spans="1:9" hidden="1" x14ac:dyDescent="0.3">
      <c r="A631" s="16" t="str">
        <f t="shared" si="39"/>
        <v/>
      </c>
      <c r="D631" s="14" t="str">
        <f t="shared" si="40"/>
        <v/>
      </c>
      <c r="E631" s="6" t="str">
        <f>IF(C631="","",PMT(INPUTS!$B$5,INPUTS!$B$6,-INPUTS!$B$3,0,0))</f>
        <v/>
      </c>
      <c r="F631" s="6" t="str">
        <f>IF(C631="","",IPMT(INPUTS!$B$5,C631,INPUTS!$B$6,-INPUTS!$B$3,0,0))</f>
        <v/>
      </c>
      <c r="G631" s="6" t="str">
        <f>IF(C631="","",PPMT(INPUTS!$B$5,C631,INPUTS!$B$6,-INPUTS!$B$3,0,0))</f>
        <v/>
      </c>
      <c r="H631" s="6" t="str">
        <f t="shared" si="41"/>
        <v/>
      </c>
      <c r="I631" s="6" t="str">
        <f t="shared" si="42"/>
        <v/>
      </c>
    </row>
    <row r="632" spans="1:9" hidden="1" x14ac:dyDescent="0.3">
      <c r="A632" s="16" t="str">
        <f t="shared" si="39"/>
        <v/>
      </c>
      <c r="D632" s="14" t="str">
        <f t="shared" si="40"/>
        <v/>
      </c>
      <c r="E632" s="6" t="str">
        <f>IF(C632="","",PMT(INPUTS!$B$5,INPUTS!$B$6,-INPUTS!$B$3,0,0))</f>
        <v/>
      </c>
      <c r="F632" s="6" t="str">
        <f>IF(C632="","",IPMT(INPUTS!$B$5,C632,INPUTS!$B$6,-INPUTS!$B$3,0,0))</f>
        <v/>
      </c>
      <c r="G632" s="6" t="str">
        <f>IF(C632="","",PPMT(INPUTS!$B$5,C632,INPUTS!$B$6,-INPUTS!$B$3,0,0))</f>
        <v/>
      </c>
      <c r="H632" s="6" t="str">
        <f t="shared" si="41"/>
        <v/>
      </c>
      <c r="I632" s="6" t="str">
        <f t="shared" si="42"/>
        <v/>
      </c>
    </row>
    <row r="633" spans="1:9" hidden="1" x14ac:dyDescent="0.3">
      <c r="A633" s="16" t="str">
        <f t="shared" si="39"/>
        <v/>
      </c>
      <c r="D633" s="14" t="str">
        <f t="shared" si="40"/>
        <v/>
      </c>
      <c r="E633" s="6" t="str">
        <f>IF(C633="","",PMT(INPUTS!$B$5,INPUTS!$B$6,-INPUTS!$B$3,0,0))</f>
        <v/>
      </c>
      <c r="F633" s="6" t="str">
        <f>IF(C633="","",IPMT(INPUTS!$B$5,C633,INPUTS!$B$6,-INPUTS!$B$3,0,0))</f>
        <v/>
      </c>
      <c r="G633" s="6" t="str">
        <f>IF(C633="","",PPMT(INPUTS!$B$5,C633,INPUTS!$B$6,-INPUTS!$B$3,0,0))</f>
        <v/>
      </c>
      <c r="H633" s="6" t="str">
        <f t="shared" si="41"/>
        <v/>
      </c>
      <c r="I633" s="6" t="str">
        <f t="shared" si="42"/>
        <v/>
      </c>
    </row>
    <row r="634" spans="1:9" hidden="1" x14ac:dyDescent="0.3">
      <c r="A634" s="16" t="str">
        <f t="shared" si="39"/>
        <v/>
      </c>
      <c r="D634" s="14" t="str">
        <f t="shared" si="40"/>
        <v/>
      </c>
      <c r="E634" s="6" t="str">
        <f>IF(C634="","",PMT(INPUTS!$B$5,INPUTS!$B$6,-INPUTS!$B$3,0,0))</f>
        <v/>
      </c>
      <c r="F634" s="6" t="str">
        <f>IF(C634="","",IPMT(INPUTS!$B$5,C634,INPUTS!$B$6,-INPUTS!$B$3,0,0))</f>
        <v/>
      </c>
      <c r="G634" s="6" t="str">
        <f>IF(C634="","",PPMT(INPUTS!$B$5,C634,INPUTS!$B$6,-INPUTS!$B$3,0,0))</f>
        <v/>
      </c>
      <c r="H634" s="6" t="str">
        <f t="shared" si="41"/>
        <v/>
      </c>
      <c r="I634" s="6" t="str">
        <f t="shared" si="42"/>
        <v/>
      </c>
    </row>
    <row r="635" spans="1:9" hidden="1" x14ac:dyDescent="0.3">
      <c r="A635" s="16" t="str">
        <f t="shared" si="39"/>
        <v/>
      </c>
      <c r="D635" s="14" t="str">
        <f t="shared" si="40"/>
        <v/>
      </c>
      <c r="E635" s="6" t="str">
        <f>IF(C635="","",PMT(INPUTS!$B$5,INPUTS!$B$6,-INPUTS!$B$3,0,0))</f>
        <v/>
      </c>
      <c r="F635" s="6" t="str">
        <f>IF(C635="","",IPMT(INPUTS!$B$5,C635,INPUTS!$B$6,-INPUTS!$B$3,0,0))</f>
        <v/>
      </c>
      <c r="G635" s="6" t="str">
        <f>IF(C635="","",PPMT(INPUTS!$B$5,C635,INPUTS!$B$6,-INPUTS!$B$3,0,0))</f>
        <v/>
      </c>
      <c r="H635" s="6" t="str">
        <f t="shared" si="41"/>
        <v/>
      </c>
      <c r="I635" s="6" t="str">
        <f t="shared" si="42"/>
        <v/>
      </c>
    </row>
    <row r="636" spans="1:9" hidden="1" x14ac:dyDescent="0.3">
      <c r="A636" s="16" t="str">
        <f t="shared" si="39"/>
        <v/>
      </c>
      <c r="D636" s="14" t="str">
        <f t="shared" si="40"/>
        <v/>
      </c>
      <c r="E636" s="6" t="str">
        <f>IF(C636="","",PMT(INPUTS!$B$5,INPUTS!$B$6,-INPUTS!$B$3,0,0))</f>
        <v/>
      </c>
      <c r="F636" s="6" t="str">
        <f>IF(C636="","",IPMT(INPUTS!$B$5,C636,INPUTS!$B$6,-INPUTS!$B$3,0,0))</f>
        <v/>
      </c>
      <c r="G636" s="6" t="str">
        <f>IF(C636="","",PPMT(INPUTS!$B$5,C636,INPUTS!$B$6,-INPUTS!$B$3,0,0))</f>
        <v/>
      </c>
      <c r="H636" s="6" t="str">
        <f t="shared" si="41"/>
        <v/>
      </c>
      <c r="I636" s="6" t="str">
        <f t="shared" si="42"/>
        <v/>
      </c>
    </row>
    <row r="637" spans="1:9" hidden="1" x14ac:dyDescent="0.3">
      <c r="A637" s="16" t="str">
        <f t="shared" si="39"/>
        <v/>
      </c>
      <c r="D637" s="14" t="str">
        <f t="shared" si="40"/>
        <v/>
      </c>
      <c r="E637" s="6" t="str">
        <f>IF(C637="","",PMT(INPUTS!$B$5,INPUTS!$B$6,-INPUTS!$B$3,0,0))</f>
        <v/>
      </c>
      <c r="F637" s="6" t="str">
        <f>IF(C637="","",IPMT(INPUTS!$B$5,C637,INPUTS!$B$6,-INPUTS!$B$3,0,0))</f>
        <v/>
      </c>
      <c r="G637" s="6" t="str">
        <f>IF(C637="","",PPMT(INPUTS!$B$5,C637,INPUTS!$B$6,-INPUTS!$B$3,0,0))</f>
        <v/>
      </c>
      <c r="H637" s="6" t="str">
        <f t="shared" si="41"/>
        <v/>
      </c>
      <c r="I637" s="6" t="str">
        <f t="shared" si="42"/>
        <v/>
      </c>
    </row>
    <row r="638" spans="1:9" hidden="1" x14ac:dyDescent="0.3">
      <c r="A638" s="16" t="str">
        <f t="shared" si="39"/>
        <v/>
      </c>
      <c r="D638" s="14" t="str">
        <f t="shared" si="40"/>
        <v/>
      </c>
      <c r="E638" s="6" t="str">
        <f>IF(C638="","",PMT(INPUTS!$B$5,INPUTS!$B$6,-INPUTS!$B$3,0,0))</f>
        <v/>
      </c>
      <c r="F638" s="6" t="str">
        <f>IF(C638="","",IPMT(INPUTS!$B$5,C638,INPUTS!$B$6,-INPUTS!$B$3,0,0))</f>
        <v/>
      </c>
      <c r="G638" s="6" t="str">
        <f>IF(C638="","",PPMT(INPUTS!$B$5,C638,INPUTS!$B$6,-INPUTS!$B$3,0,0))</f>
        <v/>
      </c>
      <c r="H638" s="6" t="str">
        <f t="shared" si="41"/>
        <v/>
      </c>
      <c r="I638" s="6" t="str">
        <f t="shared" si="42"/>
        <v/>
      </c>
    </row>
    <row r="639" spans="1:9" hidden="1" x14ac:dyDescent="0.3">
      <c r="A639" s="16" t="str">
        <f t="shared" si="39"/>
        <v/>
      </c>
      <c r="D639" s="14" t="str">
        <f t="shared" si="40"/>
        <v/>
      </c>
      <c r="E639" s="6" t="str">
        <f>IF(C639="","",PMT(INPUTS!$B$5,INPUTS!$B$6,-INPUTS!$B$3,0,0))</f>
        <v/>
      </c>
      <c r="F639" s="6" t="str">
        <f>IF(C639="","",IPMT(INPUTS!$B$5,C639,INPUTS!$B$6,-INPUTS!$B$3,0,0))</f>
        <v/>
      </c>
      <c r="G639" s="6" t="str">
        <f>IF(C639="","",PPMT(INPUTS!$B$5,C639,INPUTS!$B$6,-INPUTS!$B$3,0,0))</f>
        <v/>
      </c>
      <c r="H639" s="6" t="str">
        <f t="shared" si="41"/>
        <v/>
      </c>
      <c r="I639" s="6" t="str">
        <f t="shared" si="42"/>
        <v/>
      </c>
    </row>
    <row r="640" spans="1:9" hidden="1" x14ac:dyDescent="0.3">
      <c r="A640" s="16" t="str">
        <f t="shared" si="39"/>
        <v/>
      </c>
      <c r="D640" s="14" t="str">
        <f t="shared" si="40"/>
        <v/>
      </c>
      <c r="E640" s="6" t="str">
        <f>IF(C640="","",PMT(INPUTS!$B$5,INPUTS!$B$6,-INPUTS!$B$3,0,0))</f>
        <v/>
      </c>
      <c r="F640" s="6" t="str">
        <f>IF(C640="","",IPMT(INPUTS!$B$5,C640,INPUTS!$B$6,-INPUTS!$B$3,0,0))</f>
        <v/>
      </c>
      <c r="G640" s="6" t="str">
        <f>IF(C640="","",PPMT(INPUTS!$B$5,C640,INPUTS!$B$6,-INPUTS!$B$3,0,0))</f>
        <v/>
      </c>
      <c r="H640" s="6" t="str">
        <f t="shared" si="41"/>
        <v/>
      </c>
      <c r="I640" s="6" t="str">
        <f t="shared" si="42"/>
        <v/>
      </c>
    </row>
    <row r="641" spans="1:9" hidden="1" x14ac:dyDescent="0.3">
      <c r="A641" s="16" t="str">
        <f t="shared" si="39"/>
        <v/>
      </c>
      <c r="D641" s="14" t="str">
        <f t="shared" si="40"/>
        <v/>
      </c>
      <c r="E641" s="6" t="str">
        <f>IF(C641="","",PMT(INPUTS!$B$5,INPUTS!$B$6,-INPUTS!$B$3,0,0))</f>
        <v/>
      </c>
      <c r="F641" s="6" t="str">
        <f>IF(C641="","",IPMT(INPUTS!$B$5,C641,INPUTS!$B$6,-INPUTS!$B$3,0,0))</f>
        <v/>
      </c>
      <c r="G641" s="6" t="str">
        <f>IF(C641="","",PPMT(INPUTS!$B$5,C641,INPUTS!$B$6,-INPUTS!$B$3,0,0))</f>
        <v/>
      </c>
      <c r="H641" s="6" t="str">
        <f t="shared" si="41"/>
        <v/>
      </c>
      <c r="I641" s="6" t="str">
        <f t="shared" si="42"/>
        <v/>
      </c>
    </row>
    <row r="642" spans="1:9" hidden="1" x14ac:dyDescent="0.3">
      <c r="A642" s="16" t="str">
        <f t="shared" si="39"/>
        <v/>
      </c>
      <c r="D642" s="14" t="str">
        <f t="shared" si="40"/>
        <v/>
      </c>
      <c r="E642" s="6" t="str">
        <f>IF(C642="","",PMT(INPUTS!$B$5,INPUTS!$B$6,-INPUTS!$B$3,0,0))</f>
        <v/>
      </c>
      <c r="F642" s="6" t="str">
        <f>IF(C642="","",IPMT(INPUTS!$B$5,C642,INPUTS!$B$6,-INPUTS!$B$3,0,0))</f>
        <v/>
      </c>
      <c r="G642" s="6" t="str">
        <f>IF(C642="","",PPMT(INPUTS!$B$5,C642,INPUTS!$B$6,-INPUTS!$B$3,0,0))</f>
        <v/>
      </c>
      <c r="H642" s="6" t="str">
        <f t="shared" si="41"/>
        <v/>
      </c>
      <c r="I642" s="6" t="str">
        <f t="shared" si="42"/>
        <v/>
      </c>
    </row>
    <row r="643" spans="1:9" hidden="1" x14ac:dyDescent="0.3">
      <c r="A643" s="16" t="str">
        <f t="shared" si="39"/>
        <v/>
      </c>
      <c r="D643" s="14" t="str">
        <f t="shared" si="40"/>
        <v/>
      </c>
      <c r="E643" s="6" t="str">
        <f>IF(C643="","",PMT(INPUTS!$B$5,INPUTS!$B$6,-INPUTS!$B$3,0,0))</f>
        <v/>
      </c>
      <c r="F643" s="6" t="str">
        <f>IF(C643="","",IPMT(INPUTS!$B$5,C643,INPUTS!$B$6,-INPUTS!$B$3,0,0))</f>
        <v/>
      </c>
      <c r="G643" s="6" t="str">
        <f>IF(C643="","",PPMT(INPUTS!$B$5,C643,INPUTS!$B$6,-INPUTS!$B$3,0,0))</f>
        <v/>
      </c>
      <c r="H643" s="6" t="str">
        <f t="shared" si="41"/>
        <v/>
      </c>
      <c r="I643" s="6" t="str">
        <f t="shared" si="42"/>
        <v/>
      </c>
    </row>
    <row r="644" spans="1:9" hidden="1" x14ac:dyDescent="0.3">
      <c r="A644" s="16" t="str">
        <f t="shared" si="39"/>
        <v/>
      </c>
      <c r="D644" s="14" t="str">
        <f t="shared" si="40"/>
        <v/>
      </c>
      <c r="E644" s="6" t="str">
        <f>IF(C644="","",PMT(INPUTS!$B$5,INPUTS!$B$6,-INPUTS!$B$3,0,0))</f>
        <v/>
      </c>
      <c r="F644" s="6" t="str">
        <f>IF(C644="","",IPMT(INPUTS!$B$5,C644,INPUTS!$B$6,-INPUTS!$B$3,0,0))</f>
        <v/>
      </c>
      <c r="G644" s="6" t="str">
        <f>IF(C644="","",PPMT(INPUTS!$B$5,C644,INPUTS!$B$6,-INPUTS!$B$3,0,0))</f>
        <v/>
      </c>
      <c r="H644" s="6" t="str">
        <f t="shared" si="41"/>
        <v/>
      </c>
      <c r="I644" s="6" t="str">
        <f t="shared" si="42"/>
        <v/>
      </c>
    </row>
    <row r="645" spans="1:9" hidden="1" x14ac:dyDescent="0.3">
      <c r="A645" s="16" t="str">
        <f t="shared" si="39"/>
        <v/>
      </c>
      <c r="D645" s="14" t="str">
        <f t="shared" si="40"/>
        <v/>
      </c>
      <c r="E645" s="6" t="str">
        <f>IF(C645="","",PMT(INPUTS!$B$5,INPUTS!$B$6,-INPUTS!$B$3,0,0))</f>
        <v/>
      </c>
      <c r="F645" s="6" t="str">
        <f>IF(C645="","",IPMT(INPUTS!$B$5,C645,INPUTS!$B$6,-INPUTS!$B$3,0,0))</f>
        <v/>
      </c>
      <c r="G645" s="6" t="str">
        <f>IF(C645="","",PPMT(INPUTS!$B$5,C645,INPUTS!$B$6,-INPUTS!$B$3,0,0))</f>
        <v/>
      </c>
      <c r="H645" s="6" t="str">
        <f t="shared" si="41"/>
        <v/>
      </c>
      <c r="I645" s="6" t="str">
        <f t="shared" si="42"/>
        <v/>
      </c>
    </row>
    <row r="646" spans="1:9" hidden="1" x14ac:dyDescent="0.3">
      <c r="A646" s="16" t="str">
        <f t="shared" si="39"/>
        <v/>
      </c>
      <c r="D646" s="14" t="str">
        <f t="shared" si="40"/>
        <v/>
      </c>
      <c r="E646" s="6" t="str">
        <f>IF(C646="","",PMT(INPUTS!$B$5,INPUTS!$B$6,-INPUTS!$B$3,0,0))</f>
        <v/>
      </c>
      <c r="F646" s="6" t="str">
        <f>IF(C646="","",IPMT(INPUTS!$B$5,C646,INPUTS!$B$6,-INPUTS!$B$3,0,0))</f>
        <v/>
      </c>
      <c r="G646" s="6" t="str">
        <f>IF(C646="","",PPMT(INPUTS!$B$5,C646,INPUTS!$B$6,-INPUTS!$B$3,0,0))</f>
        <v/>
      </c>
      <c r="H646" s="6" t="str">
        <f t="shared" si="41"/>
        <v/>
      </c>
      <c r="I646" s="6" t="str">
        <f t="shared" si="42"/>
        <v/>
      </c>
    </row>
    <row r="647" spans="1:9" hidden="1" x14ac:dyDescent="0.3">
      <c r="A647" s="16" t="str">
        <f t="shared" si="39"/>
        <v/>
      </c>
      <c r="D647" s="14" t="str">
        <f t="shared" si="40"/>
        <v/>
      </c>
      <c r="E647" s="6" t="str">
        <f>IF(C647="","",PMT(INPUTS!$B$5,INPUTS!$B$6,-INPUTS!$B$3,0,0))</f>
        <v/>
      </c>
      <c r="F647" s="6" t="str">
        <f>IF(C647="","",IPMT(INPUTS!$B$5,C647,INPUTS!$B$6,-INPUTS!$B$3,0,0))</f>
        <v/>
      </c>
      <c r="G647" s="6" t="str">
        <f>IF(C647="","",PPMT(INPUTS!$B$5,C647,INPUTS!$B$6,-INPUTS!$B$3,0,0))</f>
        <v/>
      </c>
      <c r="H647" s="6" t="str">
        <f t="shared" si="41"/>
        <v/>
      </c>
      <c r="I647" s="6" t="str">
        <f t="shared" si="42"/>
        <v/>
      </c>
    </row>
    <row r="648" spans="1:9" hidden="1" x14ac:dyDescent="0.3">
      <c r="A648" s="16" t="str">
        <f t="shared" si="39"/>
        <v/>
      </c>
      <c r="D648" s="14" t="str">
        <f t="shared" si="40"/>
        <v/>
      </c>
      <c r="E648" s="6" t="str">
        <f>IF(C648="","",PMT(INPUTS!$B$5,INPUTS!$B$6,-INPUTS!$B$3,0,0))</f>
        <v/>
      </c>
      <c r="F648" s="6" t="str">
        <f>IF(C648="","",IPMT(INPUTS!$B$5,C648,INPUTS!$B$6,-INPUTS!$B$3,0,0))</f>
        <v/>
      </c>
      <c r="G648" s="6" t="str">
        <f>IF(C648="","",PPMT(INPUTS!$B$5,C648,INPUTS!$B$6,-INPUTS!$B$3,0,0))</f>
        <v/>
      </c>
      <c r="H648" s="6" t="str">
        <f t="shared" si="41"/>
        <v/>
      </c>
      <c r="I648" s="6" t="str">
        <f t="shared" si="42"/>
        <v/>
      </c>
    </row>
    <row r="649" spans="1:9" hidden="1" x14ac:dyDescent="0.3">
      <c r="A649" s="16" t="str">
        <f t="shared" si="39"/>
        <v/>
      </c>
      <c r="D649" s="14" t="str">
        <f t="shared" si="40"/>
        <v/>
      </c>
      <c r="E649" s="6" t="str">
        <f>IF(C649="","",PMT(INPUTS!$B$5,INPUTS!$B$6,-INPUTS!$B$3,0,0))</f>
        <v/>
      </c>
      <c r="F649" s="6" t="str">
        <f>IF(C649="","",IPMT(INPUTS!$B$5,C649,INPUTS!$B$6,-INPUTS!$B$3,0,0))</f>
        <v/>
      </c>
      <c r="G649" s="6" t="str">
        <f>IF(C649="","",PPMT(INPUTS!$B$5,C649,INPUTS!$B$6,-INPUTS!$B$3,0,0))</f>
        <v/>
      </c>
      <c r="H649" s="6" t="str">
        <f t="shared" si="41"/>
        <v/>
      </c>
      <c r="I649" s="6" t="str">
        <f t="shared" si="42"/>
        <v/>
      </c>
    </row>
    <row r="650" spans="1:9" hidden="1" x14ac:dyDescent="0.3">
      <c r="A650" s="16" t="str">
        <f t="shared" si="39"/>
        <v/>
      </c>
      <c r="D650" s="14" t="str">
        <f t="shared" si="40"/>
        <v/>
      </c>
      <c r="E650" s="6" t="str">
        <f>IF(C650="","",PMT(INPUTS!$B$5,INPUTS!$B$6,-INPUTS!$B$3,0,0))</f>
        <v/>
      </c>
      <c r="F650" s="6" t="str">
        <f>IF(C650="","",IPMT(INPUTS!$B$5,C650,INPUTS!$B$6,-INPUTS!$B$3,0,0))</f>
        <v/>
      </c>
      <c r="G650" s="6" t="str">
        <f>IF(C650="","",PPMT(INPUTS!$B$5,C650,INPUTS!$B$6,-INPUTS!$B$3,0,0))</f>
        <v/>
      </c>
      <c r="H650" s="6" t="str">
        <f t="shared" si="41"/>
        <v/>
      </c>
      <c r="I650" s="6" t="str">
        <f t="shared" si="42"/>
        <v/>
      </c>
    </row>
    <row r="651" spans="1:9" hidden="1" x14ac:dyDescent="0.3">
      <c r="A651" s="16" t="str">
        <f t="shared" si="39"/>
        <v/>
      </c>
      <c r="D651" s="14" t="str">
        <f t="shared" si="40"/>
        <v/>
      </c>
      <c r="E651" s="6" t="str">
        <f>IF(C651="","",PMT(INPUTS!$B$5,INPUTS!$B$6,-INPUTS!$B$3,0,0))</f>
        <v/>
      </c>
      <c r="F651" s="6" t="str">
        <f>IF(C651="","",IPMT(INPUTS!$B$5,C651,INPUTS!$B$6,-INPUTS!$B$3,0,0))</f>
        <v/>
      </c>
      <c r="G651" s="6" t="str">
        <f>IF(C651="","",PPMT(INPUTS!$B$5,C651,INPUTS!$B$6,-INPUTS!$B$3,0,0))</f>
        <v/>
      </c>
      <c r="H651" s="6" t="str">
        <f t="shared" si="41"/>
        <v/>
      </c>
      <c r="I651" s="6" t="str">
        <f t="shared" si="42"/>
        <v/>
      </c>
    </row>
    <row r="652" spans="1:9" hidden="1" x14ac:dyDescent="0.3">
      <c r="A652" s="16" t="str">
        <f t="shared" si="39"/>
        <v/>
      </c>
      <c r="D652" s="14" t="str">
        <f t="shared" si="40"/>
        <v/>
      </c>
      <c r="E652" s="6" t="str">
        <f>IF(C652="","",PMT(INPUTS!$B$5,INPUTS!$B$6,-INPUTS!$B$3,0,0))</f>
        <v/>
      </c>
      <c r="F652" s="6" t="str">
        <f>IF(C652="","",IPMT(INPUTS!$B$5,C652,INPUTS!$B$6,-INPUTS!$B$3,0,0))</f>
        <v/>
      </c>
      <c r="G652" s="6" t="str">
        <f>IF(C652="","",PPMT(INPUTS!$B$5,C652,INPUTS!$B$6,-INPUTS!$B$3,0,0))</f>
        <v/>
      </c>
      <c r="H652" s="6" t="str">
        <f t="shared" si="41"/>
        <v/>
      </c>
      <c r="I652" s="6" t="str">
        <f t="shared" si="42"/>
        <v/>
      </c>
    </row>
    <row r="653" spans="1:9" hidden="1" x14ac:dyDescent="0.3">
      <c r="A653" s="16" t="str">
        <f t="shared" si="39"/>
        <v/>
      </c>
      <c r="D653" s="14" t="str">
        <f t="shared" si="40"/>
        <v/>
      </c>
      <c r="E653" s="6" t="str">
        <f>IF(C653="","",PMT(INPUTS!$B$5,INPUTS!$B$6,-INPUTS!$B$3,0,0))</f>
        <v/>
      </c>
      <c r="F653" s="6" t="str">
        <f>IF(C653="","",IPMT(INPUTS!$B$5,C653,INPUTS!$B$6,-INPUTS!$B$3,0,0))</f>
        <v/>
      </c>
      <c r="G653" s="6" t="str">
        <f>IF(C653="","",PPMT(INPUTS!$B$5,C653,INPUTS!$B$6,-INPUTS!$B$3,0,0))</f>
        <v/>
      </c>
      <c r="H653" s="6" t="str">
        <f t="shared" si="41"/>
        <v/>
      </c>
      <c r="I653" s="6" t="str">
        <f t="shared" si="42"/>
        <v/>
      </c>
    </row>
    <row r="654" spans="1:9" hidden="1" x14ac:dyDescent="0.3">
      <c r="A654" s="16" t="str">
        <f t="shared" si="39"/>
        <v/>
      </c>
      <c r="D654" s="14" t="str">
        <f t="shared" si="40"/>
        <v/>
      </c>
      <c r="E654" s="6" t="str">
        <f>IF(C654="","",PMT(INPUTS!$B$5,INPUTS!$B$6,-INPUTS!$B$3,0,0))</f>
        <v/>
      </c>
      <c r="F654" s="6" t="str">
        <f>IF(C654="","",IPMT(INPUTS!$B$5,C654,INPUTS!$B$6,-INPUTS!$B$3,0,0))</f>
        <v/>
      </c>
      <c r="G654" s="6" t="str">
        <f>IF(C654="","",PPMT(INPUTS!$B$5,C654,INPUTS!$B$6,-INPUTS!$B$3,0,0))</f>
        <v/>
      </c>
      <c r="H654" s="6" t="str">
        <f t="shared" si="41"/>
        <v/>
      </c>
      <c r="I654" s="6" t="str">
        <f t="shared" si="42"/>
        <v/>
      </c>
    </row>
    <row r="655" spans="1:9" hidden="1" x14ac:dyDescent="0.3">
      <c r="A655" s="16" t="str">
        <f t="shared" si="39"/>
        <v/>
      </c>
      <c r="D655" s="14" t="str">
        <f t="shared" si="40"/>
        <v/>
      </c>
      <c r="E655" s="6" t="str">
        <f>IF(C655="","",PMT(INPUTS!$B$5,INPUTS!$B$6,-INPUTS!$B$3,0,0))</f>
        <v/>
      </c>
      <c r="F655" s="6" t="str">
        <f>IF(C655="","",IPMT(INPUTS!$B$5,C655,INPUTS!$B$6,-INPUTS!$B$3,0,0))</f>
        <v/>
      </c>
      <c r="G655" s="6" t="str">
        <f>IF(C655="","",PPMT(INPUTS!$B$5,C655,INPUTS!$B$6,-INPUTS!$B$3,0,0))</f>
        <v/>
      </c>
      <c r="H655" s="6" t="str">
        <f t="shared" si="41"/>
        <v/>
      </c>
      <c r="I655" s="6" t="str">
        <f t="shared" si="42"/>
        <v/>
      </c>
    </row>
    <row r="656" spans="1:9" hidden="1" x14ac:dyDescent="0.3">
      <c r="A656" s="16" t="str">
        <f t="shared" si="39"/>
        <v/>
      </c>
      <c r="D656" s="14" t="str">
        <f t="shared" si="40"/>
        <v/>
      </c>
      <c r="E656" s="6" t="str">
        <f>IF(C656="","",PMT(INPUTS!$B$5,INPUTS!$B$6,-INPUTS!$B$3,0,0))</f>
        <v/>
      </c>
      <c r="F656" s="6" t="str">
        <f>IF(C656="","",IPMT(INPUTS!$B$5,C656,INPUTS!$B$6,-INPUTS!$B$3,0,0))</f>
        <v/>
      </c>
      <c r="G656" s="6" t="str">
        <f>IF(C656="","",PPMT(INPUTS!$B$5,C656,INPUTS!$B$6,-INPUTS!$B$3,0,0))</f>
        <v/>
      </c>
      <c r="H656" s="6" t="str">
        <f t="shared" si="41"/>
        <v/>
      </c>
      <c r="I656" s="6" t="str">
        <f t="shared" si="42"/>
        <v/>
      </c>
    </row>
    <row r="657" spans="1:9" hidden="1" x14ac:dyDescent="0.3">
      <c r="A657" s="16" t="str">
        <f t="shared" si="39"/>
        <v/>
      </c>
      <c r="D657" s="14" t="str">
        <f t="shared" si="40"/>
        <v/>
      </c>
      <c r="E657" s="6" t="str">
        <f>IF(C657="","",PMT(INPUTS!$B$5,INPUTS!$B$6,-INPUTS!$B$3,0,0))</f>
        <v/>
      </c>
      <c r="F657" s="6" t="str">
        <f>IF(C657="","",IPMT(INPUTS!$B$5,C657,INPUTS!$B$6,-INPUTS!$B$3,0,0))</f>
        <v/>
      </c>
      <c r="G657" s="6" t="str">
        <f>IF(C657="","",PPMT(INPUTS!$B$5,C657,INPUTS!$B$6,-INPUTS!$B$3,0,0))</f>
        <v/>
      </c>
      <c r="H657" s="6" t="str">
        <f t="shared" si="41"/>
        <v/>
      </c>
      <c r="I657" s="6" t="str">
        <f t="shared" si="42"/>
        <v/>
      </c>
    </row>
    <row r="658" spans="1:9" hidden="1" x14ac:dyDescent="0.3">
      <c r="A658" s="16" t="str">
        <f t="shared" ref="A658:A721" si="43">IF(D658="","",YEAR(D658))</f>
        <v/>
      </c>
      <c r="D658" s="14" t="str">
        <f t="shared" si="40"/>
        <v/>
      </c>
      <c r="E658" s="6" t="str">
        <f>IF(C658="","",PMT(INPUTS!$B$5,INPUTS!$B$6,-INPUTS!$B$3,0,0))</f>
        <v/>
      </c>
      <c r="F658" s="6" t="str">
        <f>IF(C658="","",IPMT(INPUTS!$B$5,C658,INPUTS!$B$6,-INPUTS!$B$3,0,0))</f>
        <v/>
      </c>
      <c r="G658" s="6" t="str">
        <f>IF(C658="","",PPMT(INPUTS!$B$5,C658,INPUTS!$B$6,-INPUTS!$B$3,0,0))</f>
        <v/>
      </c>
      <c r="H658" s="6" t="str">
        <f t="shared" si="41"/>
        <v/>
      </c>
      <c r="I658" s="6" t="str">
        <f t="shared" si="42"/>
        <v/>
      </c>
    </row>
    <row r="659" spans="1:9" hidden="1" x14ac:dyDescent="0.3">
      <c r="A659" s="16" t="str">
        <f t="shared" si="43"/>
        <v/>
      </c>
      <c r="D659" s="14" t="str">
        <f t="shared" si="40"/>
        <v/>
      </c>
      <c r="E659" s="6" t="str">
        <f>IF(C659="","",PMT(INPUTS!$B$5,INPUTS!$B$6,-INPUTS!$B$3,0,0))</f>
        <v/>
      </c>
      <c r="F659" s="6" t="str">
        <f>IF(C659="","",IPMT(INPUTS!$B$5,C659,INPUTS!$B$6,-INPUTS!$B$3,0,0))</f>
        <v/>
      </c>
      <c r="G659" s="6" t="str">
        <f>IF(C659="","",PPMT(INPUTS!$B$5,C659,INPUTS!$B$6,-INPUTS!$B$3,0,0))</f>
        <v/>
      </c>
      <c r="H659" s="6" t="str">
        <f t="shared" si="41"/>
        <v/>
      </c>
      <c r="I659" s="6" t="str">
        <f t="shared" si="42"/>
        <v/>
      </c>
    </row>
    <row r="660" spans="1:9" hidden="1" x14ac:dyDescent="0.3">
      <c r="A660" s="16" t="str">
        <f t="shared" si="43"/>
        <v/>
      </c>
      <c r="D660" s="14" t="str">
        <f t="shared" ref="D660:D723" si="44">IF(C659="","",DATE(YEAR($D659),MONTH($D659)+1,DAY($D659)))</f>
        <v/>
      </c>
      <c r="E660" s="6" t="str">
        <f>IF(C660="","",PMT(INPUTS!$B$5,INPUTS!$B$6,-INPUTS!$B$3,0,0))</f>
        <v/>
      </c>
      <c r="F660" s="6" t="str">
        <f>IF(C660="","",IPMT(INPUTS!$B$5,C660,INPUTS!$B$6,-INPUTS!$B$3,0,0))</f>
        <v/>
      </c>
      <c r="G660" s="6" t="str">
        <f>IF(C660="","",PPMT(INPUTS!$B$5,C660,INPUTS!$B$6,-INPUTS!$B$3,0,0))</f>
        <v/>
      </c>
      <c r="H660" s="6" t="str">
        <f t="shared" ref="H660:H723" si="45">I659</f>
        <v/>
      </c>
      <c r="I660" s="6" t="str">
        <f t="shared" si="42"/>
        <v/>
      </c>
    </row>
    <row r="661" spans="1:9" hidden="1" x14ac:dyDescent="0.3">
      <c r="A661" s="16" t="str">
        <f t="shared" si="43"/>
        <v/>
      </c>
      <c r="D661" s="14" t="str">
        <f t="shared" si="44"/>
        <v/>
      </c>
      <c r="E661" s="6" t="str">
        <f>IF(C661="","",PMT(INPUTS!$B$5,INPUTS!$B$6,-INPUTS!$B$3,0,0))</f>
        <v/>
      </c>
      <c r="F661" s="6" t="str">
        <f>IF(C661="","",IPMT(INPUTS!$B$5,C661,INPUTS!$B$6,-INPUTS!$B$3,0,0))</f>
        <v/>
      </c>
      <c r="G661" s="6" t="str">
        <f>IF(C661="","",PPMT(INPUTS!$B$5,C661,INPUTS!$B$6,-INPUTS!$B$3,0,0))</f>
        <v/>
      </c>
      <c r="H661" s="6" t="str">
        <f t="shared" si="45"/>
        <v/>
      </c>
      <c r="I661" s="6" t="str">
        <f t="shared" si="42"/>
        <v/>
      </c>
    </row>
    <row r="662" spans="1:9" hidden="1" x14ac:dyDescent="0.3">
      <c r="A662" s="16" t="str">
        <f t="shared" si="43"/>
        <v/>
      </c>
      <c r="D662" s="14" t="str">
        <f t="shared" si="44"/>
        <v/>
      </c>
      <c r="E662" s="6" t="str">
        <f>IF(C662="","",PMT(INPUTS!$B$5,INPUTS!$B$6,-INPUTS!$B$3,0,0))</f>
        <v/>
      </c>
      <c r="F662" s="6" t="str">
        <f>IF(C662="","",IPMT(INPUTS!$B$5,C662,INPUTS!$B$6,-INPUTS!$B$3,0,0))</f>
        <v/>
      </c>
      <c r="G662" s="6" t="str">
        <f>IF(C662="","",PPMT(INPUTS!$B$5,C662,INPUTS!$B$6,-INPUTS!$B$3,0,0))</f>
        <v/>
      </c>
      <c r="H662" s="6" t="str">
        <f t="shared" si="45"/>
        <v/>
      </c>
      <c r="I662" s="6" t="str">
        <f t="shared" si="42"/>
        <v/>
      </c>
    </row>
    <row r="663" spans="1:9" hidden="1" x14ac:dyDescent="0.3">
      <c r="A663" s="16" t="str">
        <f t="shared" si="43"/>
        <v/>
      </c>
      <c r="D663" s="14" t="str">
        <f t="shared" si="44"/>
        <v/>
      </c>
      <c r="E663" s="6" t="str">
        <f>IF(C663="","",PMT(INPUTS!$B$5,INPUTS!$B$6,-INPUTS!$B$3,0,0))</f>
        <v/>
      </c>
      <c r="F663" s="6" t="str">
        <f>IF(C663="","",IPMT(INPUTS!$B$5,C663,INPUTS!$B$6,-INPUTS!$B$3,0,0))</f>
        <v/>
      </c>
      <c r="G663" s="6" t="str">
        <f>IF(C663="","",PPMT(INPUTS!$B$5,C663,INPUTS!$B$6,-INPUTS!$B$3,0,0))</f>
        <v/>
      </c>
      <c r="H663" s="6" t="str">
        <f t="shared" si="45"/>
        <v/>
      </c>
      <c r="I663" s="6" t="str">
        <f t="shared" si="42"/>
        <v/>
      </c>
    </row>
    <row r="664" spans="1:9" hidden="1" x14ac:dyDescent="0.3">
      <c r="A664" s="16" t="str">
        <f t="shared" si="43"/>
        <v/>
      </c>
      <c r="D664" s="14" t="str">
        <f t="shared" si="44"/>
        <v/>
      </c>
      <c r="E664" s="6" t="str">
        <f>IF(C664="","",PMT(INPUTS!$B$5,INPUTS!$B$6,-INPUTS!$B$3,0,0))</f>
        <v/>
      </c>
      <c r="F664" s="6" t="str">
        <f>IF(C664="","",IPMT(INPUTS!$B$5,C664,INPUTS!$B$6,-INPUTS!$B$3,0,0))</f>
        <v/>
      </c>
      <c r="G664" s="6" t="str">
        <f>IF(C664="","",PPMT(INPUTS!$B$5,C664,INPUTS!$B$6,-INPUTS!$B$3,0,0))</f>
        <v/>
      </c>
      <c r="H664" s="6" t="str">
        <f t="shared" si="45"/>
        <v/>
      </c>
      <c r="I664" s="6" t="str">
        <f t="shared" si="42"/>
        <v/>
      </c>
    </row>
    <row r="665" spans="1:9" hidden="1" x14ac:dyDescent="0.3">
      <c r="A665" s="16" t="str">
        <f t="shared" si="43"/>
        <v/>
      </c>
      <c r="D665" s="14" t="str">
        <f t="shared" si="44"/>
        <v/>
      </c>
      <c r="E665" s="6" t="str">
        <f>IF(C665="","",PMT(INPUTS!$B$5,INPUTS!$B$6,-INPUTS!$B$3,0,0))</f>
        <v/>
      </c>
      <c r="F665" s="6" t="str">
        <f>IF(C665="","",IPMT(INPUTS!$B$5,C665,INPUTS!$B$6,-INPUTS!$B$3,0,0))</f>
        <v/>
      </c>
      <c r="G665" s="6" t="str">
        <f>IF(C665="","",PPMT(INPUTS!$B$5,C665,INPUTS!$B$6,-INPUTS!$B$3,0,0))</f>
        <v/>
      </c>
      <c r="H665" s="6" t="str">
        <f t="shared" si="45"/>
        <v/>
      </c>
      <c r="I665" s="6" t="str">
        <f t="shared" si="42"/>
        <v/>
      </c>
    </row>
    <row r="666" spans="1:9" hidden="1" x14ac:dyDescent="0.3">
      <c r="A666" s="16" t="str">
        <f t="shared" si="43"/>
        <v/>
      </c>
      <c r="D666" s="14" t="str">
        <f t="shared" si="44"/>
        <v/>
      </c>
      <c r="E666" s="6" t="str">
        <f>IF(C666="","",PMT(INPUTS!$B$5,INPUTS!$B$6,-INPUTS!$B$3,0,0))</f>
        <v/>
      </c>
      <c r="F666" s="6" t="str">
        <f>IF(C666="","",IPMT(INPUTS!$B$5,C666,INPUTS!$B$6,-INPUTS!$B$3,0,0))</f>
        <v/>
      </c>
      <c r="G666" s="6" t="str">
        <f>IF(C666="","",PPMT(INPUTS!$B$5,C666,INPUTS!$B$6,-INPUTS!$B$3,0,0))</f>
        <v/>
      </c>
      <c r="H666" s="6" t="str">
        <f t="shared" si="45"/>
        <v/>
      </c>
      <c r="I666" s="6" t="str">
        <f t="shared" si="42"/>
        <v/>
      </c>
    </row>
    <row r="667" spans="1:9" hidden="1" x14ac:dyDescent="0.3">
      <c r="A667" s="16" t="str">
        <f t="shared" si="43"/>
        <v/>
      </c>
      <c r="D667" s="14" t="str">
        <f t="shared" si="44"/>
        <v/>
      </c>
      <c r="E667" s="6" t="str">
        <f>IF(C667="","",PMT(INPUTS!$B$5,INPUTS!$B$6,-INPUTS!$B$3,0,0))</f>
        <v/>
      </c>
      <c r="F667" s="6" t="str">
        <f>IF(C667="","",IPMT(INPUTS!$B$5,C667,INPUTS!$B$6,-INPUTS!$B$3,0,0))</f>
        <v/>
      </c>
      <c r="G667" s="6" t="str">
        <f>IF(C667="","",PPMT(INPUTS!$B$5,C667,INPUTS!$B$6,-INPUTS!$B$3,0,0))</f>
        <v/>
      </c>
      <c r="H667" s="6" t="str">
        <f t="shared" si="45"/>
        <v/>
      </c>
      <c r="I667" s="6" t="str">
        <f t="shared" si="42"/>
        <v/>
      </c>
    </row>
    <row r="668" spans="1:9" hidden="1" x14ac:dyDescent="0.3">
      <c r="A668" s="16" t="str">
        <f t="shared" si="43"/>
        <v/>
      </c>
      <c r="D668" s="14" t="str">
        <f t="shared" si="44"/>
        <v/>
      </c>
      <c r="E668" s="6" t="str">
        <f>IF(C668="","",PMT(INPUTS!$B$5,INPUTS!$B$6,-INPUTS!$B$3,0,0))</f>
        <v/>
      </c>
      <c r="F668" s="6" t="str">
        <f>IF(C668="","",IPMT(INPUTS!$B$5,C668,INPUTS!$B$6,-INPUTS!$B$3,0,0))</f>
        <v/>
      </c>
      <c r="G668" s="6" t="str">
        <f>IF(C668="","",PPMT(INPUTS!$B$5,C668,INPUTS!$B$6,-INPUTS!$B$3,0,0))</f>
        <v/>
      </c>
      <c r="H668" s="6" t="str">
        <f t="shared" si="45"/>
        <v/>
      </c>
      <c r="I668" s="6" t="str">
        <f t="shared" si="42"/>
        <v/>
      </c>
    </row>
    <row r="669" spans="1:9" hidden="1" x14ac:dyDescent="0.3">
      <c r="A669" s="16" t="str">
        <f t="shared" si="43"/>
        <v/>
      </c>
      <c r="D669" s="14" t="str">
        <f t="shared" si="44"/>
        <v/>
      </c>
      <c r="E669" s="6" t="str">
        <f>IF(C669="","",PMT(INPUTS!$B$5,INPUTS!$B$6,-INPUTS!$B$3,0,0))</f>
        <v/>
      </c>
      <c r="F669" s="6" t="str">
        <f>IF(C669="","",IPMT(INPUTS!$B$5,C669,INPUTS!$B$6,-INPUTS!$B$3,0,0))</f>
        <v/>
      </c>
      <c r="G669" s="6" t="str">
        <f>IF(C669="","",PPMT(INPUTS!$B$5,C669,INPUTS!$B$6,-INPUTS!$B$3,0,0))</f>
        <v/>
      </c>
      <c r="H669" s="6" t="str">
        <f t="shared" si="45"/>
        <v/>
      </c>
      <c r="I669" s="6" t="str">
        <f t="shared" si="42"/>
        <v/>
      </c>
    </row>
    <row r="670" spans="1:9" hidden="1" x14ac:dyDescent="0.3">
      <c r="A670" s="16" t="str">
        <f t="shared" si="43"/>
        <v/>
      </c>
      <c r="D670" s="14" t="str">
        <f t="shared" si="44"/>
        <v/>
      </c>
      <c r="E670" s="6" t="str">
        <f>IF(C670="","",PMT(INPUTS!$B$5,INPUTS!$B$6,-INPUTS!$B$3,0,0))</f>
        <v/>
      </c>
      <c r="F670" s="6" t="str">
        <f>IF(C670="","",IPMT(INPUTS!$B$5,C670,INPUTS!$B$6,-INPUTS!$B$3,0,0))</f>
        <v/>
      </c>
      <c r="G670" s="6" t="str">
        <f>IF(C670="","",PPMT(INPUTS!$B$5,C670,INPUTS!$B$6,-INPUTS!$B$3,0,0))</f>
        <v/>
      </c>
      <c r="H670" s="6" t="str">
        <f t="shared" si="45"/>
        <v/>
      </c>
      <c r="I670" s="6" t="str">
        <f t="shared" si="42"/>
        <v/>
      </c>
    </row>
    <row r="671" spans="1:9" hidden="1" x14ac:dyDescent="0.3">
      <c r="A671" s="16" t="str">
        <f t="shared" si="43"/>
        <v/>
      </c>
      <c r="D671" s="14" t="str">
        <f t="shared" si="44"/>
        <v/>
      </c>
      <c r="E671" s="6" t="str">
        <f>IF(C671="","",PMT(INPUTS!$B$5,INPUTS!$B$6,-INPUTS!$B$3,0,0))</f>
        <v/>
      </c>
      <c r="F671" s="6" t="str">
        <f>IF(C671="","",IPMT(INPUTS!$B$5,C671,INPUTS!$B$6,-INPUTS!$B$3,0,0))</f>
        <v/>
      </c>
      <c r="G671" s="6" t="str">
        <f>IF(C671="","",PPMT(INPUTS!$B$5,C671,INPUTS!$B$6,-INPUTS!$B$3,0,0))</f>
        <v/>
      </c>
      <c r="H671" s="6" t="str">
        <f t="shared" si="45"/>
        <v/>
      </c>
      <c r="I671" s="6" t="str">
        <f t="shared" si="42"/>
        <v/>
      </c>
    </row>
    <row r="672" spans="1:9" hidden="1" x14ac:dyDescent="0.3">
      <c r="A672" s="16" t="str">
        <f t="shared" si="43"/>
        <v/>
      </c>
      <c r="D672" s="14" t="str">
        <f t="shared" si="44"/>
        <v/>
      </c>
      <c r="E672" s="6" t="str">
        <f>IF(C672="","",PMT(INPUTS!$B$5,INPUTS!$B$6,-INPUTS!$B$3,0,0))</f>
        <v/>
      </c>
      <c r="F672" s="6" t="str">
        <f>IF(C672="","",IPMT(INPUTS!$B$5,C672,INPUTS!$B$6,-INPUTS!$B$3,0,0))</f>
        <v/>
      </c>
      <c r="G672" s="6" t="str">
        <f>IF(C672="","",PPMT(INPUTS!$B$5,C672,INPUTS!$B$6,-INPUTS!$B$3,0,0))</f>
        <v/>
      </c>
      <c r="H672" s="6" t="str">
        <f t="shared" si="45"/>
        <v/>
      </c>
      <c r="I672" s="6" t="str">
        <f t="shared" si="42"/>
        <v/>
      </c>
    </row>
    <row r="673" spans="1:9" hidden="1" x14ac:dyDescent="0.3">
      <c r="A673" s="16" t="str">
        <f t="shared" si="43"/>
        <v/>
      </c>
      <c r="D673" s="14" t="str">
        <f t="shared" si="44"/>
        <v/>
      </c>
      <c r="E673" s="6" t="str">
        <f>IF(C673="","",PMT(INPUTS!$B$5,INPUTS!$B$6,-INPUTS!$B$3,0,0))</f>
        <v/>
      </c>
      <c r="F673" s="6" t="str">
        <f>IF(C673="","",IPMT(INPUTS!$B$5,C673,INPUTS!$B$6,-INPUTS!$B$3,0,0))</f>
        <v/>
      </c>
      <c r="G673" s="6" t="str">
        <f>IF(C673="","",PPMT(INPUTS!$B$5,C673,INPUTS!$B$6,-INPUTS!$B$3,0,0))</f>
        <v/>
      </c>
      <c r="H673" s="6" t="str">
        <f t="shared" si="45"/>
        <v/>
      </c>
      <c r="I673" s="6" t="str">
        <f t="shared" si="42"/>
        <v/>
      </c>
    </row>
    <row r="674" spans="1:9" hidden="1" x14ac:dyDescent="0.3">
      <c r="A674" s="16" t="str">
        <f t="shared" si="43"/>
        <v/>
      </c>
      <c r="D674" s="14" t="str">
        <f t="shared" si="44"/>
        <v/>
      </c>
      <c r="E674" s="6" t="str">
        <f>IF(C674="","",PMT(INPUTS!$B$5,INPUTS!$B$6,-INPUTS!$B$3,0,0))</f>
        <v/>
      </c>
      <c r="F674" s="6" t="str">
        <f>IF(C674="","",IPMT(INPUTS!$B$5,C674,INPUTS!$B$6,-INPUTS!$B$3,0,0))</f>
        <v/>
      </c>
      <c r="G674" s="6" t="str">
        <f>IF(C674="","",PPMT(INPUTS!$B$5,C674,INPUTS!$B$6,-INPUTS!$B$3,0,0))</f>
        <v/>
      </c>
      <c r="H674" s="6" t="str">
        <f t="shared" si="45"/>
        <v/>
      </c>
      <c r="I674" s="6" t="str">
        <f t="shared" si="42"/>
        <v/>
      </c>
    </row>
    <row r="675" spans="1:9" hidden="1" x14ac:dyDescent="0.3">
      <c r="A675" s="16" t="str">
        <f t="shared" si="43"/>
        <v/>
      </c>
      <c r="D675" s="14" t="str">
        <f t="shared" si="44"/>
        <v/>
      </c>
      <c r="E675" s="6" t="str">
        <f>IF(C675="","",PMT(INPUTS!$B$5,INPUTS!$B$6,-INPUTS!$B$3,0,0))</f>
        <v/>
      </c>
      <c r="F675" s="6" t="str">
        <f>IF(C675="","",IPMT(INPUTS!$B$5,C675,INPUTS!$B$6,-INPUTS!$B$3,0,0))</f>
        <v/>
      </c>
      <c r="G675" s="6" t="str">
        <f>IF(C675="","",PPMT(INPUTS!$B$5,C675,INPUTS!$B$6,-INPUTS!$B$3,0,0))</f>
        <v/>
      </c>
      <c r="H675" s="6" t="str">
        <f t="shared" si="45"/>
        <v/>
      </c>
      <c r="I675" s="6" t="str">
        <f t="shared" si="42"/>
        <v/>
      </c>
    </row>
    <row r="676" spans="1:9" hidden="1" x14ac:dyDescent="0.3">
      <c r="A676" s="16" t="str">
        <f t="shared" si="43"/>
        <v/>
      </c>
      <c r="D676" s="14" t="str">
        <f t="shared" si="44"/>
        <v/>
      </c>
      <c r="E676" s="6" t="str">
        <f>IF(C676="","",PMT(INPUTS!$B$5,INPUTS!$B$6,-INPUTS!$B$3,0,0))</f>
        <v/>
      </c>
      <c r="F676" s="6" t="str">
        <f>IF(C676="","",IPMT(INPUTS!$B$5,C676,INPUTS!$B$6,-INPUTS!$B$3,0,0))</f>
        <v/>
      </c>
      <c r="G676" s="6" t="str">
        <f>IF(C676="","",PPMT(INPUTS!$B$5,C676,INPUTS!$B$6,-INPUTS!$B$3,0,0))</f>
        <v/>
      </c>
      <c r="H676" s="6" t="str">
        <f t="shared" si="45"/>
        <v/>
      </c>
      <c r="I676" s="6" t="str">
        <f t="shared" si="42"/>
        <v/>
      </c>
    </row>
    <row r="677" spans="1:9" hidden="1" x14ac:dyDescent="0.3">
      <c r="A677" s="16" t="str">
        <f t="shared" si="43"/>
        <v/>
      </c>
      <c r="D677" s="14" t="str">
        <f t="shared" si="44"/>
        <v/>
      </c>
      <c r="E677" s="6" t="str">
        <f>IF(C677="","",PMT(INPUTS!$B$5,INPUTS!$B$6,-INPUTS!$B$3,0,0))</f>
        <v/>
      </c>
      <c r="F677" s="6" t="str">
        <f>IF(C677="","",IPMT(INPUTS!$B$5,C677,INPUTS!$B$6,-INPUTS!$B$3,0,0))</f>
        <v/>
      </c>
      <c r="G677" s="6" t="str">
        <f>IF(C677="","",PPMT(INPUTS!$B$5,C677,INPUTS!$B$6,-INPUTS!$B$3,0,0))</f>
        <v/>
      </c>
      <c r="H677" s="6" t="str">
        <f t="shared" si="45"/>
        <v/>
      </c>
      <c r="I677" s="6" t="str">
        <f t="shared" si="42"/>
        <v/>
      </c>
    </row>
    <row r="678" spans="1:9" hidden="1" x14ac:dyDescent="0.3">
      <c r="A678" s="16" t="str">
        <f t="shared" si="43"/>
        <v/>
      </c>
      <c r="D678" s="14" t="str">
        <f t="shared" si="44"/>
        <v/>
      </c>
      <c r="E678" s="6" t="str">
        <f>IF(C678="","",PMT(INPUTS!$B$5,INPUTS!$B$6,-INPUTS!$B$3,0,0))</f>
        <v/>
      </c>
      <c r="F678" s="6" t="str">
        <f>IF(C678="","",IPMT(INPUTS!$B$5,C678,INPUTS!$B$6,-INPUTS!$B$3,0,0))</f>
        <v/>
      </c>
      <c r="G678" s="6" t="str">
        <f>IF(C678="","",PPMT(INPUTS!$B$5,C678,INPUTS!$B$6,-INPUTS!$B$3,0,0))</f>
        <v/>
      </c>
      <c r="H678" s="6" t="str">
        <f t="shared" si="45"/>
        <v/>
      </c>
      <c r="I678" s="6" t="str">
        <f t="shared" si="42"/>
        <v/>
      </c>
    </row>
    <row r="679" spans="1:9" hidden="1" x14ac:dyDescent="0.3">
      <c r="A679" s="16" t="str">
        <f t="shared" si="43"/>
        <v/>
      </c>
      <c r="D679" s="14" t="str">
        <f t="shared" si="44"/>
        <v/>
      </c>
      <c r="E679" s="6" t="str">
        <f>IF(C679="","",PMT(INPUTS!$B$5,INPUTS!$B$6,-INPUTS!$B$3,0,0))</f>
        <v/>
      </c>
      <c r="F679" s="6" t="str">
        <f>IF(C679="","",IPMT(INPUTS!$B$5,C679,INPUTS!$B$6,-INPUTS!$B$3,0,0))</f>
        <v/>
      </c>
      <c r="G679" s="6" t="str">
        <f>IF(C679="","",PPMT(INPUTS!$B$5,C679,INPUTS!$B$6,-INPUTS!$B$3,0,0))</f>
        <v/>
      </c>
      <c r="H679" s="6" t="str">
        <f t="shared" si="45"/>
        <v/>
      </c>
      <c r="I679" s="6" t="str">
        <f t="shared" si="42"/>
        <v/>
      </c>
    </row>
    <row r="680" spans="1:9" hidden="1" x14ac:dyDescent="0.3">
      <c r="A680" s="16" t="str">
        <f t="shared" si="43"/>
        <v/>
      </c>
      <c r="D680" s="14" t="str">
        <f t="shared" si="44"/>
        <v/>
      </c>
      <c r="E680" s="6" t="str">
        <f>IF(C680="","",PMT(INPUTS!$B$5,INPUTS!$B$6,-INPUTS!$B$3,0,0))</f>
        <v/>
      </c>
      <c r="F680" s="6" t="str">
        <f>IF(C680="","",IPMT(INPUTS!$B$5,C680,INPUTS!$B$6,-INPUTS!$B$3,0,0))</f>
        <v/>
      </c>
      <c r="G680" s="6" t="str">
        <f>IF(C680="","",PPMT(INPUTS!$B$5,C680,INPUTS!$B$6,-INPUTS!$B$3,0,0))</f>
        <v/>
      </c>
      <c r="H680" s="6" t="str">
        <f t="shared" si="45"/>
        <v/>
      </c>
      <c r="I680" s="6" t="str">
        <f t="shared" si="42"/>
        <v/>
      </c>
    </row>
    <row r="681" spans="1:9" hidden="1" x14ac:dyDescent="0.3">
      <c r="A681" s="16" t="str">
        <f t="shared" si="43"/>
        <v/>
      </c>
      <c r="D681" s="14" t="str">
        <f t="shared" si="44"/>
        <v/>
      </c>
      <c r="E681" s="6" t="str">
        <f>IF(C681="","",PMT(INPUTS!$B$5,INPUTS!$B$6,-INPUTS!$B$3,0,0))</f>
        <v/>
      </c>
      <c r="F681" s="6" t="str">
        <f>IF(C681="","",IPMT(INPUTS!$B$5,C681,INPUTS!$B$6,-INPUTS!$B$3,0,0))</f>
        <v/>
      </c>
      <c r="G681" s="6" t="str">
        <f>IF(C681="","",PPMT(INPUTS!$B$5,C681,INPUTS!$B$6,-INPUTS!$B$3,0,0))</f>
        <v/>
      </c>
      <c r="H681" s="6" t="str">
        <f t="shared" si="45"/>
        <v/>
      </c>
      <c r="I681" s="6" t="str">
        <f t="shared" si="42"/>
        <v/>
      </c>
    </row>
    <row r="682" spans="1:9" hidden="1" x14ac:dyDescent="0.3">
      <c r="A682" s="16" t="str">
        <f t="shared" si="43"/>
        <v/>
      </c>
      <c r="D682" s="14" t="str">
        <f t="shared" si="44"/>
        <v/>
      </c>
      <c r="E682" s="6" t="str">
        <f>IF(C682="","",PMT(INPUTS!$B$5,INPUTS!$B$6,-INPUTS!$B$3,0,0))</f>
        <v/>
      </c>
      <c r="F682" s="6" t="str">
        <f>IF(C682="","",IPMT(INPUTS!$B$5,C682,INPUTS!$B$6,-INPUTS!$B$3,0,0))</f>
        <v/>
      </c>
      <c r="G682" s="6" t="str">
        <f>IF(C682="","",PPMT(INPUTS!$B$5,C682,INPUTS!$B$6,-INPUTS!$B$3,0,0))</f>
        <v/>
      </c>
      <c r="H682" s="6" t="str">
        <f t="shared" si="45"/>
        <v/>
      </c>
      <c r="I682" s="6" t="str">
        <f t="shared" si="42"/>
        <v/>
      </c>
    </row>
    <row r="683" spans="1:9" hidden="1" x14ac:dyDescent="0.3">
      <c r="A683" s="16" t="str">
        <f t="shared" si="43"/>
        <v/>
      </c>
      <c r="D683" s="14" t="str">
        <f t="shared" si="44"/>
        <v/>
      </c>
      <c r="E683" s="6" t="str">
        <f>IF(C683="","",PMT(INPUTS!$B$5,INPUTS!$B$6,-INPUTS!$B$3,0,0))</f>
        <v/>
      </c>
      <c r="F683" s="6" t="str">
        <f>IF(C683="","",IPMT(INPUTS!$B$5,C683,INPUTS!$B$6,-INPUTS!$B$3,0,0))</f>
        <v/>
      </c>
      <c r="G683" s="6" t="str">
        <f>IF(C683="","",PPMT(INPUTS!$B$5,C683,INPUTS!$B$6,-INPUTS!$B$3,0,0))</f>
        <v/>
      </c>
      <c r="H683" s="6" t="str">
        <f t="shared" si="45"/>
        <v/>
      </c>
      <c r="I683" s="6" t="str">
        <f t="shared" si="42"/>
        <v/>
      </c>
    </row>
    <row r="684" spans="1:9" hidden="1" x14ac:dyDescent="0.3">
      <c r="A684" s="16" t="str">
        <f t="shared" si="43"/>
        <v/>
      </c>
      <c r="D684" s="14" t="str">
        <f t="shared" si="44"/>
        <v/>
      </c>
      <c r="E684" s="6" t="str">
        <f>IF(C684="","",PMT(INPUTS!$B$5,INPUTS!$B$6,-INPUTS!$B$3,0,0))</f>
        <v/>
      </c>
      <c r="F684" s="6" t="str">
        <f>IF(C684="","",IPMT(INPUTS!$B$5,C684,INPUTS!$B$6,-INPUTS!$B$3,0,0))</f>
        <v/>
      </c>
      <c r="G684" s="6" t="str">
        <f>IF(C684="","",PPMT(INPUTS!$B$5,C684,INPUTS!$B$6,-INPUTS!$B$3,0,0))</f>
        <v/>
      </c>
      <c r="H684" s="6" t="str">
        <f t="shared" si="45"/>
        <v/>
      </c>
      <c r="I684" s="6" t="str">
        <f t="shared" si="42"/>
        <v/>
      </c>
    </row>
    <row r="685" spans="1:9" hidden="1" x14ac:dyDescent="0.3">
      <c r="A685" s="16" t="str">
        <f t="shared" si="43"/>
        <v/>
      </c>
      <c r="D685" s="14" t="str">
        <f t="shared" si="44"/>
        <v/>
      </c>
      <c r="E685" s="6" t="str">
        <f>IF(C685="","",PMT(INPUTS!$B$5,INPUTS!$B$6,-INPUTS!$B$3,0,0))</f>
        <v/>
      </c>
      <c r="F685" s="6" t="str">
        <f>IF(C685="","",IPMT(INPUTS!$B$5,C685,INPUTS!$B$6,-INPUTS!$B$3,0,0))</f>
        <v/>
      </c>
      <c r="G685" s="6" t="str">
        <f>IF(C685="","",PPMT(INPUTS!$B$5,C685,INPUTS!$B$6,-INPUTS!$B$3,0,0))</f>
        <v/>
      </c>
      <c r="H685" s="6" t="str">
        <f t="shared" si="45"/>
        <v/>
      </c>
      <c r="I685" s="6" t="str">
        <f t="shared" si="42"/>
        <v/>
      </c>
    </row>
    <row r="686" spans="1:9" hidden="1" x14ac:dyDescent="0.3">
      <c r="A686" s="16" t="str">
        <f t="shared" si="43"/>
        <v/>
      </c>
      <c r="D686" s="14" t="str">
        <f t="shared" si="44"/>
        <v/>
      </c>
      <c r="E686" s="6" t="str">
        <f>IF(C686="","",PMT(INPUTS!$B$5,INPUTS!$B$6,-INPUTS!$B$3,0,0))</f>
        <v/>
      </c>
      <c r="F686" s="6" t="str">
        <f>IF(C686="","",IPMT(INPUTS!$B$5,C686,INPUTS!$B$6,-INPUTS!$B$3,0,0))</f>
        <v/>
      </c>
      <c r="G686" s="6" t="str">
        <f>IF(C686="","",PPMT(INPUTS!$B$5,C686,INPUTS!$B$6,-INPUTS!$B$3,0,0))</f>
        <v/>
      </c>
      <c r="H686" s="6" t="str">
        <f t="shared" si="45"/>
        <v/>
      </c>
      <c r="I686" s="6" t="str">
        <f t="shared" si="42"/>
        <v/>
      </c>
    </row>
    <row r="687" spans="1:9" hidden="1" x14ac:dyDescent="0.3">
      <c r="A687" s="16" t="str">
        <f t="shared" si="43"/>
        <v/>
      </c>
      <c r="D687" s="14" t="str">
        <f t="shared" si="44"/>
        <v/>
      </c>
      <c r="E687" s="6" t="str">
        <f>IF(C687="","",PMT(INPUTS!$B$5,INPUTS!$B$6,-INPUTS!$B$3,0,0))</f>
        <v/>
      </c>
      <c r="F687" s="6" t="str">
        <f>IF(C687="","",IPMT(INPUTS!$B$5,C687,INPUTS!$B$6,-INPUTS!$B$3,0,0))</f>
        <v/>
      </c>
      <c r="G687" s="6" t="str">
        <f>IF(C687="","",PPMT(INPUTS!$B$5,C687,INPUTS!$B$6,-INPUTS!$B$3,0,0))</f>
        <v/>
      </c>
      <c r="H687" s="6" t="str">
        <f t="shared" si="45"/>
        <v/>
      </c>
      <c r="I687" s="6" t="str">
        <f t="shared" si="42"/>
        <v/>
      </c>
    </row>
    <row r="688" spans="1:9" hidden="1" x14ac:dyDescent="0.3">
      <c r="A688" s="16" t="str">
        <f t="shared" si="43"/>
        <v/>
      </c>
      <c r="D688" s="14" t="str">
        <f t="shared" si="44"/>
        <v/>
      </c>
      <c r="E688" s="6" t="str">
        <f>IF(C688="","",PMT(INPUTS!$B$5,INPUTS!$B$6,-INPUTS!$B$3,0,0))</f>
        <v/>
      </c>
      <c r="F688" s="6" t="str">
        <f>IF(C688="","",IPMT(INPUTS!$B$5,C688,INPUTS!$B$6,-INPUTS!$B$3,0,0))</f>
        <v/>
      </c>
      <c r="G688" s="6" t="str">
        <f>IF(C688="","",PPMT(INPUTS!$B$5,C688,INPUTS!$B$6,-INPUTS!$B$3,0,0))</f>
        <v/>
      </c>
      <c r="H688" s="6" t="str">
        <f t="shared" si="45"/>
        <v/>
      </c>
      <c r="I688" s="6" t="str">
        <f t="shared" ref="I688:I751" si="46">IF(C688="","",H688-G688)</f>
        <v/>
      </c>
    </row>
    <row r="689" spans="1:9" hidden="1" x14ac:dyDescent="0.3">
      <c r="A689" s="16" t="str">
        <f t="shared" si="43"/>
        <v/>
      </c>
      <c r="D689" s="14" t="str">
        <f t="shared" si="44"/>
        <v/>
      </c>
      <c r="E689" s="6" t="str">
        <f>IF(C689="","",PMT(INPUTS!$B$5,INPUTS!$B$6,-INPUTS!$B$3,0,0))</f>
        <v/>
      </c>
      <c r="F689" s="6" t="str">
        <f>IF(C689="","",IPMT(INPUTS!$B$5,C689,INPUTS!$B$6,-INPUTS!$B$3,0,0))</f>
        <v/>
      </c>
      <c r="G689" s="6" t="str">
        <f>IF(C689="","",PPMT(INPUTS!$B$5,C689,INPUTS!$B$6,-INPUTS!$B$3,0,0))</f>
        <v/>
      </c>
      <c r="H689" s="6" t="str">
        <f t="shared" si="45"/>
        <v/>
      </c>
      <c r="I689" s="6" t="str">
        <f t="shared" si="46"/>
        <v/>
      </c>
    </row>
    <row r="690" spans="1:9" hidden="1" x14ac:dyDescent="0.3">
      <c r="A690" s="16" t="str">
        <f t="shared" si="43"/>
        <v/>
      </c>
      <c r="D690" s="14" t="str">
        <f t="shared" si="44"/>
        <v/>
      </c>
      <c r="E690" s="6" t="str">
        <f>IF(C690="","",PMT(INPUTS!$B$5,INPUTS!$B$6,-INPUTS!$B$3,0,0))</f>
        <v/>
      </c>
      <c r="F690" s="6" t="str">
        <f>IF(C690="","",IPMT(INPUTS!$B$5,C690,INPUTS!$B$6,-INPUTS!$B$3,0,0))</f>
        <v/>
      </c>
      <c r="G690" s="6" t="str">
        <f>IF(C690="","",PPMT(INPUTS!$B$5,C690,INPUTS!$B$6,-INPUTS!$B$3,0,0))</f>
        <v/>
      </c>
      <c r="H690" s="6" t="str">
        <f t="shared" si="45"/>
        <v/>
      </c>
      <c r="I690" s="6" t="str">
        <f t="shared" si="46"/>
        <v/>
      </c>
    </row>
    <row r="691" spans="1:9" hidden="1" x14ac:dyDescent="0.3">
      <c r="A691" s="16" t="str">
        <f t="shared" si="43"/>
        <v/>
      </c>
      <c r="D691" s="14" t="str">
        <f t="shared" si="44"/>
        <v/>
      </c>
      <c r="E691" s="6" t="str">
        <f>IF(C691="","",PMT(INPUTS!$B$5,INPUTS!$B$6,-INPUTS!$B$3,0,0))</f>
        <v/>
      </c>
      <c r="F691" s="6" t="str">
        <f>IF(C691="","",IPMT(INPUTS!$B$5,C691,INPUTS!$B$6,-INPUTS!$B$3,0,0))</f>
        <v/>
      </c>
      <c r="G691" s="6" t="str">
        <f>IF(C691="","",PPMT(INPUTS!$B$5,C691,INPUTS!$B$6,-INPUTS!$B$3,0,0))</f>
        <v/>
      </c>
      <c r="H691" s="6" t="str">
        <f t="shared" si="45"/>
        <v/>
      </c>
      <c r="I691" s="6" t="str">
        <f t="shared" si="46"/>
        <v/>
      </c>
    </row>
    <row r="692" spans="1:9" hidden="1" x14ac:dyDescent="0.3">
      <c r="A692" s="16" t="str">
        <f t="shared" si="43"/>
        <v/>
      </c>
      <c r="D692" s="14" t="str">
        <f t="shared" si="44"/>
        <v/>
      </c>
      <c r="E692" s="6" t="str">
        <f>IF(C692="","",PMT(INPUTS!$B$5,INPUTS!$B$6,-INPUTS!$B$3,0,0))</f>
        <v/>
      </c>
      <c r="F692" s="6" t="str">
        <f>IF(C692="","",IPMT(INPUTS!$B$5,C692,INPUTS!$B$6,-INPUTS!$B$3,0,0))</f>
        <v/>
      </c>
      <c r="G692" s="6" t="str">
        <f>IF(C692="","",PPMT(INPUTS!$B$5,C692,INPUTS!$B$6,-INPUTS!$B$3,0,0))</f>
        <v/>
      </c>
      <c r="H692" s="6" t="str">
        <f t="shared" si="45"/>
        <v/>
      </c>
      <c r="I692" s="6" t="str">
        <f t="shared" si="46"/>
        <v/>
      </c>
    </row>
    <row r="693" spans="1:9" hidden="1" x14ac:dyDescent="0.3">
      <c r="A693" s="16" t="str">
        <f t="shared" si="43"/>
        <v/>
      </c>
      <c r="D693" s="14" t="str">
        <f t="shared" si="44"/>
        <v/>
      </c>
      <c r="E693" s="6" t="str">
        <f>IF(C693="","",PMT(INPUTS!$B$5,INPUTS!$B$6,-INPUTS!$B$3,0,0))</f>
        <v/>
      </c>
      <c r="F693" s="6" t="str">
        <f>IF(C693="","",IPMT(INPUTS!$B$5,C693,INPUTS!$B$6,-INPUTS!$B$3,0,0))</f>
        <v/>
      </c>
      <c r="G693" s="6" t="str">
        <f>IF(C693="","",PPMT(INPUTS!$B$5,C693,INPUTS!$B$6,-INPUTS!$B$3,0,0))</f>
        <v/>
      </c>
      <c r="H693" s="6" t="str">
        <f t="shared" si="45"/>
        <v/>
      </c>
      <c r="I693" s="6" t="str">
        <f t="shared" si="46"/>
        <v/>
      </c>
    </row>
    <row r="694" spans="1:9" hidden="1" x14ac:dyDescent="0.3">
      <c r="A694" s="16" t="str">
        <f t="shared" si="43"/>
        <v/>
      </c>
      <c r="D694" s="14" t="str">
        <f t="shared" si="44"/>
        <v/>
      </c>
      <c r="E694" s="6" t="str">
        <f>IF(C694="","",PMT(INPUTS!$B$5,INPUTS!$B$6,-INPUTS!$B$3,0,0))</f>
        <v/>
      </c>
      <c r="F694" s="6" t="str">
        <f>IF(C694="","",IPMT(INPUTS!$B$5,C694,INPUTS!$B$6,-INPUTS!$B$3,0,0))</f>
        <v/>
      </c>
      <c r="G694" s="6" t="str">
        <f>IF(C694="","",PPMT(INPUTS!$B$5,C694,INPUTS!$B$6,-INPUTS!$B$3,0,0))</f>
        <v/>
      </c>
      <c r="H694" s="6" t="str">
        <f t="shared" si="45"/>
        <v/>
      </c>
      <c r="I694" s="6" t="str">
        <f t="shared" si="46"/>
        <v/>
      </c>
    </row>
    <row r="695" spans="1:9" hidden="1" x14ac:dyDescent="0.3">
      <c r="A695" s="16" t="str">
        <f t="shared" si="43"/>
        <v/>
      </c>
      <c r="D695" s="14" t="str">
        <f t="shared" si="44"/>
        <v/>
      </c>
      <c r="E695" s="6" t="str">
        <f>IF(C695="","",PMT(INPUTS!$B$5,INPUTS!$B$6,-INPUTS!$B$3,0,0))</f>
        <v/>
      </c>
      <c r="F695" s="6" t="str">
        <f>IF(C695="","",IPMT(INPUTS!$B$5,C695,INPUTS!$B$6,-INPUTS!$B$3,0,0))</f>
        <v/>
      </c>
      <c r="G695" s="6" t="str">
        <f>IF(C695="","",PPMT(INPUTS!$B$5,C695,INPUTS!$B$6,-INPUTS!$B$3,0,0))</f>
        <v/>
      </c>
      <c r="H695" s="6" t="str">
        <f t="shared" si="45"/>
        <v/>
      </c>
      <c r="I695" s="6" t="str">
        <f t="shared" si="46"/>
        <v/>
      </c>
    </row>
    <row r="696" spans="1:9" hidden="1" x14ac:dyDescent="0.3">
      <c r="A696" s="16" t="str">
        <f t="shared" si="43"/>
        <v/>
      </c>
      <c r="D696" s="14" t="str">
        <f t="shared" si="44"/>
        <v/>
      </c>
      <c r="E696" s="6" t="str">
        <f>IF(C696="","",PMT(INPUTS!$B$5,INPUTS!$B$6,-INPUTS!$B$3,0,0))</f>
        <v/>
      </c>
      <c r="F696" s="6" t="str">
        <f>IF(C696="","",IPMT(INPUTS!$B$5,C696,INPUTS!$B$6,-INPUTS!$B$3,0,0))</f>
        <v/>
      </c>
      <c r="G696" s="6" t="str">
        <f>IF(C696="","",PPMT(INPUTS!$B$5,C696,INPUTS!$B$6,-INPUTS!$B$3,0,0))</f>
        <v/>
      </c>
      <c r="H696" s="6" t="str">
        <f t="shared" si="45"/>
        <v/>
      </c>
      <c r="I696" s="6" t="str">
        <f t="shared" si="46"/>
        <v/>
      </c>
    </row>
    <row r="697" spans="1:9" hidden="1" x14ac:dyDescent="0.3">
      <c r="A697" s="16" t="str">
        <f t="shared" si="43"/>
        <v/>
      </c>
      <c r="D697" s="14" t="str">
        <f t="shared" si="44"/>
        <v/>
      </c>
      <c r="E697" s="6" t="str">
        <f>IF(C697="","",PMT(INPUTS!$B$5,INPUTS!$B$6,-INPUTS!$B$3,0,0))</f>
        <v/>
      </c>
      <c r="F697" s="6" t="str">
        <f>IF(C697="","",IPMT(INPUTS!$B$5,C697,INPUTS!$B$6,-INPUTS!$B$3,0,0))</f>
        <v/>
      </c>
      <c r="G697" s="6" t="str">
        <f>IF(C697="","",PPMT(INPUTS!$B$5,C697,INPUTS!$B$6,-INPUTS!$B$3,0,0))</f>
        <v/>
      </c>
      <c r="H697" s="6" t="str">
        <f t="shared" si="45"/>
        <v/>
      </c>
      <c r="I697" s="6" t="str">
        <f t="shared" si="46"/>
        <v/>
      </c>
    </row>
    <row r="698" spans="1:9" hidden="1" x14ac:dyDescent="0.3">
      <c r="A698" s="16" t="str">
        <f t="shared" si="43"/>
        <v/>
      </c>
      <c r="D698" s="14" t="str">
        <f t="shared" si="44"/>
        <v/>
      </c>
      <c r="E698" s="6" t="str">
        <f>IF(C698="","",PMT(INPUTS!$B$5,INPUTS!$B$6,-INPUTS!$B$3,0,0))</f>
        <v/>
      </c>
      <c r="F698" s="6" t="str">
        <f>IF(C698="","",IPMT(INPUTS!$B$5,C698,INPUTS!$B$6,-INPUTS!$B$3,0,0))</f>
        <v/>
      </c>
      <c r="G698" s="6" t="str">
        <f>IF(C698="","",PPMT(INPUTS!$B$5,C698,INPUTS!$B$6,-INPUTS!$B$3,0,0))</f>
        <v/>
      </c>
      <c r="H698" s="6" t="str">
        <f t="shared" si="45"/>
        <v/>
      </c>
      <c r="I698" s="6" t="str">
        <f t="shared" si="46"/>
        <v/>
      </c>
    </row>
    <row r="699" spans="1:9" hidden="1" x14ac:dyDescent="0.3">
      <c r="A699" s="16" t="str">
        <f t="shared" si="43"/>
        <v/>
      </c>
      <c r="D699" s="14" t="str">
        <f t="shared" si="44"/>
        <v/>
      </c>
      <c r="E699" s="6" t="str">
        <f>IF(C699="","",PMT(INPUTS!$B$5,INPUTS!$B$6,-INPUTS!$B$3,0,0))</f>
        <v/>
      </c>
      <c r="F699" s="6" t="str">
        <f>IF(C699="","",IPMT(INPUTS!$B$5,C699,INPUTS!$B$6,-INPUTS!$B$3,0,0))</f>
        <v/>
      </c>
      <c r="G699" s="6" t="str">
        <f>IF(C699="","",PPMT(INPUTS!$B$5,C699,INPUTS!$B$6,-INPUTS!$B$3,0,0))</f>
        <v/>
      </c>
      <c r="H699" s="6" t="str">
        <f t="shared" si="45"/>
        <v/>
      </c>
      <c r="I699" s="6" t="str">
        <f t="shared" si="46"/>
        <v/>
      </c>
    </row>
    <row r="700" spans="1:9" hidden="1" x14ac:dyDescent="0.3">
      <c r="A700" s="16" t="str">
        <f t="shared" si="43"/>
        <v/>
      </c>
      <c r="D700" s="14" t="str">
        <f t="shared" si="44"/>
        <v/>
      </c>
      <c r="E700" s="6" t="str">
        <f>IF(C700="","",PMT(INPUTS!$B$5,INPUTS!$B$6,-INPUTS!$B$3,0,0))</f>
        <v/>
      </c>
      <c r="F700" s="6" t="str">
        <f>IF(C700="","",IPMT(INPUTS!$B$5,C700,INPUTS!$B$6,-INPUTS!$B$3,0,0))</f>
        <v/>
      </c>
      <c r="G700" s="6" t="str">
        <f>IF(C700="","",PPMT(INPUTS!$B$5,C700,INPUTS!$B$6,-INPUTS!$B$3,0,0))</f>
        <v/>
      </c>
      <c r="H700" s="6" t="str">
        <f t="shared" si="45"/>
        <v/>
      </c>
      <c r="I700" s="6" t="str">
        <f t="shared" si="46"/>
        <v/>
      </c>
    </row>
    <row r="701" spans="1:9" hidden="1" x14ac:dyDescent="0.3">
      <c r="A701" s="16" t="str">
        <f t="shared" si="43"/>
        <v/>
      </c>
      <c r="D701" s="14" t="str">
        <f t="shared" si="44"/>
        <v/>
      </c>
      <c r="E701" s="6" t="str">
        <f>IF(C701="","",PMT(INPUTS!$B$5,INPUTS!$B$6,-INPUTS!$B$3,0,0))</f>
        <v/>
      </c>
      <c r="F701" s="6" t="str">
        <f>IF(C701="","",IPMT(INPUTS!$B$5,C701,INPUTS!$B$6,-INPUTS!$B$3,0,0))</f>
        <v/>
      </c>
      <c r="G701" s="6" t="str">
        <f>IF(C701="","",PPMT(INPUTS!$B$5,C701,INPUTS!$B$6,-INPUTS!$B$3,0,0))</f>
        <v/>
      </c>
      <c r="H701" s="6" t="str">
        <f t="shared" si="45"/>
        <v/>
      </c>
      <c r="I701" s="6" t="str">
        <f t="shared" si="46"/>
        <v/>
      </c>
    </row>
    <row r="702" spans="1:9" hidden="1" x14ac:dyDescent="0.3">
      <c r="A702" s="16" t="str">
        <f t="shared" si="43"/>
        <v/>
      </c>
      <c r="D702" s="14" t="str">
        <f t="shared" si="44"/>
        <v/>
      </c>
      <c r="E702" s="6" t="str">
        <f>IF(C702="","",PMT(INPUTS!$B$5,INPUTS!$B$6,-INPUTS!$B$3,0,0))</f>
        <v/>
      </c>
      <c r="F702" s="6" t="str">
        <f>IF(C702="","",IPMT(INPUTS!$B$5,C702,INPUTS!$B$6,-INPUTS!$B$3,0,0))</f>
        <v/>
      </c>
      <c r="G702" s="6" t="str">
        <f>IF(C702="","",PPMT(INPUTS!$B$5,C702,INPUTS!$B$6,-INPUTS!$B$3,0,0))</f>
        <v/>
      </c>
      <c r="H702" s="6" t="str">
        <f t="shared" si="45"/>
        <v/>
      </c>
      <c r="I702" s="6" t="str">
        <f t="shared" si="46"/>
        <v/>
      </c>
    </row>
    <row r="703" spans="1:9" hidden="1" x14ac:dyDescent="0.3">
      <c r="A703" s="16" t="str">
        <f t="shared" si="43"/>
        <v/>
      </c>
      <c r="D703" s="14" t="str">
        <f t="shared" si="44"/>
        <v/>
      </c>
      <c r="E703" s="6" t="str">
        <f>IF(C703="","",PMT(INPUTS!$B$5,INPUTS!$B$6,-INPUTS!$B$3,0,0))</f>
        <v/>
      </c>
      <c r="F703" s="6" t="str">
        <f>IF(C703="","",IPMT(INPUTS!$B$5,C703,INPUTS!$B$6,-INPUTS!$B$3,0,0))</f>
        <v/>
      </c>
      <c r="G703" s="6" t="str">
        <f>IF(C703="","",PPMT(INPUTS!$B$5,C703,INPUTS!$B$6,-INPUTS!$B$3,0,0))</f>
        <v/>
      </c>
      <c r="H703" s="6" t="str">
        <f t="shared" si="45"/>
        <v/>
      </c>
      <c r="I703" s="6" t="str">
        <f t="shared" si="46"/>
        <v/>
      </c>
    </row>
    <row r="704" spans="1:9" hidden="1" x14ac:dyDescent="0.3">
      <c r="A704" s="16" t="str">
        <f t="shared" si="43"/>
        <v/>
      </c>
      <c r="D704" s="14" t="str">
        <f t="shared" si="44"/>
        <v/>
      </c>
      <c r="E704" s="6" t="str">
        <f>IF(C704="","",PMT(INPUTS!$B$5,INPUTS!$B$6,-INPUTS!$B$3,0,0))</f>
        <v/>
      </c>
      <c r="F704" s="6" t="str">
        <f>IF(C704="","",IPMT(INPUTS!$B$5,C704,INPUTS!$B$6,-INPUTS!$B$3,0,0))</f>
        <v/>
      </c>
      <c r="G704" s="6" t="str">
        <f>IF(C704="","",PPMT(INPUTS!$B$5,C704,INPUTS!$B$6,-INPUTS!$B$3,0,0))</f>
        <v/>
      </c>
      <c r="H704" s="6" t="str">
        <f t="shared" si="45"/>
        <v/>
      </c>
      <c r="I704" s="6" t="str">
        <f t="shared" si="46"/>
        <v/>
      </c>
    </row>
    <row r="705" spans="1:9" hidden="1" x14ac:dyDescent="0.3">
      <c r="A705" s="16" t="str">
        <f t="shared" si="43"/>
        <v/>
      </c>
      <c r="D705" s="14" t="str">
        <f t="shared" si="44"/>
        <v/>
      </c>
      <c r="E705" s="6" t="str">
        <f>IF(C705="","",PMT(INPUTS!$B$5,INPUTS!$B$6,-INPUTS!$B$3,0,0))</f>
        <v/>
      </c>
      <c r="F705" s="6" t="str">
        <f>IF(C705="","",IPMT(INPUTS!$B$5,C705,INPUTS!$B$6,-INPUTS!$B$3,0,0))</f>
        <v/>
      </c>
      <c r="G705" s="6" t="str">
        <f>IF(C705="","",PPMT(INPUTS!$B$5,C705,INPUTS!$B$6,-INPUTS!$B$3,0,0))</f>
        <v/>
      </c>
      <c r="H705" s="6" t="str">
        <f t="shared" si="45"/>
        <v/>
      </c>
      <c r="I705" s="6" t="str">
        <f t="shared" si="46"/>
        <v/>
      </c>
    </row>
    <row r="706" spans="1:9" hidden="1" x14ac:dyDescent="0.3">
      <c r="A706" s="16" t="str">
        <f t="shared" si="43"/>
        <v/>
      </c>
      <c r="D706" s="14" t="str">
        <f t="shared" si="44"/>
        <v/>
      </c>
      <c r="E706" s="6" t="str">
        <f>IF(C706="","",PMT(INPUTS!$B$5,INPUTS!$B$6,-INPUTS!$B$3,0,0))</f>
        <v/>
      </c>
      <c r="F706" s="6" t="str">
        <f>IF(C706="","",IPMT(INPUTS!$B$5,C706,INPUTS!$B$6,-INPUTS!$B$3,0,0))</f>
        <v/>
      </c>
      <c r="G706" s="6" t="str">
        <f>IF(C706="","",PPMT(INPUTS!$B$5,C706,INPUTS!$B$6,-INPUTS!$B$3,0,0))</f>
        <v/>
      </c>
      <c r="H706" s="6" t="str">
        <f t="shared" si="45"/>
        <v/>
      </c>
      <c r="I706" s="6" t="str">
        <f t="shared" si="46"/>
        <v/>
      </c>
    </row>
    <row r="707" spans="1:9" hidden="1" x14ac:dyDescent="0.3">
      <c r="A707" s="16" t="str">
        <f t="shared" si="43"/>
        <v/>
      </c>
      <c r="D707" s="14" t="str">
        <f t="shared" si="44"/>
        <v/>
      </c>
      <c r="E707" s="6" t="str">
        <f>IF(C707="","",PMT(INPUTS!$B$5,INPUTS!$B$6,-INPUTS!$B$3,0,0))</f>
        <v/>
      </c>
      <c r="F707" s="6" t="str">
        <f>IF(C707="","",IPMT(INPUTS!$B$5,C707,INPUTS!$B$6,-INPUTS!$B$3,0,0))</f>
        <v/>
      </c>
      <c r="G707" s="6" t="str">
        <f>IF(C707="","",PPMT(INPUTS!$B$5,C707,INPUTS!$B$6,-INPUTS!$B$3,0,0))</f>
        <v/>
      </c>
      <c r="H707" s="6" t="str">
        <f t="shared" si="45"/>
        <v/>
      </c>
      <c r="I707" s="6" t="str">
        <f t="shared" si="46"/>
        <v/>
      </c>
    </row>
    <row r="708" spans="1:9" hidden="1" x14ac:dyDescent="0.3">
      <c r="A708" s="16" t="str">
        <f t="shared" si="43"/>
        <v/>
      </c>
      <c r="D708" s="14" t="str">
        <f t="shared" si="44"/>
        <v/>
      </c>
      <c r="E708" s="6" t="str">
        <f>IF(C708="","",PMT(INPUTS!$B$5,INPUTS!$B$6,-INPUTS!$B$3,0,0))</f>
        <v/>
      </c>
      <c r="F708" s="6" t="str">
        <f>IF(C708="","",IPMT(INPUTS!$B$5,C708,INPUTS!$B$6,-INPUTS!$B$3,0,0))</f>
        <v/>
      </c>
      <c r="G708" s="6" t="str">
        <f>IF(C708="","",PPMT(INPUTS!$B$5,C708,INPUTS!$B$6,-INPUTS!$B$3,0,0))</f>
        <v/>
      </c>
      <c r="H708" s="6" t="str">
        <f t="shared" si="45"/>
        <v/>
      </c>
      <c r="I708" s="6" t="str">
        <f t="shared" si="46"/>
        <v/>
      </c>
    </row>
    <row r="709" spans="1:9" hidden="1" x14ac:dyDescent="0.3">
      <c r="A709" s="16" t="str">
        <f t="shared" si="43"/>
        <v/>
      </c>
      <c r="D709" s="14" t="str">
        <f t="shared" si="44"/>
        <v/>
      </c>
      <c r="E709" s="6" t="str">
        <f>IF(C709="","",PMT(INPUTS!$B$5,INPUTS!$B$6,-INPUTS!$B$3,0,0))</f>
        <v/>
      </c>
      <c r="F709" s="6" t="str">
        <f>IF(C709="","",IPMT(INPUTS!$B$5,C709,INPUTS!$B$6,-INPUTS!$B$3,0,0))</f>
        <v/>
      </c>
      <c r="G709" s="6" t="str">
        <f>IF(C709="","",PPMT(INPUTS!$B$5,C709,INPUTS!$B$6,-INPUTS!$B$3,0,0))</f>
        <v/>
      </c>
      <c r="H709" s="6" t="str">
        <f t="shared" si="45"/>
        <v/>
      </c>
      <c r="I709" s="6" t="str">
        <f t="shared" si="46"/>
        <v/>
      </c>
    </row>
    <row r="710" spans="1:9" hidden="1" x14ac:dyDescent="0.3">
      <c r="A710" s="16" t="str">
        <f t="shared" si="43"/>
        <v/>
      </c>
      <c r="D710" s="14" t="str">
        <f t="shared" si="44"/>
        <v/>
      </c>
      <c r="E710" s="6" t="str">
        <f>IF(C710="","",PMT(INPUTS!$B$5,INPUTS!$B$6,-INPUTS!$B$3,0,0))</f>
        <v/>
      </c>
      <c r="F710" s="6" t="str">
        <f>IF(C710="","",IPMT(INPUTS!$B$5,C710,INPUTS!$B$6,-INPUTS!$B$3,0,0))</f>
        <v/>
      </c>
      <c r="G710" s="6" t="str">
        <f>IF(C710="","",PPMT(INPUTS!$B$5,C710,INPUTS!$B$6,-INPUTS!$B$3,0,0))</f>
        <v/>
      </c>
      <c r="H710" s="6" t="str">
        <f t="shared" si="45"/>
        <v/>
      </c>
      <c r="I710" s="6" t="str">
        <f t="shared" si="46"/>
        <v/>
      </c>
    </row>
    <row r="711" spans="1:9" hidden="1" x14ac:dyDescent="0.3">
      <c r="A711" s="16" t="str">
        <f t="shared" si="43"/>
        <v/>
      </c>
      <c r="D711" s="14" t="str">
        <f t="shared" si="44"/>
        <v/>
      </c>
      <c r="E711" s="6" t="str">
        <f>IF(C711="","",PMT(INPUTS!$B$5,INPUTS!$B$6,-INPUTS!$B$3,0,0))</f>
        <v/>
      </c>
      <c r="F711" s="6" t="str">
        <f>IF(C711="","",IPMT(INPUTS!$B$5,C711,INPUTS!$B$6,-INPUTS!$B$3,0,0))</f>
        <v/>
      </c>
      <c r="G711" s="6" t="str">
        <f>IF(C711="","",PPMT(INPUTS!$B$5,C711,INPUTS!$B$6,-INPUTS!$B$3,0,0))</f>
        <v/>
      </c>
      <c r="H711" s="6" t="str">
        <f t="shared" si="45"/>
        <v/>
      </c>
      <c r="I711" s="6" t="str">
        <f t="shared" si="46"/>
        <v/>
      </c>
    </row>
    <row r="712" spans="1:9" hidden="1" x14ac:dyDescent="0.3">
      <c r="A712" s="16" t="str">
        <f t="shared" si="43"/>
        <v/>
      </c>
      <c r="D712" s="14" t="str">
        <f t="shared" si="44"/>
        <v/>
      </c>
      <c r="E712" s="6" t="str">
        <f>IF(C712="","",PMT(INPUTS!$B$5,INPUTS!$B$6,-INPUTS!$B$3,0,0))</f>
        <v/>
      </c>
      <c r="F712" s="6" t="str">
        <f>IF(C712="","",IPMT(INPUTS!$B$5,C712,INPUTS!$B$6,-INPUTS!$B$3,0,0))</f>
        <v/>
      </c>
      <c r="G712" s="6" t="str">
        <f>IF(C712="","",PPMT(INPUTS!$B$5,C712,INPUTS!$B$6,-INPUTS!$B$3,0,0))</f>
        <v/>
      </c>
      <c r="H712" s="6" t="str">
        <f t="shared" si="45"/>
        <v/>
      </c>
      <c r="I712" s="6" t="str">
        <f t="shared" si="46"/>
        <v/>
      </c>
    </row>
    <row r="713" spans="1:9" hidden="1" x14ac:dyDescent="0.3">
      <c r="A713" s="16" t="str">
        <f t="shared" si="43"/>
        <v/>
      </c>
      <c r="D713" s="14" t="str">
        <f t="shared" si="44"/>
        <v/>
      </c>
      <c r="E713" s="6" t="str">
        <f>IF(C713="","",PMT(INPUTS!$B$5,INPUTS!$B$6,-INPUTS!$B$3,0,0))</f>
        <v/>
      </c>
      <c r="F713" s="6" t="str">
        <f>IF(C713="","",IPMT(INPUTS!$B$5,C713,INPUTS!$B$6,-INPUTS!$B$3,0,0))</f>
        <v/>
      </c>
      <c r="G713" s="6" t="str">
        <f>IF(C713="","",PPMT(INPUTS!$B$5,C713,INPUTS!$B$6,-INPUTS!$B$3,0,0))</f>
        <v/>
      </c>
      <c r="H713" s="6" t="str">
        <f t="shared" si="45"/>
        <v/>
      </c>
      <c r="I713" s="6" t="str">
        <f t="shared" si="46"/>
        <v/>
      </c>
    </row>
    <row r="714" spans="1:9" hidden="1" x14ac:dyDescent="0.3">
      <c r="A714" s="16" t="str">
        <f t="shared" si="43"/>
        <v/>
      </c>
      <c r="D714" s="14" t="str">
        <f t="shared" si="44"/>
        <v/>
      </c>
      <c r="E714" s="6" t="str">
        <f>IF(C714="","",PMT(INPUTS!$B$5,INPUTS!$B$6,-INPUTS!$B$3,0,0))</f>
        <v/>
      </c>
      <c r="F714" s="6" t="str">
        <f>IF(C714="","",IPMT(INPUTS!$B$5,C714,INPUTS!$B$6,-INPUTS!$B$3,0,0))</f>
        <v/>
      </c>
      <c r="G714" s="6" t="str">
        <f>IF(C714="","",PPMT(INPUTS!$B$5,C714,INPUTS!$B$6,-INPUTS!$B$3,0,0))</f>
        <v/>
      </c>
      <c r="H714" s="6" t="str">
        <f t="shared" si="45"/>
        <v/>
      </c>
      <c r="I714" s="6" t="str">
        <f t="shared" si="46"/>
        <v/>
      </c>
    </row>
    <row r="715" spans="1:9" hidden="1" x14ac:dyDescent="0.3">
      <c r="A715" s="16" t="str">
        <f t="shared" si="43"/>
        <v/>
      </c>
      <c r="D715" s="14" t="str">
        <f t="shared" si="44"/>
        <v/>
      </c>
      <c r="E715" s="6" t="str">
        <f>IF(C715="","",PMT(INPUTS!$B$5,INPUTS!$B$6,-INPUTS!$B$3,0,0))</f>
        <v/>
      </c>
      <c r="F715" s="6" t="str">
        <f>IF(C715="","",IPMT(INPUTS!$B$5,C715,INPUTS!$B$6,-INPUTS!$B$3,0,0))</f>
        <v/>
      </c>
      <c r="G715" s="6" t="str">
        <f>IF(C715="","",PPMT(INPUTS!$B$5,C715,INPUTS!$B$6,-INPUTS!$B$3,0,0))</f>
        <v/>
      </c>
      <c r="H715" s="6" t="str">
        <f t="shared" si="45"/>
        <v/>
      </c>
      <c r="I715" s="6" t="str">
        <f t="shared" si="46"/>
        <v/>
      </c>
    </row>
    <row r="716" spans="1:9" hidden="1" x14ac:dyDescent="0.3">
      <c r="A716" s="16" t="str">
        <f t="shared" si="43"/>
        <v/>
      </c>
      <c r="D716" s="14" t="str">
        <f t="shared" si="44"/>
        <v/>
      </c>
      <c r="E716" s="6" t="str">
        <f>IF(C716="","",PMT(INPUTS!$B$5,INPUTS!$B$6,-INPUTS!$B$3,0,0))</f>
        <v/>
      </c>
      <c r="F716" s="6" t="str">
        <f>IF(C716="","",IPMT(INPUTS!$B$5,C716,INPUTS!$B$6,-INPUTS!$B$3,0,0))</f>
        <v/>
      </c>
      <c r="G716" s="6" t="str">
        <f>IF(C716="","",PPMT(INPUTS!$B$5,C716,INPUTS!$B$6,-INPUTS!$B$3,0,0))</f>
        <v/>
      </c>
      <c r="H716" s="6" t="str">
        <f t="shared" si="45"/>
        <v/>
      </c>
      <c r="I716" s="6" t="str">
        <f t="shared" si="46"/>
        <v/>
      </c>
    </row>
    <row r="717" spans="1:9" hidden="1" x14ac:dyDescent="0.3">
      <c r="A717" s="16" t="str">
        <f t="shared" si="43"/>
        <v/>
      </c>
      <c r="D717" s="14" t="str">
        <f t="shared" si="44"/>
        <v/>
      </c>
      <c r="E717" s="6" t="str">
        <f>IF(C717="","",PMT(INPUTS!$B$5,INPUTS!$B$6,-INPUTS!$B$3,0,0))</f>
        <v/>
      </c>
      <c r="F717" s="6" t="str">
        <f>IF(C717="","",IPMT(INPUTS!$B$5,C717,INPUTS!$B$6,-INPUTS!$B$3,0,0))</f>
        <v/>
      </c>
      <c r="G717" s="6" t="str">
        <f>IF(C717="","",PPMT(INPUTS!$B$5,C717,INPUTS!$B$6,-INPUTS!$B$3,0,0))</f>
        <v/>
      </c>
      <c r="H717" s="6" t="str">
        <f t="shared" si="45"/>
        <v/>
      </c>
      <c r="I717" s="6" t="str">
        <f t="shared" si="46"/>
        <v/>
      </c>
    </row>
    <row r="718" spans="1:9" hidden="1" x14ac:dyDescent="0.3">
      <c r="A718" s="16" t="str">
        <f t="shared" si="43"/>
        <v/>
      </c>
      <c r="D718" s="14" t="str">
        <f t="shared" si="44"/>
        <v/>
      </c>
      <c r="E718" s="6" t="str">
        <f>IF(C718="","",PMT(INPUTS!$B$5,INPUTS!$B$6,-INPUTS!$B$3,0,0))</f>
        <v/>
      </c>
      <c r="F718" s="6" t="str">
        <f>IF(C718="","",IPMT(INPUTS!$B$5,C718,INPUTS!$B$6,-INPUTS!$B$3,0,0))</f>
        <v/>
      </c>
      <c r="G718" s="6" t="str">
        <f>IF(C718="","",PPMT(INPUTS!$B$5,C718,INPUTS!$B$6,-INPUTS!$B$3,0,0))</f>
        <v/>
      </c>
      <c r="H718" s="6" t="str">
        <f t="shared" si="45"/>
        <v/>
      </c>
      <c r="I718" s="6" t="str">
        <f t="shared" si="46"/>
        <v/>
      </c>
    </row>
    <row r="719" spans="1:9" hidden="1" x14ac:dyDescent="0.3">
      <c r="A719" s="16" t="str">
        <f t="shared" si="43"/>
        <v/>
      </c>
      <c r="D719" s="14" t="str">
        <f t="shared" si="44"/>
        <v/>
      </c>
      <c r="E719" s="6" t="str">
        <f>IF(C719="","",PMT(INPUTS!$B$5,INPUTS!$B$6,-INPUTS!$B$3,0,0))</f>
        <v/>
      </c>
      <c r="F719" s="6" t="str">
        <f>IF(C719="","",IPMT(INPUTS!$B$5,C719,INPUTS!$B$6,-INPUTS!$B$3,0,0))</f>
        <v/>
      </c>
      <c r="G719" s="6" t="str">
        <f>IF(C719="","",PPMT(INPUTS!$B$5,C719,INPUTS!$B$6,-INPUTS!$B$3,0,0))</f>
        <v/>
      </c>
      <c r="H719" s="6" t="str">
        <f t="shared" si="45"/>
        <v/>
      </c>
      <c r="I719" s="6" t="str">
        <f t="shared" si="46"/>
        <v/>
      </c>
    </row>
    <row r="720" spans="1:9" hidden="1" x14ac:dyDescent="0.3">
      <c r="A720" s="16" t="str">
        <f t="shared" si="43"/>
        <v/>
      </c>
      <c r="D720" s="14" t="str">
        <f t="shared" si="44"/>
        <v/>
      </c>
      <c r="E720" s="6" t="str">
        <f>IF(C720="","",PMT(INPUTS!$B$5,INPUTS!$B$6,-INPUTS!$B$3,0,0))</f>
        <v/>
      </c>
      <c r="F720" s="6" t="str">
        <f>IF(C720="","",IPMT(INPUTS!$B$5,C720,INPUTS!$B$6,-INPUTS!$B$3,0,0))</f>
        <v/>
      </c>
      <c r="G720" s="6" t="str">
        <f>IF(C720="","",PPMT(INPUTS!$B$5,C720,INPUTS!$B$6,-INPUTS!$B$3,0,0))</f>
        <v/>
      </c>
      <c r="H720" s="6" t="str">
        <f t="shared" si="45"/>
        <v/>
      </c>
      <c r="I720" s="6" t="str">
        <f t="shared" si="46"/>
        <v/>
      </c>
    </row>
    <row r="721" spans="1:9" hidden="1" x14ac:dyDescent="0.3">
      <c r="A721" s="16" t="str">
        <f t="shared" si="43"/>
        <v/>
      </c>
      <c r="D721" s="14" t="str">
        <f t="shared" si="44"/>
        <v/>
      </c>
      <c r="E721" s="6" t="str">
        <f>IF(C721="","",PMT(INPUTS!$B$5,INPUTS!$B$6,-INPUTS!$B$3,0,0))</f>
        <v/>
      </c>
      <c r="F721" s="6" t="str">
        <f>IF(C721="","",IPMT(INPUTS!$B$5,C721,INPUTS!$B$6,-INPUTS!$B$3,0,0))</f>
        <v/>
      </c>
      <c r="G721" s="6" t="str">
        <f>IF(C721="","",PPMT(INPUTS!$B$5,C721,INPUTS!$B$6,-INPUTS!$B$3,0,0))</f>
        <v/>
      </c>
      <c r="H721" s="6" t="str">
        <f t="shared" si="45"/>
        <v/>
      </c>
      <c r="I721" s="6" t="str">
        <f t="shared" si="46"/>
        <v/>
      </c>
    </row>
    <row r="722" spans="1:9" hidden="1" x14ac:dyDescent="0.3">
      <c r="A722" s="16" t="str">
        <f t="shared" ref="A722:A785" si="47">IF(D722="","",YEAR(D722))</f>
        <v/>
      </c>
      <c r="D722" s="14" t="str">
        <f t="shared" si="44"/>
        <v/>
      </c>
      <c r="E722" s="6" t="str">
        <f>IF(C722="","",PMT(INPUTS!$B$5,INPUTS!$B$6,-INPUTS!$B$3,0,0))</f>
        <v/>
      </c>
      <c r="F722" s="6" t="str">
        <f>IF(C722="","",IPMT(INPUTS!$B$5,C722,INPUTS!$B$6,-INPUTS!$B$3,0,0))</f>
        <v/>
      </c>
      <c r="G722" s="6" t="str">
        <f>IF(C722="","",PPMT(INPUTS!$B$5,C722,INPUTS!$B$6,-INPUTS!$B$3,0,0))</f>
        <v/>
      </c>
      <c r="H722" s="6" t="str">
        <f t="shared" si="45"/>
        <v/>
      </c>
      <c r="I722" s="6" t="str">
        <f t="shared" si="46"/>
        <v/>
      </c>
    </row>
    <row r="723" spans="1:9" hidden="1" x14ac:dyDescent="0.3">
      <c r="A723" s="16" t="str">
        <f t="shared" si="47"/>
        <v/>
      </c>
      <c r="D723" s="14" t="str">
        <f t="shared" si="44"/>
        <v/>
      </c>
      <c r="E723" s="6" t="str">
        <f>IF(C723="","",PMT(INPUTS!$B$5,INPUTS!$B$6,-INPUTS!$B$3,0,0))</f>
        <v/>
      </c>
      <c r="F723" s="6" t="str">
        <f>IF(C723="","",IPMT(INPUTS!$B$5,C723,INPUTS!$B$6,-INPUTS!$B$3,0,0))</f>
        <v/>
      </c>
      <c r="G723" s="6" t="str">
        <f>IF(C723="","",PPMT(INPUTS!$B$5,C723,INPUTS!$B$6,-INPUTS!$B$3,0,0))</f>
        <v/>
      </c>
      <c r="H723" s="6" t="str">
        <f t="shared" si="45"/>
        <v/>
      </c>
      <c r="I723" s="6" t="str">
        <f t="shared" si="46"/>
        <v/>
      </c>
    </row>
    <row r="724" spans="1:9" hidden="1" x14ac:dyDescent="0.3">
      <c r="A724" s="16" t="str">
        <f t="shared" si="47"/>
        <v/>
      </c>
      <c r="D724" s="14" t="str">
        <f t="shared" ref="D724:D787" si="48">IF(C723="","",DATE(YEAR($D723),MONTH($D723)+1,DAY($D723)))</f>
        <v/>
      </c>
      <c r="E724" s="6" t="str">
        <f>IF(C724="","",PMT(INPUTS!$B$5,INPUTS!$B$6,-INPUTS!$B$3,0,0))</f>
        <v/>
      </c>
      <c r="F724" s="6" t="str">
        <f>IF(C724="","",IPMT(INPUTS!$B$5,C724,INPUTS!$B$6,-INPUTS!$B$3,0,0))</f>
        <v/>
      </c>
      <c r="G724" s="6" t="str">
        <f>IF(C724="","",PPMT(INPUTS!$B$5,C724,INPUTS!$B$6,-INPUTS!$B$3,0,0))</f>
        <v/>
      </c>
      <c r="H724" s="6" t="str">
        <f t="shared" ref="H724:H787" si="49">I723</f>
        <v/>
      </c>
      <c r="I724" s="6" t="str">
        <f t="shared" si="46"/>
        <v/>
      </c>
    </row>
    <row r="725" spans="1:9" hidden="1" x14ac:dyDescent="0.3">
      <c r="A725" s="16" t="str">
        <f t="shared" si="47"/>
        <v/>
      </c>
      <c r="D725" s="14" t="str">
        <f t="shared" si="48"/>
        <v/>
      </c>
      <c r="E725" s="6" t="str">
        <f>IF(C725="","",PMT(INPUTS!$B$5,INPUTS!$B$6,-INPUTS!$B$3,0,0))</f>
        <v/>
      </c>
      <c r="F725" s="6" t="str">
        <f>IF(C725="","",IPMT(INPUTS!$B$5,C725,INPUTS!$B$6,-INPUTS!$B$3,0,0))</f>
        <v/>
      </c>
      <c r="G725" s="6" t="str">
        <f>IF(C725="","",PPMT(INPUTS!$B$5,C725,INPUTS!$B$6,-INPUTS!$B$3,0,0))</f>
        <v/>
      </c>
      <c r="H725" s="6" t="str">
        <f t="shared" si="49"/>
        <v/>
      </c>
      <c r="I725" s="6" t="str">
        <f t="shared" si="46"/>
        <v/>
      </c>
    </row>
    <row r="726" spans="1:9" hidden="1" x14ac:dyDescent="0.3">
      <c r="A726" s="16" t="str">
        <f t="shared" si="47"/>
        <v/>
      </c>
      <c r="D726" s="14" t="str">
        <f t="shared" si="48"/>
        <v/>
      </c>
      <c r="E726" s="6" t="str">
        <f>IF(C726="","",PMT(INPUTS!$B$5,INPUTS!$B$6,-INPUTS!$B$3,0,0))</f>
        <v/>
      </c>
      <c r="F726" s="6" t="str">
        <f>IF(C726="","",IPMT(INPUTS!$B$5,C726,INPUTS!$B$6,-INPUTS!$B$3,0,0))</f>
        <v/>
      </c>
      <c r="G726" s="6" t="str">
        <f>IF(C726="","",PPMT(INPUTS!$B$5,C726,INPUTS!$B$6,-INPUTS!$B$3,0,0))</f>
        <v/>
      </c>
      <c r="H726" s="6" t="str">
        <f t="shared" si="49"/>
        <v/>
      </c>
      <c r="I726" s="6" t="str">
        <f t="shared" si="46"/>
        <v/>
      </c>
    </row>
    <row r="727" spans="1:9" hidden="1" x14ac:dyDescent="0.3">
      <c r="A727" s="16" t="str">
        <f t="shared" si="47"/>
        <v/>
      </c>
      <c r="D727" s="14" t="str">
        <f t="shared" si="48"/>
        <v/>
      </c>
      <c r="E727" s="6" t="str">
        <f>IF(C727="","",PMT(INPUTS!$B$5,INPUTS!$B$6,-INPUTS!$B$3,0,0))</f>
        <v/>
      </c>
      <c r="F727" s="6" t="str">
        <f>IF(C727="","",IPMT(INPUTS!$B$5,C727,INPUTS!$B$6,-INPUTS!$B$3,0,0))</f>
        <v/>
      </c>
      <c r="G727" s="6" t="str">
        <f>IF(C727="","",PPMT(INPUTS!$B$5,C727,INPUTS!$B$6,-INPUTS!$B$3,0,0))</f>
        <v/>
      </c>
      <c r="H727" s="6" t="str">
        <f t="shared" si="49"/>
        <v/>
      </c>
      <c r="I727" s="6" t="str">
        <f t="shared" si="46"/>
        <v/>
      </c>
    </row>
    <row r="728" spans="1:9" hidden="1" x14ac:dyDescent="0.3">
      <c r="A728" s="16" t="str">
        <f t="shared" si="47"/>
        <v/>
      </c>
      <c r="D728" s="14" t="str">
        <f t="shared" si="48"/>
        <v/>
      </c>
      <c r="E728" s="6" t="str">
        <f>IF(C728="","",PMT(INPUTS!$B$5,INPUTS!$B$6,-INPUTS!$B$3,0,0))</f>
        <v/>
      </c>
      <c r="F728" s="6" t="str">
        <f>IF(C728="","",IPMT(INPUTS!$B$5,C728,INPUTS!$B$6,-INPUTS!$B$3,0,0))</f>
        <v/>
      </c>
      <c r="G728" s="6" t="str">
        <f>IF(C728="","",PPMT(INPUTS!$B$5,C728,INPUTS!$B$6,-INPUTS!$B$3,0,0))</f>
        <v/>
      </c>
      <c r="H728" s="6" t="str">
        <f t="shared" si="49"/>
        <v/>
      </c>
      <c r="I728" s="6" t="str">
        <f t="shared" si="46"/>
        <v/>
      </c>
    </row>
    <row r="729" spans="1:9" hidden="1" x14ac:dyDescent="0.3">
      <c r="A729" s="16" t="str">
        <f t="shared" si="47"/>
        <v/>
      </c>
      <c r="D729" s="14" t="str">
        <f t="shared" si="48"/>
        <v/>
      </c>
      <c r="E729" s="6" t="str">
        <f>IF(C729="","",PMT(INPUTS!$B$5,INPUTS!$B$6,-INPUTS!$B$3,0,0))</f>
        <v/>
      </c>
      <c r="F729" s="6" t="str">
        <f>IF(C729="","",IPMT(INPUTS!$B$5,C729,INPUTS!$B$6,-INPUTS!$B$3,0,0))</f>
        <v/>
      </c>
      <c r="G729" s="6" t="str">
        <f>IF(C729="","",PPMT(INPUTS!$B$5,C729,INPUTS!$B$6,-INPUTS!$B$3,0,0))</f>
        <v/>
      </c>
      <c r="H729" s="6" t="str">
        <f t="shared" si="49"/>
        <v/>
      </c>
      <c r="I729" s="6" t="str">
        <f t="shared" si="46"/>
        <v/>
      </c>
    </row>
    <row r="730" spans="1:9" hidden="1" x14ac:dyDescent="0.3">
      <c r="A730" s="16" t="str">
        <f t="shared" si="47"/>
        <v/>
      </c>
      <c r="D730" s="14" t="str">
        <f t="shared" si="48"/>
        <v/>
      </c>
      <c r="E730" s="6" t="str">
        <f>IF(C730="","",PMT(INPUTS!$B$5,INPUTS!$B$6,-INPUTS!$B$3,0,0))</f>
        <v/>
      </c>
      <c r="F730" s="6" t="str">
        <f>IF(C730="","",IPMT(INPUTS!$B$5,C730,INPUTS!$B$6,-INPUTS!$B$3,0,0))</f>
        <v/>
      </c>
      <c r="G730" s="6" t="str">
        <f>IF(C730="","",PPMT(INPUTS!$B$5,C730,INPUTS!$B$6,-INPUTS!$B$3,0,0))</f>
        <v/>
      </c>
      <c r="H730" s="6" t="str">
        <f t="shared" si="49"/>
        <v/>
      </c>
      <c r="I730" s="6" t="str">
        <f t="shared" si="46"/>
        <v/>
      </c>
    </row>
    <row r="731" spans="1:9" hidden="1" x14ac:dyDescent="0.3">
      <c r="A731" s="16" t="str">
        <f t="shared" si="47"/>
        <v/>
      </c>
      <c r="D731" s="14" t="str">
        <f t="shared" si="48"/>
        <v/>
      </c>
      <c r="E731" s="6" t="str">
        <f>IF(C731="","",PMT(INPUTS!$B$5,INPUTS!$B$6,-INPUTS!$B$3,0,0))</f>
        <v/>
      </c>
      <c r="F731" s="6" t="str">
        <f>IF(C731="","",IPMT(INPUTS!$B$5,C731,INPUTS!$B$6,-INPUTS!$B$3,0,0))</f>
        <v/>
      </c>
      <c r="G731" s="6" t="str">
        <f>IF(C731="","",PPMT(INPUTS!$B$5,C731,INPUTS!$B$6,-INPUTS!$B$3,0,0))</f>
        <v/>
      </c>
      <c r="H731" s="6" t="str">
        <f t="shared" si="49"/>
        <v/>
      </c>
      <c r="I731" s="6" t="str">
        <f t="shared" si="46"/>
        <v/>
      </c>
    </row>
    <row r="732" spans="1:9" hidden="1" x14ac:dyDescent="0.3">
      <c r="A732" s="16" t="str">
        <f t="shared" si="47"/>
        <v/>
      </c>
      <c r="D732" s="14" t="str">
        <f t="shared" si="48"/>
        <v/>
      </c>
      <c r="E732" s="6" t="str">
        <f>IF(C732="","",PMT(INPUTS!$B$5,INPUTS!$B$6,-INPUTS!$B$3,0,0))</f>
        <v/>
      </c>
      <c r="F732" s="6" t="str">
        <f>IF(C732="","",IPMT(INPUTS!$B$5,C732,INPUTS!$B$6,-INPUTS!$B$3,0,0))</f>
        <v/>
      </c>
      <c r="G732" s="6" t="str">
        <f>IF(C732="","",PPMT(INPUTS!$B$5,C732,INPUTS!$B$6,-INPUTS!$B$3,0,0))</f>
        <v/>
      </c>
      <c r="H732" s="6" t="str">
        <f t="shared" si="49"/>
        <v/>
      </c>
      <c r="I732" s="6" t="str">
        <f t="shared" si="46"/>
        <v/>
      </c>
    </row>
    <row r="733" spans="1:9" hidden="1" x14ac:dyDescent="0.3">
      <c r="A733" s="16" t="str">
        <f t="shared" si="47"/>
        <v/>
      </c>
      <c r="D733" s="14" t="str">
        <f t="shared" si="48"/>
        <v/>
      </c>
      <c r="E733" s="6" t="str">
        <f>IF(C733="","",PMT(INPUTS!$B$5,INPUTS!$B$6,-INPUTS!$B$3,0,0))</f>
        <v/>
      </c>
      <c r="F733" s="6" t="str">
        <f>IF(C733="","",IPMT(INPUTS!$B$5,C733,INPUTS!$B$6,-INPUTS!$B$3,0,0))</f>
        <v/>
      </c>
      <c r="G733" s="6" t="str">
        <f>IF(C733="","",PPMT(INPUTS!$B$5,C733,INPUTS!$B$6,-INPUTS!$B$3,0,0))</f>
        <v/>
      </c>
      <c r="H733" s="6" t="str">
        <f t="shared" si="49"/>
        <v/>
      </c>
      <c r="I733" s="6" t="str">
        <f t="shared" si="46"/>
        <v/>
      </c>
    </row>
    <row r="734" spans="1:9" hidden="1" x14ac:dyDescent="0.3">
      <c r="A734" s="16" t="str">
        <f t="shared" si="47"/>
        <v/>
      </c>
      <c r="D734" s="14" t="str">
        <f t="shared" si="48"/>
        <v/>
      </c>
      <c r="E734" s="6" t="str">
        <f>IF(C734="","",PMT(INPUTS!$B$5,INPUTS!$B$6,-INPUTS!$B$3,0,0))</f>
        <v/>
      </c>
      <c r="F734" s="6" t="str">
        <f>IF(C734="","",IPMT(INPUTS!$B$5,C734,INPUTS!$B$6,-INPUTS!$B$3,0,0))</f>
        <v/>
      </c>
      <c r="G734" s="6" t="str">
        <f>IF(C734="","",PPMT(INPUTS!$B$5,C734,INPUTS!$B$6,-INPUTS!$B$3,0,0))</f>
        <v/>
      </c>
      <c r="H734" s="6" t="str">
        <f t="shared" si="49"/>
        <v/>
      </c>
      <c r="I734" s="6" t="str">
        <f t="shared" si="46"/>
        <v/>
      </c>
    </row>
    <row r="735" spans="1:9" hidden="1" x14ac:dyDescent="0.3">
      <c r="A735" s="16" t="str">
        <f t="shared" si="47"/>
        <v/>
      </c>
      <c r="D735" s="14" t="str">
        <f t="shared" si="48"/>
        <v/>
      </c>
      <c r="E735" s="6" t="str">
        <f>IF(C735="","",PMT(INPUTS!$B$5,INPUTS!$B$6,-INPUTS!$B$3,0,0))</f>
        <v/>
      </c>
      <c r="F735" s="6" t="str">
        <f>IF(C735="","",IPMT(INPUTS!$B$5,C735,INPUTS!$B$6,-INPUTS!$B$3,0,0))</f>
        <v/>
      </c>
      <c r="G735" s="6" t="str">
        <f>IF(C735="","",PPMT(INPUTS!$B$5,C735,INPUTS!$B$6,-INPUTS!$B$3,0,0))</f>
        <v/>
      </c>
      <c r="H735" s="6" t="str">
        <f t="shared" si="49"/>
        <v/>
      </c>
      <c r="I735" s="6" t="str">
        <f t="shared" si="46"/>
        <v/>
      </c>
    </row>
    <row r="736" spans="1:9" hidden="1" x14ac:dyDescent="0.3">
      <c r="A736" s="16" t="str">
        <f t="shared" si="47"/>
        <v/>
      </c>
      <c r="D736" s="14" t="str">
        <f t="shared" si="48"/>
        <v/>
      </c>
      <c r="E736" s="6" t="str">
        <f>IF(C736="","",PMT(INPUTS!$B$5,INPUTS!$B$6,-INPUTS!$B$3,0,0))</f>
        <v/>
      </c>
      <c r="F736" s="6" t="str">
        <f>IF(C736="","",IPMT(INPUTS!$B$5,C736,INPUTS!$B$6,-INPUTS!$B$3,0,0))</f>
        <v/>
      </c>
      <c r="G736" s="6" t="str">
        <f>IF(C736="","",PPMT(INPUTS!$B$5,C736,INPUTS!$B$6,-INPUTS!$B$3,0,0))</f>
        <v/>
      </c>
      <c r="H736" s="6" t="str">
        <f t="shared" si="49"/>
        <v/>
      </c>
      <c r="I736" s="6" t="str">
        <f t="shared" si="46"/>
        <v/>
      </c>
    </row>
    <row r="737" spans="1:9" hidden="1" x14ac:dyDescent="0.3">
      <c r="A737" s="16" t="str">
        <f t="shared" si="47"/>
        <v/>
      </c>
      <c r="D737" s="14" t="str">
        <f t="shared" si="48"/>
        <v/>
      </c>
      <c r="E737" s="6" t="str">
        <f>IF(C737="","",PMT(INPUTS!$B$5,INPUTS!$B$6,-INPUTS!$B$3,0,0))</f>
        <v/>
      </c>
      <c r="F737" s="6" t="str">
        <f>IF(C737="","",IPMT(INPUTS!$B$5,C737,INPUTS!$B$6,-INPUTS!$B$3,0,0))</f>
        <v/>
      </c>
      <c r="G737" s="6" t="str">
        <f>IF(C737="","",PPMT(INPUTS!$B$5,C737,INPUTS!$B$6,-INPUTS!$B$3,0,0))</f>
        <v/>
      </c>
      <c r="H737" s="6" t="str">
        <f t="shared" si="49"/>
        <v/>
      </c>
      <c r="I737" s="6" t="str">
        <f t="shared" si="46"/>
        <v/>
      </c>
    </row>
    <row r="738" spans="1:9" hidden="1" x14ac:dyDescent="0.3">
      <c r="A738" s="16" t="str">
        <f t="shared" si="47"/>
        <v/>
      </c>
      <c r="D738" s="14" t="str">
        <f t="shared" si="48"/>
        <v/>
      </c>
      <c r="E738" s="6" t="str">
        <f>IF(C738="","",PMT(INPUTS!$B$5,INPUTS!$B$6,-INPUTS!$B$3,0,0))</f>
        <v/>
      </c>
      <c r="F738" s="6" t="str">
        <f>IF(C738="","",IPMT(INPUTS!$B$5,C738,INPUTS!$B$6,-INPUTS!$B$3,0,0))</f>
        <v/>
      </c>
      <c r="G738" s="6" t="str">
        <f>IF(C738="","",PPMT(INPUTS!$B$5,C738,INPUTS!$B$6,-INPUTS!$B$3,0,0))</f>
        <v/>
      </c>
      <c r="H738" s="6" t="str">
        <f t="shared" si="49"/>
        <v/>
      </c>
      <c r="I738" s="6" t="str">
        <f t="shared" si="46"/>
        <v/>
      </c>
    </row>
    <row r="739" spans="1:9" hidden="1" x14ac:dyDescent="0.3">
      <c r="A739" s="16" t="str">
        <f t="shared" si="47"/>
        <v/>
      </c>
      <c r="D739" s="14" t="str">
        <f t="shared" si="48"/>
        <v/>
      </c>
      <c r="E739" s="6" t="str">
        <f>IF(C739="","",PMT(INPUTS!$B$5,INPUTS!$B$6,-INPUTS!$B$3,0,0))</f>
        <v/>
      </c>
      <c r="F739" s="6" t="str">
        <f>IF(C739="","",IPMT(INPUTS!$B$5,C739,INPUTS!$B$6,-INPUTS!$B$3,0,0))</f>
        <v/>
      </c>
      <c r="G739" s="6" t="str">
        <f>IF(C739="","",PPMT(INPUTS!$B$5,C739,INPUTS!$B$6,-INPUTS!$B$3,0,0))</f>
        <v/>
      </c>
      <c r="H739" s="6" t="str">
        <f t="shared" si="49"/>
        <v/>
      </c>
      <c r="I739" s="6" t="str">
        <f t="shared" si="46"/>
        <v/>
      </c>
    </row>
    <row r="740" spans="1:9" hidden="1" x14ac:dyDescent="0.3">
      <c r="A740" s="16" t="str">
        <f t="shared" si="47"/>
        <v/>
      </c>
      <c r="D740" s="14" t="str">
        <f t="shared" si="48"/>
        <v/>
      </c>
      <c r="E740" s="6" t="str">
        <f>IF(C740="","",PMT(INPUTS!$B$5,INPUTS!$B$6,-INPUTS!$B$3,0,0))</f>
        <v/>
      </c>
      <c r="F740" s="6" t="str">
        <f>IF(C740="","",IPMT(INPUTS!$B$5,C740,INPUTS!$B$6,-INPUTS!$B$3,0,0))</f>
        <v/>
      </c>
      <c r="G740" s="6" t="str">
        <f>IF(C740="","",PPMT(INPUTS!$B$5,C740,INPUTS!$B$6,-INPUTS!$B$3,0,0))</f>
        <v/>
      </c>
      <c r="H740" s="6" t="str">
        <f t="shared" si="49"/>
        <v/>
      </c>
      <c r="I740" s="6" t="str">
        <f t="shared" si="46"/>
        <v/>
      </c>
    </row>
    <row r="741" spans="1:9" hidden="1" x14ac:dyDescent="0.3">
      <c r="A741" s="16" t="str">
        <f t="shared" si="47"/>
        <v/>
      </c>
      <c r="D741" s="14" t="str">
        <f t="shared" si="48"/>
        <v/>
      </c>
      <c r="E741" s="6" t="str">
        <f>IF(C741="","",PMT(INPUTS!$B$5,INPUTS!$B$6,-INPUTS!$B$3,0,0))</f>
        <v/>
      </c>
      <c r="F741" s="6" t="str">
        <f>IF(C741="","",IPMT(INPUTS!$B$5,C741,INPUTS!$B$6,-INPUTS!$B$3,0,0))</f>
        <v/>
      </c>
      <c r="G741" s="6" t="str">
        <f>IF(C741="","",PPMT(INPUTS!$B$5,C741,INPUTS!$B$6,-INPUTS!$B$3,0,0))</f>
        <v/>
      </c>
      <c r="H741" s="6" t="str">
        <f t="shared" si="49"/>
        <v/>
      </c>
      <c r="I741" s="6" t="str">
        <f t="shared" si="46"/>
        <v/>
      </c>
    </row>
    <row r="742" spans="1:9" hidden="1" x14ac:dyDescent="0.3">
      <c r="A742" s="16" t="str">
        <f t="shared" si="47"/>
        <v/>
      </c>
      <c r="D742" s="14" t="str">
        <f t="shared" si="48"/>
        <v/>
      </c>
      <c r="E742" s="6" t="str">
        <f>IF(C742="","",PMT(INPUTS!$B$5,INPUTS!$B$6,-INPUTS!$B$3,0,0))</f>
        <v/>
      </c>
      <c r="F742" s="6" t="str">
        <f>IF(C742="","",IPMT(INPUTS!$B$5,C742,INPUTS!$B$6,-INPUTS!$B$3,0,0))</f>
        <v/>
      </c>
      <c r="G742" s="6" t="str">
        <f>IF(C742="","",PPMT(INPUTS!$B$5,C742,INPUTS!$B$6,-INPUTS!$B$3,0,0))</f>
        <v/>
      </c>
      <c r="H742" s="6" t="str">
        <f t="shared" si="49"/>
        <v/>
      </c>
      <c r="I742" s="6" t="str">
        <f t="shared" si="46"/>
        <v/>
      </c>
    </row>
    <row r="743" spans="1:9" hidden="1" x14ac:dyDescent="0.3">
      <c r="A743" s="16" t="str">
        <f t="shared" si="47"/>
        <v/>
      </c>
      <c r="D743" s="14" t="str">
        <f t="shared" si="48"/>
        <v/>
      </c>
      <c r="E743" s="6" t="str">
        <f>IF(C743="","",PMT(INPUTS!$B$5,INPUTS!$B$6,-INPUTS!$B$3,0,0))</f>
        <v/>
      </c>
      <c r="F743" s="6" t="str">
        <f>IF(C743="","",IPMT(INPUTS!$B$5,C743,INPUTS!$B$6,-INPUTS!$B$3,0,0))</f>
        <v/>
      </c>
      <c r="G743" s="6" t="str">
        <f>IF(C743="","",PPMT(INPUTS!$B$5,C743,INPUTS!$B$6,-INPUTS!$B$3,0,0))</f>
        <v/>
      </c>
      <c r="H743" s="6" t="str">
        <f t="shared" si="49"/>
        <v/>
      </c>
      <c r="I743" s="6" t="str">
        <f t="shared" si="46"/>
        <v/>
      </c>
    </row>
    <row r="744" spans="1:9" hidden="1" x14ac:dyDescent="0.3">
      <c r="A744" s="16" t="str">
        <f t="shared" si="47"/>
        <v/>
      </c>
      <c r="D744" s="14" t="str">
        <f t="shared" si="48"/>
        <v/>
      </c>
      <c r="E744" s="6" t="str">
        <f>IF(C744="","",PMT(INPUTS!$B$5,INPUTS!$B$6,-INPUTS!$B$3,0,0))</f>
        <v/>
      </c>
      <c r="F744" s="6" t="str">
        <f>IF(C744="","",IPMT(INPUTS!$B$5,C744,INPUTS!$B$6,-INPUTS!$B$3,0,0))</f>
        <v/>
      </c>
      <c r="G744" s="6" t="str">
        <f>IF(C744="","",PPMT(INPUTS!$B$5,C744,INPUTS!$B$6,-INPUTS!$B$3,0,0))</f>
        <v/>
      </c>
      <c r="H744" s="6" t="str">
        <f t="shared" si="49"/>
        <v/>
      </c>
      <c r="I744" s="6" t="str">
        <f t="shared" si="46"/>
        <v/>
      </c>
    </row>
    <row r="745" spans="1:9" hidden="1" x14ac:dyDescent="0.3">
      <c r="A745" s="16" t="str">
        <f t="shared" si="47"/>
        <v/>
      </c>
      <c r="D745" s="14" t="str">
        <f t="shared" si="48"/>
        <v/>
      </c>
      <c r="E745" s="6" t="str">
        <f>IF(C745="","",PMT(INPUTS!$B$5,INPUTS!$B$6,-INPUTS!$B$3,0,0))</f>
        <v/>
      </c>
      <c r="F745" s="6" t="str">
        <f>IF(C745="","",IPMT(INPUTS!$B$5,C745,INPUTS!$B$6,-INPUTS!$B$3,0,0))</f>
        <v/>
      </c>
      <c r="G745" s="6" t="str">
        <f>IF(C745="","",PPMT(INPUTS!$B$5,C745,INPUTS!$B$6,-INPUTS!$B$3,0,0))</f>
        <v/>
      </c>
      <c r="H745" s="6" t="str">
        <f t="shared" si="49"/>
        <v/>
      </c>
      <c r="I745" s="6" t="str">
        <f t="shared" si="46"/>
        <v/>
      </c>
    </row>
    <row r="746" spans="1:9" hidden="1" x14ac:dyDescent="0.3">
      <c r="A746" s="16" t="str">
        <f t="shared" si="47"/>
        <v/>
      </c>
      <c r="D746" s="14" t="str">
        <f t="shared" si="48"/>
        <v/>
      </c>
      <c r="E746" s="6" t="str">
        <f>IF(C746="","",PMT(INPUTS!$B$5,INPUTS!$B$6,-INPUTS!$B$3,0,0))</f>
        <v/>
      </c>
      <c r="F746" s="6" t="str">
        <f>IF(C746="","",IPMT(INPUTS!$B$5,C746,INPUTS!$B$6,-INPUTS!$B$3,0,0))</f>
        <v/>
      </c>
      <c r="G746" s="6" t="str">
        <f>IF(C746="","",PPMT(INPUTS!$B$5,C746,INPUTS!$B$6,-INPUTS!$B$3,0,0))</f>
        <v/>
      </c>
      <c r="H746" s="6" t="str">
        <f t="shared" si="49"/>
        <v/>
      </c>
      <c r="I746" s="6" t="str">
        <f t="shared" si="46"/>
        <v/>
      </c>
    </row>
    <row r="747" spans="1:9" hidden="1" x14ac:dyDescent="0.3">
      <c r="A747" s="16" t="str">
        <f t="shared" si="47"/>
        <v/>
      </c>
      <c r="D747" s="14" t="str">
        <f t="shared" si="48"/>
        <v/>
      </c>
      <c r="E747" s="6" t="str">
        <f>IF(C747="","",PMT(INPUTS!$B$5,INPUTS!$B$6,-INPUTS!$B$3,0,0))</f>
        <v/>
      </c>
      <c r="F747" s="6" t="str">
        <f>IF(C747="","",IPMT(INPUTS!$B$5,C747,INPUTS!$B$6,-INPUTS!$B$3,0,0))</f>
        <v/>
      </c>
      <c r="G747" s="6" t="str">
        <f>IF(C747="","",PPMT(INPUTS!$B$5,C747,INPUTS!$B$6,-INPUTS!$B$3,0,0))</f>
        <v/>
      </c>
      <c r="H747" s="6" t="str">
        <f t="shared" si="49"/>
        <v/>
      </c>
      <c r="I747" s="6" t="str">
        <f t="shared" si="46"/>
        <v/>
      </c>
    </row>
    <row r="748" spans="1:9" hidden="1" x14ac:dyDescent="0.3">
      <c r="A748" s="16" t="str">
        <f t="shared" si="47"/>
        <v/>
      </c>
      <c r="D748" s="14" t="str">
        <f t="shared" si="48"/>
        <v/>
      </c>
      <c r="E748" s="6" t="str">
        <f>IF(C748="","",PMT(INPUTS!$B$5,INPUTS!$B$6,-INPUTS!$B$3,0,0))</f>
        <v/>
      </c>
      <c r="F748" s="6" t="str">
        <f>IF(C748="","",IPMT(INPUTS!$B$5,C748,INPUTS!$B$6,-INPUTS!$B$3,0,0))</f>
        <v/>
      </c>
      <c r="G748" s="6" t="str">
        <f>IF(C748="","",PPMT(INPUTS!$B$5,C748,INPUTS!$B$6,-INPUTS!$B$3,0,0))</f>
        <v/>
      </c>
      <c r="H748" s="6" t="str">
        <f t="shared" si="49"/>
        <v/>
      </c>
      <c r="I748" s="6" t="str">
        <f t="shared" si="46"/>
        <v/>
      </c>
    </row>
    <row r="749" spans="1:9" hidden="1" x14ac:dyDescent="0.3">
      <c r="A749" s="16" t="str">
        <f t="shared" si="47"/>
        <v/>
      </c>
      <c r="D749" s="14" t="str">
        <f t="shared" si="48"/>
        <v/>
      </c>
      <c r="E749" s="6" t="str">
        <f>IF(C749="","",PMT(INPUTS!$B$5,INPUTS!$B$6,-INPUTS!$B$3,0,0))</f>
        <v/>
      </c>
      <c r="F749" s="6" t="str">
        <f>IF(C749="","",IPMT(INPUTS!$B$5,C749,INPUTS!$B$6,-INPUTS!$B$3,0,0))</f>
        <v/>
      </c>
      <c r="G749" s="6" t="str">
        <f>IF(C749="","",PPMT(INPUTS!$B$5,C749,INPUTS!$B$6,-INPUTS!$B$3,0,0))</f>
        <v/>
      </c>
      <c r="H749" s="6" t="str">
        <f t="shared" si="49"/>
        <v/>
      </c>
      <c r="I749" s="6" t="str">
        <f t="shared" si="46"/>
        <v/>
      </c>
    </row>
    <row r="750" spans="1:9" hidden="1" x14ac:dyDescent="0.3">
      <c r="A750" s="16" t="str">
        <f t="shared" si="47"/>
        <v/>
      </c>
      <c r="D750" s="14" t="str">
        <f t="shared" si="48"/>
        <v/>
      </c>
      <c r="E750" s="6" t="str">
        <f>IF(C750="","",PMT(INPUTS!$B$5,INPUTS!$B$6,-INPUTS!$B$3,0,0))</f>
        <v/>
      </c>
      <c r="F750" s="6" t="str">
        <f>IF(C750="","",IPMT(INPUTS!$B$5,C750,INPUTS!$B$6,-INPUTS!$B$3,0,0))</f>
        <v/>
      </c>
      <c r="G750" s="6" t="str">
        <f>IF(C750="","",PPMT(INPUTS!$B$5,C750,INPUTS!$B$6,-INPUTS!$B$3,0,0))</f>
        <v/>
      </c>
      <c r="H750" s="6" t="str">
        <f t="shared" si="49"/>
        <v/>
      </c>
      <c r="I750" s="6" t="str">
        <f t="shared" si="46"/>
        <v/>
      </c>
    </row>
    <row r="751" spans="1:9" hidden="1" x14ac:dyDescent="0.3">
      <c r="A751" s="16" t="str">
        <f t="shared" si="47"/>
        <v/>
      </c>
      <c r="D751" s="14" t="str">
        <f t="shared" si="48"/>
        <v/>
      </c>
      <c r="E751" s="6" t="str">
        <f>IF(C751="","",PMT(INPUTS!$B$5,INPUTS!$B$6,-INPUTS!$B$3,0,0))</f>
        <v/>
      </c>
      <c r="F751" s="6" t="str">
        <f>IF(C751="","",IPMT(INPUTS!$B$5,C751,INPUTS!$B$6,-INPUTS!$B$3,0,0))</f>
        <v/>
      </c>
      <c r="G751" s="6" t="str">
        <f>IF(C751="","",PPMT(INPUTS!$B$5,C751,INPUTS!$B$6,-INPUTS!$B$3,0,0))</f>
        <v/>
      </c>
      <c r="H751" s="6" t="str">
        <f t="shared" si="49"/>
        <v/>
      </c>
      <c r="I751" s="6" t="str">
        <f t="shared" si="46"/>
        <v/>
      </c>
    </row>
    <row r="752" spans="1:9" hidden="1" x14ac:dyDescent="0.3">
      <c r="A752" s="16" t="str">
        <f t="shared" si="47"/>
        <v/>
      </c>
      <c r="D752" s="14" t="str">
        <f t="shared" si="48"/>
        <v/>
      </c>
      <c r="E752" s="6" t="str">
        <f>IF(C752="","",PMT(INPUTS!$B$5,INPUTS!$B$6,-INPUTS!$B$3,0,0))</f>
        <v/>
      </c>
      <c r="F752" s="6" t="str">
        <f>IF(C752="","",IPMT(INPUTS!$B$5,C752,INPUTS!$B$6,-INPUTS!$B$3,0,0))</f>
        <v/>
      </c>
      <c r="G752" s="6" t="str">
        <f>IF(C752="","",PPMT(INPUTS!$B$5,C752,INPUTS!$B$6,-INPUTS!$B$3,0,0))</f>
        <v/>
      </c>
      <c r="H752" s="6" t="str">
        <f t="shared" si="49"/>
        <v/>
      </c>
      <c r="I752" s="6" t="str">
        <f t="shared" ref="I752:I815" si="50">IF(C752="","",H752-G752)</f>
        <v/>
      </c>
    </row>
    <row r="753" spans="1:9" hidden="1" x14ac:dyDescent="0.3">
      <c r="A753" s="16" t="str">
        <f t="shared" si="47"/>
        <v/>
      </c>
      <c r="D753" s="14" t="str">
        <f t="shared" si="48"/>
        <v/>
      </c>
      <c r="E753" s="6" t="str">
        <f>IF(C753="","",PMT(INPUTS!$B$5,INPUTS!$B$6,-INPUTS!$B$3,0,0))</f>
        <v/>
      </c>
      <c r="F753" s="6" t="str">
        <f>IF(C753="","",IPMT(INPUTS!$B$5,C753,INPUTS!$B$6,-INPUTS!$B$3,0,0))</f>
        <v/>
      </c>
      <c r="G753" s="6" t="str">
        <f>IF(C753="","",PPMT(INPUTS!$B$5,C753,INPUTS!$B$6,-INPUTS!$B$3,0,0))</f>
        <v/>
      </c>
      <c r="H753" s="6" t="str">
        <f t="shared" si="49"/>
        <v/>
      </c>
      <c r="I753" s="6" t="str">
        <f t="shared" si="50"/>
        <v/>
      </c>
    </row>
    <row r="754" spans="1:9" hidden="1" x14ac:dyDescent="0.3">
      <c r="A754" s="16" t="str">
        <f t="shared" si="47"/>
        <v/>
      </c>
      <c r="D754" s="14" t="str">
        <f t="shared" si="48"/>
        <v/>
      </c>
      <c r="E754" s="6" t="str">
        <f>IF(C754="","",PMT(INPUTS!$B$5,INPUTS!$B$6,-INPUTS!$B$3,0,0))</f>
        <v/>
      </c>
      <c r="F754" s="6" t="str">
        <f>IF(C754="","",IPMT(INPUTS!$B$5,C754,INPUTS!$B$6,-INPUTS!$B$3,0,0))</f>
        <v/>
      </c>
      <c r="G754" s="6" t="str">
        <f>IF(C754="","",PPMT(INPUTS!$B$5,C754,INPUTS!$B$6,-INPUTS!$B$3,0,0))</f>
        <v/>
      </c>
      <c r="H754" s="6" t="str">
        <f t="shared" si="49"/>
        <v/>
      </c>
      <c r="I754" s="6" t="str">
        <f t="shared" si="50"/>
        <v/>
      </c>
    </row>
    <row r="755" spans="1:9" hidden="1" x14ac:dyDescent="0.3">
      <c r="A755" s="16" t="str">
        <f t="shared" si="47"/>
        <v/>
      </c>
      <c r="D755" s="14" t="str">
        <f t="shared" si="48"/>
        <v/>
      </c>
      <c r="E755" s="6" t="str">
        <f>IF(C755="","",PMT(INPUTS!$B$5,INPUTS!$B$6,-INPUTS!$B$3,0,0))</f>
        <v/>
      </c>
      <c r="F755" s="6" t="str">
        <f>IF(C755="","",IPMT(INPUTS!$B$5,C755,INPUTS!$B$6,-INPUTS!$B$3,0,0))</f>
        <v/>
      </c>
      <c r="G755" s="6" t="str">
        <f>IF(C755="","",PPMT(INPUTS!$B$5,C755,INPUTS!$B$6,-INPUTS!$B$3,0,0))</f>
        <v/>
      </c>
      <c r="H755" s="6" t="str">
        <f t="shared" si="49"/>
        <v/>
      </c>
      <c r="I755" s="6" t="str">
        <f t="shared" si="50"/>
        <v/>
      </c>
    </row>
    <row r="756" spans="1:9" hidden="1" x14ac:dyDescent="0.3">
      <c r="A756" s="16" t="str">
        <f t="shared" si="47"/>
        <v/>
      </c>
      <c r="D756" s="14" t="str">
        <f t="shared" si="48"/>
        <v/>
      </c>
      <c r="E756" s="6" t="str">
        <f>IF(C756="","",PMT(INPUTS!$B$5,INPUTS!$B$6,-INPUTS!$B$3,0,0))</f>
        <v/>
      </c>
      <c r="F756" s="6" t="str">
        <f>IF(C756="","",IPMT(INPUTS!$B$5,C756,INPUTS!$B$6,-INPUTS!$B$3,0,0))</f>
        <v/>
      </c>
      <c r="G756" s="6" t="str">
        <f>IF(C756="","",PPMT(INPUTS!$B$5,C756,INPUTS!$B$6,-INPUTS!$B$3,0,0))</f>
        <v/>
      </c>
      <c r="H756" s="6" t="str">
        <f t="shared" si="49"/>
        <v/>
      </c>
      <c r="I756" s="6" t="str">
        <f t="shared" si="50"/>
        <v/>
      </c>
    </row>
    <row r="757" spans="1:9" hidden="1" x14ac:dyDescent="0.3">
      <c r="A757" s="16" t="str">
        <f t="shared" si="47"/>
        <v/>
      </c>
      <c r="D757" s="14" t="str">
        <f t="shared" si="48"/>
        <v/>
      </c>
      <c r="E757" s="6" t="str">
        <f>IF(C757="","",PMT(INPUTS!$B$5,INPUTS!$B$6,-INPUTS!$B$3,0,0))</f>
        <v/>
      </c>
      <c r="F757" s="6" t="str">
        <f>IF(C757="","",IPMT(INPUTS!$B$5,C757,INPUTS!$B$6,-INPUTS!$B$3,0,0))</f>
        <v/>
      </c>
      <c r="G757" s="6" t="str">
        <f>IF(C757="","",PPMT(INPUTS!$B$5,C757,INPUTS!$B$6,-INPUTS!$B$3,0,0))</f>
        <v/>
      </c>
      <c r="H757" s="6" t="str">
        <f t="shared" si="49"/>
        <v/>
      </c>
      <c r="I757" s="6" t="str">
        <f t="shared" si="50"/>
        <v/>
      </c>
    </row>
    <row r="758" spans="1:9" hidden="1" x14ac:dyDescent="0.3">
      <c r="A758" s="16" t="str">
        <f t="shared" si="47"/>
        <v/>
      </c>
      <c r="D758" s="14" t="str">
        <f t="shared" si="48"/>
        <v/>
      </c>
      <c r="E758" s="6" t="str">
        <f>IF(C758="","",PMT(INPUTS!$B$5,INPUTS!$B$6,-INPUTS!$B$3,0,0))</f>
        <v/>
      </c>
      <c r="F758" s="6" t="str">
        <f>IF(C758="","",IPMT(INPUTS!$B$5,C758,INPUTS!$B$6,-INPUTS!$B$3,0,0))</f>
        <v/>
      </c>
      <c r="G758" s="6" t="str">
        <f>IF(C758="","",PPMT(INPUTS!$B$5,C758,INPUTS!$B$6,-INPUTS!$B$3,0,0))</f>
        <v/>
      </c>
      <c r="H758" s="6" t="str">
        <f t="shared" si="49"/>
        <v/>
      </c>
      <c r="I758" s="6" t="str">
        <f t="shared" si="50"/>
        <v/>
      </c>
    </row>
    <row r="759" spans="1:9" hidden="1" x14ac:dyDescent="0.3">
      <c r="A759" s="16" t="str">
        <f t="shared" si="47"/>
        <v/>
      </c>
      <c r="D759" s="14" t="str">
        <f t="shared" si="48"/>
        <v/>
      </c>
      <c r="E759" s="6" t="str">
        <f>IF(C759="","",PMT(INPUTS!$B$5,INPUTS!$B$6,-INPUTS!$B$3,0,0))</f>
        <v/>
      </c>
      <c r="F759" s="6" t="str">
        <f>IF(C759="","",IPMT(INPUTS!$B$5,C759,INPUTS!$B$6,-INPUTS!$B$3,0,0))</f>
        <v/>
      </c>
      <c r="G759" s="6" t="str">
        <f>IF(C759="","",PPMT(INPUTS!$B$5,C759,INPUTS!$B$6,-INPUTS!$B$3,0,0))</f>
        <v/>
      </c>
      <c r="H759" s="6" t="str">
        <f t="shared" si="49"/>
        <v/>
      </c>
      <c r="I759" s="6" t="str">
        <f t="shared" si="50"/>
        <v/>
      </c>
    </row>
    <row r="760" spans="1:9" hidden="1" x14ac:dyDescent="0.3">
      <c r="A760" s="16" t="str">
        <f t="shared" si="47"/>
        <v/>
      </c>
      <c r="D760" s="14" t="str">
        <f t="shared" si="48"/>
        <v/>
      </c>
      <c r="E760" s="6" t="str">
        <f>IF(C760="","",PMT(INPUTS!$B$5,INPUTS!$B$6,-INPUTS!$B$3,0,0))</f>
        <v/>
      </c>
      <c r="F760" s="6" t="str">
        <f>IF(C760="","",IPMT(INPUTS!$B$5,C760,INPUTS!$B$6,-INPUTS!$B$3,0,0))</f>
        <v/>
      </c>
      <c r="G760" s="6" t="str">
        <f>IF(C760="","",PPMT(INPUTS!$B$5,C760,INPUTS!$B$6,-INPUTS!$B$3,0,0))</f>
        <v/>
      </c>
      <c r="H760" s="6" t="str">
        <f t="shared" si="49"/>
        <v/>
      </c>
      <c r="I760" s="6" t="str">
        <f t="shared" si="50"/>
        <v/>
      </c>
    </row>
    <row r="761" spans="1:9" hidden="1" x14ac:dyDescent="0.3">
      <c r="A761" s="16" t="str">
        <f t="shared" si="47"/>
        <v/>
      </c>
      <c r="D761" s="14" t="str">
        <f t="shared" si="48"/>
        <v/>
      </c>
      <c r="E761" s="6" t="str">
        <f>IF(C761="","",PMT(INPUTS!$B$5,INPUTS!$B$6,-INPUTS!$B$3,0,0))</f>
        <v/>
      </c>
      <c r="F761" s="6" t="str">
        <f>IF(C761="","",IPMT(INPUTS!$B$5,C761,INPUTS!$B$6,-INPUTS!$B$3,0,0))</f>
        <v/>
      </c>
      <c r="G761" s="6" t="str">
        <f>IF(C761="","",PPMT(INPUTS!$B$5,C761,INPUTS!$B$6,-INPUTS!$B$3,0,0))</f>
        <v/>
      </c>
      <c r="H761" s="6" t="str">
        <f t="shared" si="49"/>
        <v/>
      </c>
      <c r="I761" s="6" t="str">
        <f t="shared" si="50"/>
        <v/>
      </c>
    </row>
    <row r="762" spans="1:9" hidden="1" x14ac:dyDescent="0.3">
      <c r="A762" s="16" t="str">
        <f t="shared" si="47"/>
        <v/>
      </c>
      <c r="D762" s="14" t="str">
        <f t="shared" si="48"/>
        <v/>
      </c>
      <c r="E762" s="6" t="str">
        <f>IF(C762="","",PMT(INPUTS!$B$5,INPUTS!$B$6,-INPUTS!$B$3,0,0))</f>
        <v/>
      </c>
      <c r="F762" s="6" t="str">
        <f>IF(C762="","",IPMT(INPUTS!$B$5,C762,INPUTS!$B$6,-INPUTS!$B$3,0,0))</f>
        <v/>
      </c>
      <c r="G762" s="6" t="str">
        <f>IF(C762="","",PPMT(INPUTS!$B$5,C762,INPUTS!$B$6,-INPUTS!$B$3,0,0))</f>
        <v/>
      </c>
      <c r="H762" s="6" t="str">
        <f t="shared" si="49"/>
        <v/>
      </c>
      <c r="I762" s="6" t="str">
        <f t="shared" si="50"/>
        <v/>
      </c>
    </row>
    <row r="763" spans="1:9" hidden="1" x14ac:dyDescent="0.3">
      <c r="A763" s="16" t="str">
        <f t="shared" si="47"/>
        <v/>
      </c>
      <c r="D763" s="14" t="str">
        <f t="shared" si="48"/>
        <v/>
      </c>
      <c r="E763" s="6" t="str">
        <f>IF(C763="","",PMT(INPUTS!$B$5,INPUTS!$B$6,-INPUTS!$B$3,0,0))</f>
        <v/>
      </c>
      <c r="F763" s="6" t="str">
        <f>IF(C763="","",IPMT(INPUTS!$B$5,C763,INPUTS!$B$6,-INPUTS!$B$3,0,0))</f>
        <v/>
      </c>
      <c r="G763" s="6" t="str">
        <f>IF(C763="","",PPMT(INPUTS!$B$5,C763,INPUTS!$B$6,-INPUTS!$B$3,0,0))</f>
        <v/>
      </c>
      <c r="H763" s="6" t="str">
        <f t="shared" si="49"/>
        <v/>
      </c>
      <c r="I763" s="6" t="str">
        <f t="shared" si="50"/>
        <v/>
      </c>
    </row>
    <row r="764" spans="1:9" hidden="1" x14ac:dyDescent="0.3">
      <c r="A764" s="16" t="str">
        <f t="shared" si="47"/>
        <v/>
      </c>
      <c r="D764" s="14" t="str">
        <f t="shared" si="48"/>
        <v/>
      </c>
      <c r="E764" s="6" t="str">
        <f>IF(C764="","",PMT(INPUTS!$B$5,INPUTS!$B$6,-INPUTS!$B$3,0,0))</f>
        <v/>
      </c>
      <c r="F764" s="6" t="str">
        <f>IF(C764="","",IPMT(INPUTS!$B$5,C764,INPUTS!$B$6,-INPUTS!$B$3,0,0))</f>
        <v/>
      </c>
      <c r="G764" s="6" t="str">
        <f>IF(C764="","",PPMT(INPUTS!$B$5,C764,INPUTS!$B$6,-INPUTS!$B$3,0,0))</f>
        <v/>
      </c>
      <c r="H764" s="6" t="str">
        <f t="shared" si="49"/>
        <v/>
      </c>
      <c r="I764" s="6" t="str">
        <f t="shared" si="50"/>
        <v/>
      </c>
    </row>
    <row r="765" spans="1:9" hidden="1" x14ac:dyDescent="0.3">
      <c r="A765" s="16" t="str">
        <f t="shared" si="47"/>
        <v/>
      </c>
      <c r="D765" s="14" t="str">
        <f t="shared" si="48"/>
        <v/>
      </c>
      <c r="E765" s="6" t="str">
        <f>IF(C765="","",PMT(INPUTS!$B$5,INPUTS!$B$6,-INPUTS!$B$3,0,0))</f>
        <v/>
      </c>
      <c r="F765" s="6" t="str">
        <f>IF(C765="","",IPMT(INPUTS!$B$5,C765,INPUTS!$B$6,-INPUTS!$B$3,0,0))</f>
        <v/>
      </c>
      <c r="G765" s="6" t="str">
        <f>IF(C765="","",PPMT(INPUTS!$B$5,C765,INPUTS!$B$6,-INPUTS!$B$3,0,0))</f>
        <v/>
      </c>
      <c r="H765" s="6" t="str">
        <f t="shared" si="49"/>
        <v/>
      </c>
      <c r="I765" s="6" t="str">
        <f t="shared" si="50"/>
        <v/>
      </c>
    </row>
    <row r="766" spans="1:9" hidden="1" x14ac:dyDescent="0.3">
      <c r="A766" s="16" t="str">
        <f t="shared" si="47"/>
        <v/>
      </c>
      <c r="D766" s="14" t="str">
        <f t="shared" si="48"/>
        <v/>
      </c>
      <c r="E766" s="6" t="str">
        <f>IF(C766="","",PMT(INPUTS!$B$5,INPUTS!$B$6,-INPUTS!$B$3,0,0))</f>
        <v/>
      </c>
      <c r="F766" s="6" t="str">
        <f>IF(C766="","",IPMT(INPUTS!$B$5,C766,INPUTS!$B$6,-INPUTS!$B$3,0,0))</f>
        <v/>
      </c>
      <c r="G766" s="6" t="str">
        <f>IF(C766="","",PPMT(INPUTS!$B$5,C766,INPUTS!$B$6,-INPUTS!$B$3,0,0))</f>
        <v/>
      </c>
      <c r="H766" s="6" t="str">
        <f t="shared" si="49"/>
        <v/>
      </c>
      <c r="I766" s="6" t="str">
        <f t="shared" si="50"/>
        <v/>
      </c>
    </row>
    <row r="767" spans="1:9" hidden="1" x14ac:dyDescent="0.3">
      <c r="A767" s="16" t="str">
        <f t="shared" si="47"/>
        <v/>
      </c>
      <c r="D767" s="14" t="str">
        <f t="shared" si="48"/>
        <v/>
      </c>
      <c r="E767" s="6" t="str">
        <f>IF(C767="","",PMT(INPUTS!$B$5,INPUTS!$B$6,-INPUTS!$B$3,0,0))</f>
        <v/>
      </c>
      <c r="F767" s="6" t="str">
        <f>IF(C767="","",IPMT(INPUTS!$B$5,C767,INPUTS!$B$6,-INPUTS!$B$3,0,0))</f>
        <v/>
      </c>
      <c r="G767" s="6" t="str">
        <f>IF(C767="","",PPMT(INPUTS!$B$5,C767,INPUTS!$B$6,-INPUTS!$B$3,0,0))</f>
        <v/>
      </c>
      <c r="H767" s="6" t="str">
        <f t="shared" si="49"/>
        <v/>
      </c>
      <c r="I767" s="6" t="str">
        <f t="shared" si="50"/>
        <v/>
      </c>
    </row>
    <row r="768" spans="1:9" hidden="1" x14ac:dyDescent="0.3">
      <c r="A768" s="16" t="str">
        <f t="shared" si="47"/>
        <v/>
      </c>
      <c r="D768" s="14" t="str">
        <f t="shared" si="48"/>
        <v/>
      </c>
      <c r="E768" s="6" t="str">
        <f>IF(C768="","",PMT(INPUTS!$B$5,INPUTS!$B$6,-INPUTS!$B$3,0,0))</f>
        <v/>
      </c>
      <c r="F768" s="6" t="str">
        <f>IF(C768="","",IPMT(INPUTS!$B$5,C768,INPUTS!$B$6,-INPUTS!$B$3,0,0))</f>
        <v/>
      </c>
      <c r="G768" s="6" t="str">
        <f>IF(C768="","",PPMT(INPUTS!$B$5,C768,INPUTS!$B$6,-INPUTS!$B$3,0,0))</f>
        <v/>
      </c>
      <c r="H768" s="6" t="str">
        <f t="shared" si="49"/>
        <v/>
      </c>
      <c r="I768" s="6" t="str">
        <f t="shared" si="50"/>
        <v/>
      </c>
    </row>
    <row r="769" spans="1:9" hidden="1" x14ac:dyDescent="0.3">
      <c r="A769" s="16" t="str">
        <f t="shared" si="47"/>
        <v/>
      </c>
      <c r="D769" s="14" t="str">
        <f t="shared" si="48"/>
        <v/>
      </c>
      <c r="E769" s="6" t="str">
        <f>IF(C769="","",PMT(INPUTS!$B$5,INPUTS!$B$6,-INPUTS!$B$3,0,0))</f>
        <v/>
      </c>
      <c r="F769" s="6" t="str">
        <f>IF(C769="","",IPMT(INPUTS!$B$5,C769,INPUTS!$B$6,-INPUTS!$B$3,0,0))</f>
        <v/>
      </c>
      <c r="G769" s="6" t="str">
        <f>IF(C769="","",PPMT(INPUTS!$B$5,C769,INPUTS!$B$6,-INPUTS!$B$3,0,0))</f>
        <v/>
      </c>
      <c r="H769" s="6" t="str">
        <f t="shared" si="49"/>
        <v/>
      </c>
      <c r="I769" s="6" t="str">
        <f t="shared" si="50"/>
        <v/>
      </c>
    </row>
    <row r="770" spans="1:9" hidden="1" x14ac:dyDescent="0.3">
      <c r="A770" s="16" t="str">
        <f t="shared" si="47"/>
        <v/>
      </c>
      <c r="D770" s="14" t="str">
        <f t="shared" si="48"/>
        <v/>
      </c>
      <c r="E770" s="6" t="str">
        <f>IF(C770="","",PMT(INPUTS!$B$5,INPUTS!$B$6,-INPUTS!$B$3,0,0))</f>
        <v/>
      </c>
      <c r="F770" s="6" t="str">
        <f>IF(C770="","",IPMT(INPUTS!$B$5,C770,INPUTS!$B$6,-INPUTS!$B$3,0,0))</f>
        <v/>
      </c>
      <c r="G770" s="6" t="str">
        <f>IF(C770="","",PPMT(INPUTS!$B$5,C770,INPUTS!$B$6,-INPUTS!$B$3,0,0))</f>
        <v/>
      </c>
      <c r="H770" s="6" t="str">
        <f t="shared" si="49"/>
        <v/>
      </c>
      <c r="I770" s="6" t="str">
        <f t="shared" si="50"/>
        <v/>
      </c>
    </row>
    <row r="771" spans="1:9" hidden="1" x14ac:dyDescent="0.3">
      <c r="A771" s="16" t="str">
        <f t="shared" si="47"/>
        <v/>
      </c>
      <c r="D771" s="14" t="str">
        <f t="shared" si="48"/>
        <v/>
      </c>
      <c r="E771" s="6" t="str">
        <f>IF(C771="","",PMT(INPUTS!$B$5,INPUTS!$B$6,-INPUTS!$B$3,0,0))</f>
        <v/>
      </c>
      <c r="F771" s="6" t="str">
        <f>IF(C771="","",IPMT(INPUTS!$B$5,C771,INPUTS!$B$6,-INPUTS!$B$3,0,0))</f>
        <v/>
      </c>
      <c r="G771" s="6" t="str">
        <f>IF(C771="","",PPMT(INPUTS!$B$5,C771,INPUTS!$B$6,-INPUTS!$B$3,0,0))</f>
        <v/>
      </c>
      <c r="H771" s="6" t="str">
        <f t="shared" si="49"/>
        <v/>
      </c>
      <c r="I771" s="6" t="str">
        <f t="shared" si="50"/>
        <v/>
      </c>
    </row>
    <row r="772" spans="1:9" hidden="1" x14ac:dyDescent="0.3">
      <c r="A772" s="16" t="str">
        <f t="shared" si="47"/>
        <v/>
      </c>
      <c r="D772" s="14" t="str">
        <f t="shared" si="48"/>
        <v/>
      </c>
      <c r="E772" s="6" t="str">
        <f>IF(C772="","",PMT(INPUTS!$B$5,INPUTS!$B$6,-INPUTS!$B$3,0,0))</f>
        <v/>
      </c>
      <c r="F772" s="6" t="str">
        <f>IF(C772="","",IPMT(INPUTS!$B$5,C772,INPUTS!$B$6,-INPUTS!$B$3,0,0))</f>
        <v/>
      </c>
      <c r="G772" s="6" t="str">
        <f>IF(C772="","",PPMT(INPUTS!$B$5,C772,INPUTS!$B$6,-INPUTS!$B$3,0,0))</f>
        <v/>
      </c>
      <c r="H772" s="6" t="str">
        <f t="shared" si="49"/>
        <v/>
      </c>
      <c r="I772" s="6" t="str">
        <f t="shared" si="50"/>
        <v/>
      </c>
    </row>
    <row r="773" spans="1:9" hidden="1" x14ac:dyDescent="0.3">
      <c r="A773" s="16" t="str">
        <f t="shared" si="47"/>
        <v/>
      </c>
      <c r="D773" s="14" t="str">
        <f t="shared" si="48"/>
        <v/>
      </c>
      <c r="E773" s="6" t="str">
        <f>IF(C773="","",PMT(INPUTS!$B$5,INPUTS!$B$6,-INPUTS!$B$3,0,0))</f>
        <v/>
      </c>
      <c r="F773" s="6" t="str">
        <f>IF(C773="","",IPMT(INPUTS!$B$5,C773,INPUTS!$B$6,-INPUTS!$B$3,0,0))</f>
        <v/>
      </c>
      <c r="G773" s="6" t="str">
        <f>IF(C773="","",PPMT(INPUTS!$B$5,C773,INPUTS!$B$6,-INPUTS!$B$3,0,0))</f>
        <v/>
      </c>
      <c r="H773" s="6" t="str">
        <f t="shared" si="49"/>
        <v/>
      </c>
      <c r="I773" s="6" t="str">
        <f t="shared" si="50"/>
        <v/>
      </c>
    </row>
    <row r="774" spans="1:9" hidden="1" x14ac:dyDescent="0.3">
      <c r="A774" s="16" t="str">
        <f t="shared" si="47"/>
        <v/>
      </c>
      <c r="D774" s="14" t="str">
        <f t="shared" si="48"/>
        <v/>
      </c>
      <c r="E774" s="6" t="str">
        <f>IF(C774="","",PMT(INPUTS!$B$5,INPUTS!$B$6,-INPUTS!$B$3,0,0))</f>
        <v/>
      </c>
      <c r="F774" s="6" t="str">
        <f>IF(C774="","",IPMT(INPUTS!$B$5,C774,INPUTS!$B$6,-INPUTS!$B$3,0,0))</f>
        <v/>
      </c>
      <c r="G774" s="6" t="str">
        <f>IF(C774="","",PPMT(INPUTS!$B$5,C774,INPUTS!$B$6,-INPUTS!$B$3,0,0))</f>
        <v/>
      </c>
      <c r="H774" s="6" t="str">
        <f t="shared" si="49"/>
        <v/>
      </c>
      <c r="I774" s="6" t="str">
        <f t="shared" si="50"/>
        <v/>
      </c>
    </row>
    <row r="775" spans="1:9" hidden="1" x14ac:dyDescent="0.3">
      <c r="A775" s="16" t="str">
        <f t="shared" si="47"/>
        <v/>
      </c>
      <c r="D775" s="14" t="str">
        <f t="shared" si="48"/>
        <v/>
      </c>
      <c r="E775" s="6" t="str">
        <f>IF(C775="","",PMT(INPUTS!$B$5,INPUTS!$B$6,-INPUTS!$B$3,0,0))</f>
        <v/>
      </c>
      <c r="F775" s="6" t="str">
        <f>IF(C775="","",IPMT(INPUTS!$B$5,C775,INPUTS!$B$6,-INPUTS!$B$3,0,0))</f>
        <v/>
      </c>
      <c r="G775" s="6" t="str">
        <f>IF(C775="","",PPMT(INPUTS!$B$5,C775,INPUTS!$B$6,-INPUTS!$B$3,0,0))</f>
        <v/>
      </c>
      <c r="H775" s="6" t="str">
        <f t="shared" si="49"/>
        <v/>
      </c>
      <c r="I775" s="6" t="str">
        <f t="shared" si="50"/>
        <v/>
      </c>
    </row>
    <row r="776" spans="1:9" hidden="1" x14ac:dyDescent="0.3">
      <c r="A776" s="16" t="str">
        <f t="shared" si="47"/>
        <v/>
      </c>
      <c r="D776" s="14" t="str">
        <f t="shared" si="48"/>
        <v/>
      </c>
      <c r="E776" s="6" t="str">
        <f>IF(C776="","",PMT(INPUTS!$B$5,INPUTS!$B$6,-INPUTS!$B$3,0,0))</f>
        <v/>
      </c>
      <c r="F776" s="6" t="str">
        <f>IF(C776="","",IPMT(INPUTS!$B$5,C776,INPUTS!$B$6,-INPUTS!$B$3,0,0))</f>
        <v/>
      </c>
      <c r="G776" s="6" t="str">
        <f>IF(C776="","",PPMT(INPUTS!$B$5,C776,INPUTS!$B$6,-INPUTS!$B$3,0,0))</f>
        <v/>
      </c>
      <c r="H776" s="6" t="str">
        <f t="shared" si="49"/>
        <v/>
      </c>
      <c r="I776" s="6" t="str">
        <f t="shared" si="50"/>
        <v/>
      </c>
    </row>
    <row r="777" spans="1:9" hidden="1" x14ac:dyDescent="0.3">
      <c r="A777" s="16" t="str">
        <f t="shared" si="47"/>
        <v/>
      </c>
      <c r="D777" s="14" t="str">
        <f t="shared" si="48"/>
        <v/>
      </c>
      <c r="E777" s="6" t="str">
        <f>IF(C777="","",PMT(INPUTS!$B$5,INPUTS!$B$6,-INPUTS!$B$3,0,0))</f>
        <v/>
      </c>
      <c r="F777" s="6" t="str">
        <f>IF(C777="","",IPMT(INPUTS!$B$5,C777,INPUTS!$B$6,-INPUTS!$B$3,0,0))</f>
        <v/>
      </c>
      <c r="G777" s="6" t="str">
        <f>IF(C777="","",PPMT(INPUTS!$B$5,C777,INPUTS!$B$6,-INPUTS!$B$3,0,0))</f>
        <v/>
      </c>
      <c r="H777" s="6" t="str">
        <f t="shared" si="49"/>
        <v/>
      </c>
      <c r="I777" s="6" t="str">
        <f t="shared" si="50"/>
        <v/>
      </c>
    </row>
    <row r="778" spans="1:9" hidden="1" x14ac:dyDescent="0.3">
      <c r="A778" s="16" t="str">
        <f t="shared" si="47"/>
        <v/>
      </c>
      <c r="D778" s="14" t="str">
        <f t="shared" si="48"/>
        <v/>
      </c>
      <c r="E778" s="6" t="str">
        <f>IF(C778="","",PMT(INPUTS!$B$5,INPUTS!$B$6,-INPUTS!$B$3,0,0))</f>
        <v/>
      </c>
      <c r="F778" s="6" t="str">
        <f>IF(C778="","",IPMT(INPUTS!$B$5,C778,INPUTS!$B$6,-INPUTS!$B$3,0,0))</f>
        <v/>
      </c>
      <c r="G778" s="6" t="str">
        <f>IF(C778="","",PPMT(INPUTS!$B$5,C778,INPUTS!$B$6,-INPUTS!$B$3,0,0))</f>
        <v/>
      </c>
      <c r="H778" s="6" t="str">
        <f t="shared" si="49"/>
        <v/>
      </c>
      <c r="I778" s="6" t="str">
        <f t="shared" si="50"/>
        <v/>
      </c>
    </row>
    <row r="779" spans="1:9" hidden="1" x14ac:dyDescent="0.3">
      <c r="A779" s="16" t="str">
        <f t="shared" si="47"/>
        <v/>
      </c>
      <c r="D779" s="14" t="str">
        <f t="shared" si="48"/>
        <v/>
      </c>
      <c r="E779" s="6" t="str">
        <f>IF(C779="","",PMT(INPUTS!$B$5,INPUTS!$B$6,-INPUTS!$B$3,0,0))</f>
        <v/>
      </c>
      <c r="F779" s="6" t="str">
        <f>IF(C779="","",IPMT(INPUTS!$B$5,C779,INPUTS!$B$6,-INPUTS!$B$3,0,0))</f>
        <v/>
      </c>
      <c r="G779" s="6" t="str">
        <f>IF(C779="","",PPMT(INPUTS!$B$5,C779,INPUTS!$B$6,-INPUTS!$B$3,0,0))</f>
        <v/>
      </c>
      <c r="H779" s="6" t="str">
        <f t="shared" si="49"/>
        <v/>
      </c>
      <c r="I779" s="6" t="str">
        <f t="shared" si="50"/>
        <v/>
      </c>
    </row>
    <row r="780" spans="1:9" hidden="1" x14ac:dyDescent="0.3">
      <c r="A780" s="16" t="str">
        <f t="shared" si="47"/>
        <v/>
      </c>
      <c r="D780" s="14" t="str">
        <f t="shared" si="48"/>
        <v/>
      </c>
      <c r="E780" s="6" t="str">
        <f>IF(C780="","",PMT(INPUTS!$B$5,INPUTS!$B$6,-INPUTS!$B$3,0,0))</f>
        <v/>
      </c>
      <c r="F780" s="6" t="str">
        <f>IF(C780="","",IPMT(INPUTS!$B$5,C780,INPUTS!$B$6,-INPUTS!$B$3,0,0))</f>
        <v/>
      </c>
      <c r="G780" s="6" t="str">
        <f>IF(C780="","",PPMT(INPUTS!$B$5,C780,INPUTS!$B$6,-INPUTS!$B$3,0,0))</f>
        <v/>
      </c>
      <c r="H780" s="6" t="str">
        <f t="shared" si="49"/>
        <v/>
      </c>
      <c r="I780" s="6" t="str">
        <f t="shared" si="50"/>
        <v/>
      </c>
    </row>
    <row r="781" spans="1:9" hidden="1" x14ac:dyDescent="0.3">
      <c r="A781" s="16" t="str">
        <f t="shared" si="47"/>
        <v/>
      </c>
      <c r="D781" s="14" t="str">
        <f t="shared" si="48"/>
        <v/>
      </c>
      <c r="E781" s="6" t="str">
        <f>IF(C781="","",PMT(INPUTS!$B$5,INPUTS!$B$6,-INPUTS!$B$3,0,0))</f>
        <v/>
      </c>
      <c r="F781" s="6" t="str">
        <f>IF(C781="","",IPMT(INPUTS!$B$5,C781,INPUTS!$B$6,-INPUTS!$B$3,0,0))</f>
        <v/>
      </c>
      <c r="G781" s="6" t="str">
        <f>IF(C781="","",PPMT(INPUTS!$B$5,C781,INPUTS!$B$6,-INPUTS!$B$3,0,0))</f>
        <v/>
      </c>
      <c r="H781" s="6" t="str">
        <f t="shared" si="49"/>
        <v/>
      </c>
      <c r="I781" s="6" t="str">
        <f t="shared" si="50"/>
        <v/>
      </c>
    </row>
    <row r="782" spans="1:9" hidden="1" x14ac:dyDescent="0.3">
      <c r="A782" s="16" t="str">
        <f t="shared" si="47"/>
        <v/>
      </c>
      <c r="D782" s="14" t="str">
        <f t="shared" si="48"/>
        <v/>
      </c>
      <c r="E782" s="6" t="str">
        <f>IF(C782="","",PMT(INPUTS!$B$5,INPUTS!$B$6,-INPUTS!$B$3,0,0))</f>
        <v/>
      </c>
      <c r="F782" s="6" t="str">
        <f>IF(C782="","",IPMT(INPUTS!$B$5,C782,INPUTS!$B$6,-INPUTS!$B$3,0,0))</f>
        <v/>
      </c>
      <c r="G782" s="6" t="str">
        <f>IF(C782="","",PPMT(INPUTS!$B$5,C782,INPUTS!$B$6,-INPUTS!$B$3,0,0))</f>
        <v/>
      </c>
      <c r="H782" s="6" t="str">
        <f t="shared" si="49"/>
        <v/>
      </c>
      <c r="I782" s="6" t="str">
        <f t="shared" si="50"/>
        <v/>
      </c>
    </row>
    <row r="783" spans="1:9" hidden="1" x14ac:dyDescent="0.3">
      <c r="A783" s="16" t="str">
        <f t="shared" si="47"/>
        <v/>
      </c>
      <c r="D783" s="14" t="str">
        <f t="shared" si="48"/>
        <v/>
      </c>
      <c r="E783" s="6" t="str">
        <f>IF(C783="","",PMT(INPUTS!$B$5,INPUTS!$B$6,-INPUTS!$B$3,0,0))</f>
        <v/>
      </c>
      <c r="F783" s="6" t="str">
        <f>IF(C783="","",IPMT(INPUTS!$B$5,C783,INPUTS!$B$6,-INPUTS!$B$3,0,0))</f>
        <v/>
      </c>
      <c r="G783" s="6" t="str">
        <f>IF(C783="","",PPMT(INPUTS!$B$5,C783,INPUTS!$B$6,-INPUTS!$B$3,0,0))</f>
        <v/>
      </c>
      <c r="H783" s="6" t="str">
        <f t="shared" si="49"/>
        <v/>
      </c>
      <c r="I783" s="6" t="str">
        <f t="shared" si="50"/>
        <v/>
      </c>
    </row>
    <row r="784" spans="1:9" hidden="1" x14ac:dyDescent="0.3">
      <c r="A784" s="16" t="str">
        <f t="shared" si="47"/>
        <v/>
      </c>
      <c r="D784" s="14" t="str">
        <f t="shared" si="48"/>
        <v/>
      </c>
      <c r="E784" s="6" t="str">
        <f>IF(C784="","",PMT(INPUTS!$B$5,INPUTS!$B$6,-INPUTS!$B$3,0,0))</f>
        <v/>
      </c>
      <c r="F784" s="6" t="str">
        <f>IF(C784="","",IPMT(INPUTS!$B$5,C784,INPUTS!$B$6,-INPUTS!$B$3,0,0))</f>
        <v/>
      </c>
      <c r="G784" s="6" t="str">
        <f>IF(C784="","",PPMT(INPUTS!$B$5,C784,INPUTS!$B$6,-INPUTS!$B$3,0,0))</f>
        <v/>
      </c>
      <c r="H784" s="6" t="str">
        <f t="shared" si="49"/>
        <v/>
      </c>
      <c r="I784" s="6" t="str">
        <f t="shared" si="50"/>
        <v/>
      </c>
    </row>
    <row r="785" spans="1:9" hidden="1" x14ac:dyDescent="0.3">
      <c r="A785" s="16" t="str">
        <f t="shared" si="47"/>
        <v/>
      </c>
      <c r="D785" s="14" t="str">
        <f t="shared" si="48"/>
        <v/>
      </c>
      <c r="E785" s="6" t="str">
        <f>IF(C785="","",PMT(INPUTS!$B$5,INPUTS!$B$6,-INPUTS!$B$3,0,0))</f>
        <v/>
      </c>
      <c r="F785" s="6" t="str">
        <f>IF(C785="","",IPMT(INPUTS!$B$5,C785,INPUTS!$B$6,-INPUTS!$B$3,0,0))</f>
        <v/>
      </c>
      <c r="G785" s="6" t="str">
        <f>IF(C785="","",PPMT(INPUTS!$B$5,C785,INPUTS!$B$6,-INPUTS!$B$3,0,0))</f>
        <v/>
      </c>
      <c r="H785" s="6" t="str">
        <f t="shared" si="49"/>
        <v/>
      </c>
      <c r="I785" s="6" t="str">
        <f t="shared" si="50"/>
        <v/>
      </c>
    </row>
    <row r="786" spans="1:9" hidden="1" x14ac:dyDescent="0.3">
      <c r="A786" s="16" t="str">
        <f t="shared" ref="A786:A849" si="51">IF(D786="","",YEAR(D786))</f>
        <v/>
      </c>
      <c r="D786" s="14" t="str">
        <f t="shared" si="48"/>
        <v/>
      </c>
      <c r="E786" s="6" t="str">
        <f>IF(C786="","",PMT(INPUTS!$B$5,INPUTS!$B$6,-INPUTS!$B$3,0,0))</f>
        <v/>
      </c>
      <c r="F786" s="6" t="str">
        <f>IF(C786="","",IPMT(INPUTS!$B$5,C786,INPUTS!$B$6,-INPUTS!$B$3,0,0))</f>
        <v/>
      </c>
      <c r="G786" s="6" t="str">
        <f>IF(C786="","",PPMT(INPUTS!$B$5,C786,INPUTS!$B$6,-INPUTS!$B$3,0,0))</f>
        <v/>
      </c>
      <c r="H786" s="6" t="str">
        <f t="shared" si="49"/>
        <v/>
      </c>
      <c r="I786" s="6" t="str">
        <f t="shared" si="50"/>
        <v/>
      </c>
    </row>
    <row r="787" spans="1:9" hidden="1" x14ac:dyDescent="0.3">
      <c r="A787" s="16" t="str">
        <f t="shared" si="51"/>
        <v/>
      </c>
      <c r="D787" s="14" t="str">
        <f t="shared" si="48"/>
        <v/>
      </c>
      <c r="E787" s="6" t="str">
        <f>IF(C787="","",PMT(INPUTS!$B$5,INPUTS!$B$6,-INPUTS!$B$3,0,0))</f>
        <v/>
      </c>
      <c r="F787" s="6" t="str">
        <f>IF(C787="","",IPMT(INPUTS!$B$5,C787,INPUTS!$B$6,-INPUTS!$B$3,0,0))</f>
        <v/>
      </c>
      <c r="G787" s="6" t="str">
        <f>IF(C787="","",PPMT(INPUTS!$B$5,C787,INPUTS!$B$6,-INPUTS!$B$3,0,0))</f>
        <v/>
      </c>
      <c r="H787" s="6" t="str">
        <f t="shared" si="49"/>
        <v/>
      </c>
      <c r="I787" s="6" t="str">
        <f t="shared" si="50"/>
        <v/>
      </c>
    </row>
    <row r="788" spans="1:9" hidden="1" x14ac:dyDescent="0.3">
      <c r="A788" s="16" t="str">
        <f t="shared" si="51"/>
        <v/>
      </c>
      <c r="D788" s="14" t="str">
        <f t="shared" ref="D788:D851" si="52">IF(C787="","",DATE(YEAR($D787),MONTH($D787)+1,DAY($D787)))</f>
        <v/>
      </c>
      <c r="E788" s="6" t="str">
        <f>IF(C788="","",PMT(INPUTS!$B$5,INPUTS!$B$6,-INPUTS!$B$3,0,0))</f>
        <v/>
      </c>
      <c r="F788" s="6" t="str">
        <f>IF(C788="","",IPMT(INPUTS!$B$5,C788,INPUTS!$B$6,-INPUTS!$B$3,0,0))</f>
        <v/>
      </c>
      <c r="G788" s="6" t="str">
        <f>IF(C788="","",PPMT(INPUTS!$B$5,C788,INPUTS!$B$6,-INPUTS!$B$3,0,0))</f>
        <v/>
      </c>
      <c r="H788" s="6" t="str">
        <f t="shared" ref="H788:H851" si="53">I787</f>
        <v/>
      </c>
      <c r="I788" s="6" t="str">
        <f t="shared" si="50"/>
        <v/>
      </c>
    </row>
    <row r="789" spans="1:9" hidden="1" x14ac:dyDescent="0.3">
      <c r="A789" s="16" t="str">
        <f t="shared" si="51"/>
        <v/>
      </c>
      <c r="D789" s="14" t="str">
        <f t="shared" si="52"/>
        <v/>
      </c>
      <c r="E789" s="6" t="str">
        <f>IF(C789="","",PMT(INPUTS!$B$5,INPUTS!$B$6,-INPUTS!$B$3,0,0))</f>
        <v/>
      </c>
      <c r="F789" s="6" t="str">
        <f>IF(C789="","",IPMT(INPUTS!$B$5,C789,INPUTS!$B$6,-INPUTS!$B$3,0,0))</f>
        <v/>
      </c>
      <c r="G789" s="6" t="str">
        <f>IF(C789="","",PPMT(INPUTS!$B$5,C789,INPUTS!$B$6,-INPUTS!$B$3,0,0))</f>
        <v/>
      </c>
      <c r="H789" s="6" t="str">
        <f t="shared" si="53"/>
        <v/>
      </c>
      <c r="I789" s="6" t="str">
        <f t="shared" si="50"/>
        <v/>
      </c>
    </row>
    <row r="790" spans="1:9" hidden="1" x14ac:dyDescent="0.3">
      <c r="A790" s="16" t="str">
        <f t="shared" si="51"/>
        <v/>
      </c>
      <c r="D790" s="14" t="str">
        <f t="shared" si="52"/>
        <v/>
      </c>
      <c r="E790" s="6" t="str">
        <f>IF(C790="","",PMT(INPUTS!$B$5,INPUTS!$B$6,-INPUTS!$B$3,0,0))</f>
        <v/>
      </c>
      <c r="F790" s="6" t="str">
        <f>IF(C790="","",IPMT(INPUTS!$B$5,C790,INPUTS!$B$6,-INPUTS!$B$3,0,0))</f>
        <v/>
      </c>
      <c r="G790" s="6" t="str">
        <f>IF(C790="","",PPMT(INPUTS!$B$5,C790,INPUTS!$B$6,-INPUTS!$B$3,0,0))</f>
        <v/>
      </c>
      <c r="H790" s="6" t="str">
        <f t="shared" si="53"/>
        <v/>
      </c>
      <c r="I790" s="6" t="str">
        <f t="shared" si="50"/>
        <v/>
      </c>
    </row>
    <row r="791" spans="1:9" hidden="1" x14ac:dyDescent="0.3">
      <c r="A791" s="16" t="str">
        <f t="shared" si="51"/>
        <v/>
      </c>
      <c r="D791" s="14" t="str">
        <f t="shared" si="52"/>
        <v/>
      </c>
      <c r="E791" s="6" t="str">
        <f>IF(C791="","",PMT(INPUTS!$B$5,INPUTS!$B$6,-INPUTS!$B$3,0,0))</f>
        <v/>
      </c>
      <c r="F791" s="6" t="str">
        <f>IF(C791="","",IPMT(INPUTS!$B$5,C791,INPUTS!$B$6,-INPUTS!$B$3,0,0))</f>
        <v/>
      </c>
      <c r="G791" s="6" t="str">
        <f>IF(C791="","",PPMT(INPUTS!$B$5,C791,INPUTS!$B$6,-INPUTS!$B$3,0,0))</f>
        <v/>
      </c>
      <c r="H791" s="6" t="str">
        <f t="shared" si="53"/>
        <v/>
      </c>
      <c r="I791" s="6" t="str">
        <f t="shared" si="50"/>
        <v/>
      </c>
    </row>
    <row r="792" spans="1:9" hidden="1" x14ac:dyDescent="0.3">
      <c r="A792" s="16" t="str">
        <f t="shared" si="51"/>
        <v/>
      </c>
      <c r="D792" s="14" t="str">
        <f t="shared" si="52"/>
        <v/>
      </c>
      <c r="E792" s="6" t="str">
        <f>IF(C792="","",PMT(INPUTS!$B$5,INPUTS!$B$6,-INPUTS!$B$3,0,0))</f>
        <v/>
      </c>
      <c r="F792" s="6" t="str">
        <f>IF(C792="","",IPMT(INPUTS!$B$5,C792,INPUTS!$B$6,-INPUTS!$B$3,0,0))</f>
        <v/>
      </c>
      <c r="G792" s="6" t="str">
        <f>IF(C792="","",PPMT(INPUTS!$B$5,C792,INPUTS!$B$6,-INPUTS!$B$3,0,0))</f>
        <v/>
      </c>
      <c r="H792" s="6" t="str">
        <f t="shared" si="53"/>
        <v/>
      </c>
      <c r="I792" s="6" t="str">
        <f t="shared" si="50"/>
        <v/>
      </c>
    </row>
    <row r="793" spans="1:9" hidden="1" x14ac:dyDescent="0.3">
      <c r="A793" s="16" t="str">
        <f t="shared" si="51"/>
        <v/>
      </c>
      <c r="D793" s="14" t="str">
        <f t="shared" si="52"/>
        <v/>
      </c>
      <c r="E793" s="6" t="str">
        <f>IF(C793="","",PMT(INPUTS!$B$5,INPUTS!$B$6,-INPUTS!$B$3,0,0))</f>
        <v/>
      </c>
      <c r="F793" s="6" t="str">
        <f>IF(C793="","",IPMT(INPUTS!$B$5,C793,INPUTS!$B$6,-INPUTS!$B$3,0,0))</f>
        <v/>
      </c>
      <c r="G793" s="6" t="str">
        <f>IF(C793="","",PPMT(INPUTS!$B$5,C793,INPUTS!$B$6,-INPUTS!$B$3,0,0))</f>
        <v/>
      </c>
      <c r="H793" s="6" t="str">
        <f t="shared" si="53"/>
        <v/>
      </c>
      <c r="I793" s="6" t="str">
        <f t="shared" si="50"/>
        <v/>
      </c>
    </row>
    <row r="794" spans="1:9" hidden="1" x14ac:dyDescent="0.3">
      <c r="A794" s="16" t="str">
        <f t="shared" si="51"/>
        <v/>
      </c>
      <c r="D794" s="14" t="str">
        <f t="shared" si="52"/>
        <v/>
      </c>
      <c r="E794" s="6" t="str">
        <f>IF(C794="","",PMT(INPUTS!$B$5,INPUTS!$B$6,-INPUTS!$B$3,0,0))</f>
        <v/>
      </c>
      <c r="F794" s="6" t="str">
        <f>IF(C794="","",IPMT(INPUTS!$B$5,C794,INPUTS!$B$6,-INPUTS!$B$3,0,0))</f>
        <v/>
      </c>
      <c r="G794" s="6" t="str">
        <f>IF(C794="","",PPMT(INPUTS!$B$5,C794,INPUTS!$B$6,-INPUTS!$B$3,0,0))</f>
        <v/>
      </c>
      <c r="H794" s="6" t="str">
        <f t="shared" si="53"/>
        <v/>
      </c>
      <c r="I794" s="6" t="str">
        <f t="shared" si="50"/>
        <v/>
      </c>
    </row>
    <row r="795" spans="1:9" hidden="1" x14ac:dyDescent="0.3">
      <c r="A795" s="16" t="str">
        <f t="shared" si="51"/>
        <v/>
      </c>
      <c r="D795" s="14" t="str">
        <f t="shared" si="52"/>
        <v/>
      </c>
      <c r="E795" s="6" t="str">
        <f>IF(C795="","",PMT(INPUTS!$B$5,INPUTS!$B$6,-INPUTS!$B$3,0,0))</f>
        <v/>
      </c>
      <c r="F795" s="6" t="str">
        <f>IF(C795="","",IPMT(INPUTS!$B$5,C795,INPUTS!$B$6,-INPUTS!$B$3,0,0))</f>
        <v/>
      </c>
      <c r="G795" s="6" t="str">
        <f>IF(C795="","",PPMT(INPUTS!$B$5,C795,INPUTS!$B$6,-INPUTS!$B$3,0,0))</f>
        <v/>
      </c>
      <c r="H795" s="6" t="str">
        <f t="shared" si="53"/>
        <v/>
      </c>
      <c r="I795" s="6" t="str">
        <f t="shared" si="50"/>
        <v/>
      </c>
    </row>
    <row r="796" spans="1:9" hidden="1" x14ac:dyDescent="0.3">
      <c r="A796" s="16" t="str">
        <f t="shared" si="51"/>
        <v/>
      </c>
      <c r="D796" s="14" t="str">
        <f t="shared" si="52"/>
        <v/>
      </c>
      <c r="E796" s="6" t="str">
        <f>IF(C796="","",PMT(INPUTS!$B$5,INPUTS!$B$6,-INPUTS!$B$3,0,0))</f>
        <v/>
      </c>
      <c r="F796" s="6" t="str">
        <f>IF(C796="","",IPMT(INPUTS!$B$5,C796,INPUTS!$B$6,-INPUTS!$B$3,0,0))</f>
        <v/>
      </c>
      <c r="G796" s="6" t="str">
        <f>IF(C796="","",PPMT(INPUTS!$B$5,C796,INPUTS!$B$6,-INPUTS!$B$3,0,0))</f>
        <v/>
      </c>
      <c r="H796" s="6" t="str">
        <f t="shared" si="53"/>
        <v/>
      </c>
      <c r="I796" s="6" t="str">
        <f t="shared" si="50"/>
        <v/>
      </c>
    </row>
    <row r="797" spans="1:9" hidden="1" x14ac:dyDescent="0.3">
      <c r="A797" s="16" t="str">
        <f t="shared" si="51"/>
        <v/>
      </c>
      <c r="D797" s="14" t="str">
        <f t="shared" si="52"/>
        <v/>
      </c>
      <c r="E797" s="6" t="str">
        <f>IF(C797="","",PMT(INPUTS!$B$5,INPUTS!$B$6,-INPUTS!$B$3,0,0))</f>
        <v/>
      </c>
      <c r="F797" s="6" t="str">
        <f>IF(C797="","",IPMT(INPUTS!$B$5,C797,INPUTS!$B$6,-INPUTS!$B$3,0,0))</f>
        <v/>
      </c>
      <c r="G797" s="6" t="str">
        <f>IF(C797="","",PPMT(INPUTS!$B$5,C797,INPUTS!$B$6,-INPUTS!$B$3,0,0))</f>
        <v/>
      </c>
      <c r="H797" s="6" t="str">
        <f t="shared" si="53"/>
        <v/>
      </c>
      <c r="I797" s="6" t="str">
        <f t="shared" si="50"/>
        <v/>
      </c>
    </row>
    <row r="798" spans="1:9" hidden="1" x14ac:dyDescent="0.3">
      <c r="A798" s="16" t="str">
        <f t="shared" si="51"/>
        <v/>
      </c>
      <c r="D798" s="14" t="str">
        <f t="shared" si="52"/>
        <v/>
      </c>
      <c r="E798" s="6" t="str">
        <f>IF(C798="","",PMT(INPUTS!$B$5,INPUTS!$B$6,-INPUTS!$B$3,0,0))</f>
        <v/>
      </c>
      <c r="F798" s="6" t="str">
        <f>IF(C798="","",IPMT(INPUTS!$B$5,C798,INPUTS!$B$6,-INPUTS!$B$3,0,0))</f>
        <v/>
      </c>
      <c r="G798" s="6" t="str">
        <f>IF(C798="","",PPMT(INPUTS!$B$5,C798,INPUTS!$B$6,-INPUTS!$B$3,0,0))</f>
        <v/>
      </c>
      <c r="H798" s="6" t="str">
        <f t="shared" si="53"/>
        <v/>
      </c>
      <c r="I798" s="6" t="str">
        <f t="shared" si="50"/>
        <v/>
      </c>
    </row>
    <row r="799" spans="1:9" hidden="1" x14ac:dyDescent="0.3">
      <c r="A799" s="16" t="str">
        <f t="shared" si="51"/>
        <v/>
      </c>
      <c r="D799" s="14" t="str">
        <f t="shared" si="52"/>
        <v/>
      </c>
      <c r="E799" s="6" t="str">
        <f>IF(C799="","",PMT(INPUTS!$B$5,INPUTS!$B$6,-INPUTS!$B$3,0,0))</f>
        <v/>
      </c>
      <c r="F799" s="6" t="str">
        <f>IF(C799="","",IPMT(INPUTS!$B$5,C799,INPUTS!$B$6,-INPUTS!$B$3,0,0))</f>
        <v/>
      </c>
      <c r="G799" s="6" t="str">
        <f>IF(C799="","",PPMT(INPUTS!$B$5,C799,INPUTS!$B$6,-INPUTS!$B$3,0,0))</f>
        <v/>
      </c>
      <c r="H799" s="6" t="str">
        <f t="shared" si="53"/>
        <v/>
      </c>
      <c r="I799" s="6" t="str">
        <f t="shared" si="50"/>
        <v/>
      </c>
    </row>
    <row r="800" spans="1:9" hidden="1" x14ac:dyDescent="0.3">
      <c r="A800" s="16" t="str">
        <f t="shared" si="51"/>
        <v/>
      </c>
      <c r="D800" s="14" t="str">
        <f t="shared" si="52"/>
        <v/>
      </c>
      <c r="E800" s="6" t="str">
        <f>IF(C800="","",PMT(INPUTS!$B$5,INPUTS!$B$6,-INPUTS!$B$3,0,0))</f>
        <v/>
      </c>
      <c r="F800" s="6" t="str">
        <f>IF(C800="","",IPMT(INPUTS!$B$5,C800,INPUTS!$B$6,-INPUTS!$B$3,0,0))</f>
        <v/>
      </c>
      <c r="G800" s="6" t="str">
        <f>IF(C800="","",PPMT(INPUTS!$B$5,C800,INPUTS!$B$6,-INPUTS!$B$3,0,0))</f>
        <v/>
      </c>
      <c r="H800" s="6" t="str">
        <f t="shared" si="53"/>
        <v/>
      </c>
      <c r="I800" s="6" t="str">
        <f t="shared" si="50"/>
        <v/>
      </c>
    </row>
    <row r="801" spans="1:9" hidden="1" x14ac:dyDescent="0.3">
      <c r="A801" s="16" t="str">
        <f t="shared" si="51"/>
        <v/>
      </c>
      <c r="D801" s="14" t="str">
        <f t="shared" si="52"/>
        <v/>
      </c>
      <c r="E801" s="6" t="str">
        <f>IF(C801="","",PMT(INPUTS!$B$5,INPUTS!$B$6,-INPUTS!$B$3,0,0))</f>
        <v/>
      </c>
      <c r="F801" s="6" t="str">
        <f>IF(C801="","",IPMT(INPUTS!$B$5,C801,INPUTS!$B$6,-INPUTS!$B$3,0,0))</f>
        <v/>
      </c>
      <c r="G801" s="6" t="str">
        <f>IF(C801="","",PPMT(INPUTS!$B$5,C801,INPUTS!$B$6,-INPUTS!$B$3,0,0))</f>
        <v/>
      </c>
      <c r="H801" s="6" t="str">
        <f t="shared" si="53"/>
        <v/>
      </c>
      <c r="I801" s="6" t="str">
        <f t="shared" si="50"/>
        <v/>
      </c>
    </row>
    <row r="802" spans="1:9" hidden="1" x14ac:dyDescent="0.3">
      <c r="A802" s="16" t="str">
        <f t="shared" si="51"/>
        <v/>
      </c>
      <c r="D802" s="14" t="str">
        <f t="shared" si="52"/>
        <v/>
      </c>
      <c r="E802" s="6" t="str">
        <f>IF(C802="","",PMT(INPUTS!$B$5,INPUTS!$B$6,-INPUTS!$B$3,0,0))</f>
        <v/>
      </c>
      <c r="F802" s="6" t="str">
        <f>IF(C802="","",IPMT(INPUTS!$B$5,C802,INPUTS!$B$6,-INPUTS!$B$3,0,0))</f>
        <v/>
      </c>
      <c r="G802" s="6" t="str">
        <f>IF(C802="","",PPMT(INPUTS!$B$5,C802,INPUTS!$B$6,-INPUTS!$B$3,0,0))</f>
        <v/>
      </c>
      <c r="H802" s="6" t="str">
        <f t="shared" si="53"/>
        <v/>
      </c>
      <c r="I802" s="6" t="str">
        <f t="shared" si="50"/>
        <v/>
      </c>
    </row>
    <row r="803" spans="1:9" hidden="1" x14ac:dyDescent="0.3">
      <c r="A803" s="16" t="str">
        <f t="shared" si="51"/>
        <v/>
      </c>
      <c r="D803" s="14" t="str">
        <f t="shared" si="52"/>
        <v/>
      </c>
      <c r="E803" s="6" t="str">
        <f>IF(C803="","",PMT(INPUTS!$B$5,INPUTS!$B$6,-INPUTS!$B$3,0,0))</f>
        <v/>
      </c>
      <c r="F803" s="6" t="str">
        <f>IF(C803="","",IPMT(INPUTS!$B$5,C803,INPUTS!$B$6,-INPUTS!$B$3,0,0))</f>
        <v/>
      </c>
      <c r="G803" s="6" t="str">
        <f>IF(C803="","",PPMT(INPUTS!$B$5,C803,INPUTS!$B$6,-INPUTS!$B$3,0,0))</f>
        <v/>
      </c>
      <c r="H803" s="6" t="str">
        <f t="shared" si="53"/>
        <v/>
      </c>
      <c r="I803" s="6" t="str">
        <f t="shared" si="50"/>
        <v/>
      </c>
    </row>
    <row r="804" spans="1:9" hidden="1" x14ac:dyDescent="0.3">
      <c r="A804" s="16" t="str">
        <f t="shared" si="51"/>
        <v/>
      </c>
      <c r="D804" s="14" t="str">
        <f t="shared" si="52"/>
        <v/>
      </c>
      <c r="E804" s="6" t="str">
        <f>IF(C804="","",PMT(INPUTS!$B$5,INPUTS!$B$6,-INPUTS!$B$3,0,0))</f>
        <v/>
      </c>
      <c r="F804" s="6" t="str">
        <f>IF(C804="","",IPMT(INPUTS!$B$5,C804,INPUTS!$B$6,-INPUTS!$B$3,0,0))</f>
        <v/>
      </c>
      <c r="G804" s="6" t="str">
        <f>IF(C804="","",PPMT(INPUTS!$B$5,C804,INPUTS!$B$6,-INPUTS!$B$3,0,0))</f>
        <v/>
      </c>
      <c r="H804" s="6" t="str">
        <f t="shared" si="53"/>
        <v/>
      </c>
      <c r="I804" s="6" t="str">
        <f t="shared" si="50"/>
        <v/>
      </c>
    </row>
    <row r="805" spans="1:9" hidden="1" x14ac:dyDescent="0.3">
      <c r="A805" s="16" t="str">
        <f t="shared" si="51"/>
        <v/>
      </c>
      <c r="D805" s="14" t="str">
        <f t="shared" si="52"/>
        <v/>
      </c>
      <c r="E805" s="6" t="str">
        <f>IF(C805="","",PMT(INPUTS!$B$5,INPUTS!$B$6,-INPUTS!$B$3,0,0))</f>
        <v/>
      </c>
      <c r="F805" s="6" t="str">
        <f>IF(C805="","",IPMT(INPUTS!$B$5,C805,INPUTS!$B$6,-INPUTS!$B$3,0,0))</f>
        <v/>
      </c>
      <c r="G805" s="6" t="str">
        <f>IF(C805="","",PPMT(INPUTS!$B$5,C805,INPUTS!$B$6,-INPUTS!$B$3,0,0))</f>
        <v/>
      </c>
      <c r="H805" s="6" t="str">
        <f t="shared" si="53"/>
        <v/>
      </c>
      <c r="I805" s="6" t="str">
        <f t="shared" si="50"/>
        <v/>
      </c>
    </row>
    <row r="806" spans="1:9" hidden="1" x14ac:dyDescent="0.3">
      <c r="A806" s="16" t="str">
        <f t="shared" si="51"/>
        <v/>
      </c>
      <c r="D806" s="14" t="str">
        <f t="shared" si="52"/>
        <v/>
      </c>
      <c r="E806" s="6" t="str">
        <f>IF(C806="","",PMT(INPUTS!$B$5,INPUTS!$B$6,-INPUTS!$B$3,0,0))</f>
        <v/>
      </c>
      <c r="F806" s="6" t="str">
        <f>IF(C806="","",IPMT(INPUTS!$B$5,C806,INPUTS!$B$6,-INPUTS!$B$3,0,0))</f>
        <v/>
      </c>
      <c r="G806" s="6" t="str">
        <f>IF(C806="","",PPMT(INPUTS!$B$5,C806,INPUTS!$B$6,-INPUTS!$B$3,0,0))</f>
        <v/>
      </c>
      <c r="H806" s="6" t="str">
        <f t="shared" si="53"/>
        <v/>
      </c>
      <c r="I806" s="6" t="str">
        <f t="shared" si="50"/>
        <v/>
      </c>
    </row>
    <row r="807" spans="1:9" hidden="1" x14ac:dyDescent="0.3">
      <c r="A807" s="16" t="str">
        <f t="shared" si="51"/>
        <v/>
      </c>
      <c r="D807" s="14" t="str">
        <f t="shared" si="52"/>
        <v/>
      </c>
      <c r="E807" s="6" t="str">
        <f>IF(C807="","",PMT(INPUTS!$B$5,INPUTS!$B$6,-INPUTS!$B$3,0,0))</f>
        <v/>
      </c>
      <c r="F807" s="6" t="str">
        <f>IF(C807="","",IPMT(INPUTS!$B$5,C807,INPUTS!$B$6,-INPUTS!$B$3,0,0))</f>
        <v/>
      </c>
      <c r="G807" s="6" t="str">
        <f>IF(C807="","",PPMT(INPUTS!$B$5,C807,INPUTS!$B$6,-INPUTS!$B$3,0,0))</f>
        <v/>
      </c>
      <c r="H807" s="6" t="str">
        <f t="shared" si="53"/>
        <v/>
      </c>
      <c r="I807" s="6" t="str">
        <f t="shared" si="50"/>
        <v/>
      </c>
    </row>
    <row r="808" spans="1:9" hidden="1" x14ac:dyDescent="0.3">
      <c r="A808" s="16" t="str">
        <f t="shared" si="51"/>
        <v/>
      </c>
      <c r="D808" s="14" t="str">
        <f t="shared" si="52"/>
        <v/>
      </c>
      <c r="E808" s="6" t="str">
        <f>IF(C808="","",PMT(INPUTS!$B$5,INPUTS!$B$6,-INPUTS!$B$3,0,0))</f>
        <v/>
      </c>
      <c r="F808" s="6" t="str">
        <f>IF(C808="","",IPMT(INPUTS!$B$5,C808,INPUTS!$B$6,-INPUTS!$B$3,0,0))</f>
        <v/>
      </c>
      <c r="G808" s="6" t="str">
        <f>IF(C808="","",PPMT(INPUTS!$B$5,C808,INPUTS!$B$6,-INPUTS!$B$3,0,0))</f>
        <v/>
      </c>
      <c r="H808" s="6" t="str">
        <f t="shared" si="53"/>
        <v/>
      </c>
      <c r="I808" s="6" t="str">
        <f t="shared" si="50"/>
        <v/>
      </c>
    </row>
    <row r="809" spans="1:9" hidden="1" x14ac:dyDescent="0.3">
      <c r="A809" s="16" t="str">
        <f t="shared" si="51"/>
        <v/>
      </c>
      <c r="D809" s="14" t="str">
        <f t="shared" si="52"/>
        <v/>
      </c>
      <c r="E809" s="6" t="str">
        <f>IF(C809="","",PMT(INPUTS!$B$5,INPUTS!$B$6,-INPUTS!$B$3,0,0))</f>
        <v/>
      </c>
      <c r="F809" s="6" t="str">
        <f>IF(C809="","",IPMT(INPUTS!$B$5,C809,INPUTS!$B$6,-INPUTS!$B$3,0,0))</f>
        <v/>
      </c>
      <c r="G809" s="6" t="str">
        <f>IF(C809="","",PPMT(INPUTS!$B$5,C809,INPUTS!$B$6,-INPUTS!$B$3,0,0))</f>
        <v/>
      </c>
      <c r="H809" s="6" t="str">
        <f t="shared" si="53"/>
        <v/>
      </c>
      <c r="I809" s="6" t="str">
        <f t="shared" si="50"/>
        <v/>
      </c>
    </row>
    <row r="810" spans="1:9" hidden="1" x14ac:dyDescent="0.3">
      <c r="A810" s="16" t="str">
        <f t="shared" si="51"/>
        <v/>
      </c>
      <c r="D810" s="14" t="str">
        <f t="shared" si="52"/>
        <v/>
      </c>
      <c r="E810" s="6" t="str">
        <f>IF(C810="","",PMT(INPUTS!$B$5,INPUTS!$B$6,-INPUTS!$B$3,0,0))</f>
        <v/>
      </c>
      <c r="F810" s="6" t="str">
        <f>IF(C810="","",IPMT(INPUTS!$B$5,C810,INPUTS!$B$6,-INPUTS!$B$3,0,0))</f>
        <v/>
      </c>
      <c r="G810" s="6" t="str">
        <f>IF(C810="","",PPMT(INPUTS!$B$5,C810,INPUTS!$B$6,-INPUTS!$B$3,0,0))</f>
        <v/>
      </c>
      <c r="H810" s="6" t="str">
        <f t="shared" si="53"/>
        <v/>
      </c>
      <c r="I810" s="6" t="str">
        <f t="shared" si="50"/>
        <v/>
      </c>
    </row>
    <row r="811" spans="1:9" hidden="1" x14ac:dyDescent="0.3">
      <c r="A811" s="16" t="str">
        <f t="shared" si="51"/>
        <v/>
      </c>
      <c r="D811" s="14" t="str">
        <f t="shared" si="52"/>
        <v/>
      </c>
      <c r="E811" s="6" t="str">
        <f>IF(C811="","",PMT(INPUTS!$B$5,INPUTS!$B$6,-INPUTS!$B$3,0,0))</f>
        <v/>
      </c>
      <c r="F811" s="6" t="str">
        <f>IF(C811="","",IPMT(INPUTS!$B$5,C811,INPUTS!$B$6,-INPUTS!$B$3,0,0))</f>
        <v/>
      </c>
      <c r="G811" s="6" t="str">
        <f>IF(C811="","",PPMT(INPUTS!$B$5,C811,INPUTS!$B$6,-INPUTS!$B$3,0,0))</f>
        <v/>
      </c>
      <c r="H811" s="6" t="str">
        <f t="shared" si="53"/>
        <v/>
      </c>
      <c r="I811" s="6" t="str">
        <f t="shared" si="50"/>
        <v/>
      </c>
    </row>
    <row r="812" spans="1:9" hidden="1" x14ac:dyDescent="0.3">
      <c r="A812" s="16" t="str">
        <f t="shared" si="51"/>
        <v/>
      </c>
      <c r="D812" s="14" t="str">
        <f t="shared" si="52"/>
        <v/>
      </c>
      <c r="E812" s="6" t="str">
        <f>IF(C812="","",PMT(INPUTS!$B$5,INPUTS!$B$6,-INPUTS!$B$3,0,0))</f>
        <v/>
      </c>
      <c r="F812" s="6" t="str">
        <f>IF(C812="","",IPMT(INPUTS!$B$5,C812,INPUTS!$B$6,-INPUTS!$B$3,0,0))</f>
        <v/>
      </c>
      <c r="G812" s="6" t="str">
        <f>IF(C812="","",PPMT(INPUTS!$B$5,C812,INPUTS!$B$6,-INPUTS!$B$3,0,0))</f>
        <v/>
      </c>
      <c r="H812" s="6" t="str">
        <f t="shared" si="53"/>
        <v/>
      </c>
      <c r="I812" s="6" t="str">
        <f t="shared" si="50"/>
        <v/>
      </c>
    </row>
    <row r="813" spans="1:9" hidden="1" x14ac:dyDescent="0.3">
      <c r="A813" s="16" t="str">
        <f t="shared" si="51"/>
        <v/>
      </c>
      <c r="D813" s="14" t="str">
        <f t="shared" si="52"/>
        <v/>
      </c>
      <c r="E813" s="6" t="str">
        <f>IF(C813="","",PMT(INPUTS!$B$5,INPUTS!$B$6,-INPUTS!$B$3,0,0))</f>
        <v/>
      </c>
      <c r="F813" s="6" t="str">
        <f>IF(C813="","",IPMT(INPUTS!$B$5,C813,INPUTS!$B$6,-INPUTS!$B$3,0,0))</f>
        <v/>
      </c>
      <c r="G813" s="6" t="str">
        <f>IF(C813="","",PPMT(INPUTS!$B$5,C813,INPUTS!$B$6,-INPUTS!$B$3,0,0))</f>
        <v/>
      </c>
      <c r="H813" s="6" t="str">
        <f t="shared" si="53"/>
        <v/>
      </c>
      <c r="I813" s="6" t="str">
        <f t="shared" si="50"/>
        <v/>
      </c>
    </row>
    <row r="814" spans="1:9" hidden="1" x14ac:dyDescent="0.3">
      <c r="A814" s="16" t="str">
        <f t="shared" si="51"/>
        <v/>
      </c>
      <c r="D814" s="14" t="str">
        <f t="shared" si="52"/>
        <v/>
      </c>
      <c r="E814" s="6" t="str">
        <f>IF(C814="","",PMT(INPUTS!$B$5,INPUTS!$B$6,-INPUTS!$B$3,0,0))</f>
        <v/>
      </c>
      <c r="F814" s="6" t="str">
        <f>IF(C814="","",IPMT(INPUTS!$B$5,C814,INPUTS!$B$6,-INPUTS!$B$3,0,0))</f>
        <v/>
      </c>
      <c r="G814" s="6" t="str">
        <f>IF(C814="","",PPMT(INPUTS!$B$5,C814,INPUTS!$B$6,-INPUTS!$B$3,0,0))</f>
        <v/>
      </c>
      <c r="H814" s="6" t="str">
        <f t="shared" si="53"/>
        <v/>
      </c>
      <c r="I814" s="6" t="str">
        <f t="shared" si="50"/>
        <v/>
      </c>
    </row>
    <row r="815" spans="1:9" hidden="1" x14ac:dyDescent="0.3">
      <c r="A815" s="16" t="str">
        <f t="shared" si="51"/>
        <v/>
      </c>
      <c r="D815" s="14" t="str">
        <f t="shared" si="52"/>
        <v/>
      </c>
      <c r="E815" s="6" t="str">
        <f>IF(C815="","",PMT(INPUTS!$B$5,INPUTS!$B$6,-INPUTS!$B$3,0,0))</f>
        <v/>
      </c>
      <c r="F815" s="6" t="str">
        <f>IF(C815="","",IPMT(INPUTS!$B$5,C815,INPUTS!$B$6,-INPUTS!$B$3,0,0))</f>
        <v/>
      </c>
      <c r="G815" s="6" t="str">
        <f>IF(C815="","",PPMT(INPUTS!$B$5,C815,INPUTS!$B$6,-INPUTS!$B$3,0,0))</f>
        <v/>
      </c>
      <c r="H815" s="6" t="str">
        <f t="shared" si="53"/>
        <v/>
      </c>
      <c r="I815" s="6" t="str">
        <f t="shared" si="50"/>
        <v/>
      </c>
    </row>
    <row r="816" spans="1:9" hidden="1" x14ac:dyDescent="0.3">
      <c r="A816" s="16" t="str">
        <f t="shared" si="51"/>
        <v/>
      </c>
      <c r="D816" s="14" t="str">
        <f t="shared" si="52"/>
        <v/>
      </c>
      <c r="E816" s="6" t="str">
        <f>IF(C816="","",PMT(INPUTS!$B$5,INPUTS!$B$6,-INPUTS!$B$3,0,0))</f>
        <v/>
      </c>
      <c r="F816" s="6" t="str">
        <f>IF(C816="","",IPMT(INPUTS!$B$5,C816,INPUTS!$B$6,-INPUTS!$B$3,0,0))</f>
        <v/>
      </c>
      <c r="G816" s="6" t="str">
        <f>IF(C816="","",PPMT(INPUTS!$B$5,C816,INPUTS!$B$6,-INPUTS!$B$3,0,0))</f>
        <v/>
      </c>
      <c r="H816" s="6" t="str">
        <f t="shared" si="53"/>
        <v/>
      </c>
      <c r="I816" s="6" t="str">
        <f t="shared" ref="I816:I879" si="54">IF(C816="","",H816-G816)</f>
        <v/>
      </c>
    </row>
    <row r="817" spans="1:9" hidden="1" x14ac:dyDescent="0.3">
      <c r="A817" s="16" t="str">
        <f t="shared" si="51"/>
        <v/>
      </c>
      <c r="D817" s="14" t="str">
        <f t="shared" si="52"/>
        <v/>
      </c>
      <c r="E817" s="6" t="str">
        <f>IF(C817="","",PMT(INPUTS!$B$5,INPUTS!$B$6,-INPUTS!$B$3,0,0))</f>
        <v/>
      </c>
      <c r="F817" s="6" t="str">
        <f>IF(C817="","",IPMT(INPUTS!$B$5,C817,INPUTS!$B$6,-INPUTS!$B$3,0,0))</f>
        <v/>
      </c>
      <c r="G817" s="6" t="str">
        <f>IF(C817="","",PPMT(INPUTS!$B$5,C817,INPUTS!$B$6,-INPUTS!$B$3,0,0))</f>
        <v/>
      </c>
      <c r="H817" s="6" t="str">
        <f t="shared" si="53"/>
        <v/>
      </c>
      <c r="I817" s="6" t="str">
        <f t="shared" si="54"/>
        <v/>
      </c>
    </row>
    <row r="818" spans="1:9" hidden="1" x14ac:dyDescent="0.3">
      <c r="A818" s="16" t="str">
        <f t="shared" si="51"/>
        <v/>
      </c>
      <c r="D818" s="14" t="str">
        <f t="shared" si="52"/>
        <v/>
      </c>
      <c r="E818" s="6" t="str">
        <f>IF(C818="","",PMT(INPUTS!$B$5,INPUTS!$B$6,-INPUTS!$B$3,0,0))</f>
        <v/>
      </c>
      <c r="F818" s="6" t="str">
        <f>IF(C818="","",IPMT(INPUTS!$B$5,C818,INPUTS!$B$6,-INPUTS!$B$3,0,0))</f>
        <v/>
      </c>
      <c r="G818" s="6" t="str">
        <f>IF(C818="","",PPMT(INPUTS!$B$5,C818,INPUTS!$B$6,-INPUTS!$B$3,0,0))</f>
        <v/>
      </c>
      <c r="H818" s="6" t="str">
        <f t="shared" si="53"/>
        <v/>
      </c>
      <c r="I818" s="6" t="str">
        <f t="shared" si="54"/>
        <v/>
      </c>
    </row>
    <row r="819" spans="1:9" hidden="1" x14ac:dyDescent="0.3">
      <c r="A819" s="16" t="str">
        <f t="shared" si="51"/>
        <v/>
      </c>
      <c r="D819" s="14" t="str">
        <f t="shared" si="52"/>
        <v/>
      </c>
      <c r="E819" s="6" t="str">
        <f>IF(C819="","",PMT(INPUTS!$B$5,INPUTS!$B$6,-INPUTS!$B$3,0,0))</f>
        <v/>
      </c>
      <c r="F819" s="6" t="str">
        <f>IF(C819="","",IPMT(INPUTS!$B$5,C819,INPUTS!$B$6,-INPUTS!$B$3,0,0))</f>
        <v/>
      </c>
      <c r="G819" s="6" t="str">
        <f>IF(C819="","",PPMT(INPUTS!$B$5,C819,INPUTS!$B$6,-INPUTS!$B$3,0,0))</f>
        <v/>
      </c>
      <c r="H819" s="6" t="str">
        <f t="shared" si="53"/>
        <v/>
      </c>
      <c r="I819" s="6" t="str">
        <f t="shared" si="54"/>
        <v/>
      </c>
    </row>
    <row r="820" spans="1:9" hidden="1" x14ac:dyDescent="0.3">
      <c r="A820" s="16" t="str">
        <f t="shared" si="51"/>
        <v/>
      </c>
      <c r="D820" s="14" t="str">
        <f t="shared" si="52"/>
        <v/>
      </c>
      <c r="E820" s="6" t="str">
        <f>IF(C820="","",PMT(INPUTS!$B$5,INPUTS!$B$6,-INPUTS!$B$3,0,0))</f>
        <v/>
      </c>
      <c r="F820" s="6" t="str">
        <f>IF(C820="","",IPMT(INPUTS!$B$5,C820,INPUTS!$B$6,-INPUTS!$B$3,0,0))</f>
        <v/>
      </c>
      <c r="G820" s="6" t="str">
        <f>IF(C820="","",PPMT(INPUTS!$B$5,C820,INPUTS!$B$6,-INPUTS!$B$3,0,0))</f>
        <v/>
      </c>
      <c r="H820" s="6" t="str">
        <f t="shared" si="53"/>
        <v/>
      </c>
      <c r="I820" s="6" t="str">
        <f t="shared" si="54"/>
        <v/>
      </c>
    </row>
    <row r="821" spans="1:9" hidden="1" x14ac:dyDescent="0.3">
      <c r="A821" s="16" t="str">
        <f t="shared" si="51"/>
        <v/>
      </c>
      <c r="D821" s="14" t="str">
        <f t="shared" si="52"/>
        <v/>
      </c>
      <c r="E821" s="6" t="str">
        <f>IF(C821="","",PMT(INPUTS!$B$5,INPUTS!$B$6,-INPUTS!$B$3,0,0))</f>
        <v/>
      </c>
      <c r="F821" s="6" t="str">
        <f>IF(C821="","",IPMT(INPUTS!$B$5,C821,INPUTS!$B$6,-INPUTS!$B$3,0,0))</f>
        <v/>
      </c>
      <c r="G821" s="6" t="str">
        <f>IF(C821="","",PPMT(INPUTS!$B$5,C821,INPUTS!$B$6,-INPUTS!$B$3,0,0))</f>
        <v/>
      </c>
      <c r="H821" s="6" t="str">
        <f t="shared" si="53"/>
        <v/>
      </c>
      <c r="I821" s="6" t="str">
        <f t="shared" si="54"/>
        <v/>
      </c>
    </row>
    <row r="822" spans="1:9" hidden="1" x14ac:dyDescent="0.3">
      <c r="A822" s="16" t="str">
        <f t="shared" si="51"/>
        <v/>
      </c>
      <c r="D822" s="14" t="str">
        <f t="shared" si="52"/>
        <v/>
      </c>
      <c r="E822" s="6" t="str">
        <f>IF(C822="","",PMT(INPUTS!$B$5,INPUTS!$B$6,-INPUTS!$B$3,0,0))</f>
        <v/>
      </c>
      <c r="F822" s="6" t="str">
        <f>IF(C822="","",IPMT(INPUTS!$B$5,C822,INPUTS!$B$6,-INPUTS!$B$3,0,0))</f>
        <v/>
      </c>
      <c r="G822" s="6" t="str">
        <f>IF(C822="","",PPMT(INPUTS!$B$5,C822,INPUTS!$B$6,-INPUTS!$B$3,0,0))</f>
        <v/>
      </c>
      <c r="H822" s="6" t="str">
        <f t="shared" si="53"/>
        <v/>
      </c>
      <c r="I822" s="6" t="str">
        <f t="shared" si="54"/>
        <v/>
      </c>
    </row>
    <row r="823" spans="1:9" hidden="1" x14ac:dyDescent="0.3">
      <c r="A823" s="16" t="str">
        <f t="shared" si="51"/>
        <v/>
      </c>
      <c r="D823" s="14" t="str">
        <f t="shared" si="52"/>
        <v/>
      </c>
      <c r="E823" s="6" t="str">
        <f>IF(C823="","",PMT(INPUTS!$B$5,INPUTS!$B$6,-INPUTS!$B$3,0,0))</f>
        <v/>
      </c>
      <c r="F823" s="6" t="str">
        <f>IF(C823="","",IPMT(INPUTS!$B$5,C823,INPUTS!$B$6,-INPUTS!$B$3,0,0))</f>
        <v/>
      </c>
      <c r="G823" s="6" t="str">
        <f>IF(C823="","",PPMT(INPUTS!$B$5,C823,INPUTS!$B$6,-INPUTS!$B$3,0,0))</f>
        <v/>
      </c>
      <c r="H823" s="6" t="str">
        <f t="shared" si="53"/>
        <v/>
      </c>
      <c r="I823" s="6" t="str">
        <f t="shared" si="54"/>
        <v/>
      </c>
    </row>
    <row r="824" spans="1:9" hidden="1" x14ac:dyDescent="0.3">
      <c r="A824" s="16" t="str">
        <f t="shared" si="51"/>
        <v/>
      </c>
      <c r="D824" s="14" t="str">
        <f t="shared" si="52"/>
        <v/>
      </c>
      <c r="E824" s="6" t="str">
        <f>IF(C824="","",PMT(INPUTS!$B$5,INPUTS!$B$6,-INPUTS!$B$3,0,0))</f>
        <v/>
      </c>
      <c r="F824" s="6" t="str">
        <f>IF(C824="","",IPMT(INPUTS!$B$5,C824,INPUTS!$B$6,-INPUTS!$B$3,0,0))</f>
        <v/>
      </c>
      <c r="G824" s="6" t="str">
        <f>IF(C824="","",PPMT(INPUTS!$B$5,C824,INPUTS!$B$6,-INPUTS!$B$3,0,0))</f>
        <v/>
      </c>
      <c r="H824" s="6" t="str">
        <f t="shared" si="53"/>
        <v/>
      </c>
      <c r="I824" s="6" t="str">
        <f t="shared" si="54"/>
        <v/>
      </c>
    </row>
    <row r="825" spans="1:9" hidden="1" x14ac:dyDescent="0.3">
      <c r="A825" s="16" t="str">
        <f t="shared" si="51"/>
        <v/>
      </c>
      <c r="D825" s="14" t="str">
        <f t="shared" si="52"/>
        <v/>
      </c>
      <c r="E825" s="6" t="str">
        <f>IF(C825="","",PMT(INPUTS!$B$5,INPUTS!$B$6,-INPUTS!$B$3,0,0))</f>
        <v/>
      </c>
      <c r="F825" s="6" t="str">
        <f>IF(C825="","",IPMT(INPUTS!$B$5,C825,INPUTS!$B$6,-INPUTS!$B$3,0,0))</f>
        <v/>
      </c>
      <c r="G825" s="6" t="str">
        <f>IF(C825="","",PPMT(INPUTS!$B$5,C825,INPUTS!$B$6,-INPUTS!$B$3,0,0))</f>
        <v/>
      </c>
      <c r="H825" s="6" t="str">
        <f t="shared" si="53"/>
        <v/>
      </c>
      <c r="I825" s="6" t="str">
        <f t="shared" si="54"/>
        <v/>
      </c>
    </row>
    <row r="826" spans="1:9" hidden="1" x14ac:dyDescent="0.3">
      <c r="A826" s="16" t="str">
        <f t="shared" si="51"/>
        <v/>
      </c>
      <c r="D826" s="14" t="str">
        <f t="shared" si="52"/>
        <v/>
      </c>
      <c r="E826" s="6" t="str">
        <f>IF(C826="","",PMT(INPUTS!$B$5,INPUTS!$B$6,-INPUTS!$B$3,0,0))</f>
        <v/>
      </c>
      <c r="F826" s="6" t="str">
        <f>IF(C826="","",IPMT(INPUTS!$B$5,C826,INPUTS!$B$6,-INPUTS!$B$3,0,0))</f>
        <v/>
      </c>
      <c r="G826" s="6" t="str">
        <f>IF(C826="","",PPMT(INPUTS!$B$5,C826,INPUTS!$B$6,-INPUTS!$B$3,0,0))</f>
        <v/>
      </c>
      <c r="H826" s="6" t="str">
        <f t="shared" si="53"/>
        <v/>
      </c>
      <c r="I826" s="6" t="str">
        <f t="shared" si="54"/>
        <v/>
      </c>
    </row>
    <row r="827" spans="1:9" hidden="1" x14ac:dyDescent="0.3">
      <c r="A827" s="16" t="str">
        <f t="shared" si="51"/>
        <v/>
      </c>
      <c r="D827" s="14" t="str">
        <f t="shared" si="52"/>
        <v/>
      </c>
      <c r="E827" s="6" t="str">
        <f>IF(C827="","",PMT(INPUTS!$B$5,INPUTS!$B$6,-INPUTS!$B$3,0,0))</f>
        <v/>
      </c>
      <c r="F827" s="6" t="str">
        <f>IF(C827="","",IPMT(INPUTS!$B$5,C827,INPUTS!$B$6,-INPUTS!$B$3,0,0))</f>
        <v/>
      </c>
      <c r="G827" s="6" t="str">
        <f>IF(C827="","",PPMT(INPUTS!$B$5,C827,INPUTS!$B$6,-INPUTS!$B$3,0,0))</f>
        <v/>
      </c>
      <c r="H827" s="6" t="str">
        <f t="shared" si="53"/>
        <v/>
      </c>
      <c r="I827" s="6" t="str">
        <f t="shared" si="54"/>
        <v/>
      </c>
    </row>
    <row r="828" spans="1:9" hidden="1" x14ac:dyDescent="0.3">
      <c r="A828" s="16" t="str">
        <f t="shared" si="51"/>
        <v/>
      </c>
      <c r="D828" s="14" t="str">
        <f t="shared" si="52"/>
        <v/>
      </c>
      <c r="E828" s="6" t="str">
        <f>IF(C828="","",PMT(INPUTS!$B$5,INPUTS!$B$6,-INPUTS!$B$3,0,0))</f>
        <v/>
      </c>
      <c r="F828" s="6" t="str">
        <f>IF(C828="","",IPMT(INPUTS!$B$5,C828,INPUTS!$B$6,-INPUTS!$B$3,0,0))</f>
        <v/>
      </c>
      <c r="G828" s="6" t="str">
        <f>IF(C828="","",PPMT(INPUTS!$B$5,C828,INPUTS!$B$6,-INPUTS!$B$3,0,0))</f>
        <v/>
      </c>
      <c r="H828" s="6" t="str">
        <f t="shared" si="53"/>
        <v/>
      </c>
      <c r="I828" s="6" t="str">
        <f t="shared" si="54"/>
        <v/>
      </c>
    </row>
    <row r="829" spans="1:9" hidden="1" x14ac:dyDescent="0.3">
      <c r="A829" s="16" t="str">
        <f t="shared" si="51"/>
        <v/>
      </c>
      <c r="D829" s="14" t="str">
        <f t="shared" si="52"/>
        <v/>
      </c>
      <c r="E829" s="6" t="str">
        <f>IF(C829="","",PMT(INPUTS!$B$5,INPUTS!$B$6,-INPUTS!$B$3,0,0))</f>
        <v/>
      </c>
      <c r="F829" s="6" t="str">
        <f>IF(C829="","",IPMT(INPUTS!$B$5,C829,INPUTS!$B$6,-INPUTS!$B$3,0,0))</f>
        <v/>
      </c>
      <c r="G829" s="6" t="str">
        <f>IF(C829="","",PPMT(INPUTS!$B$5,C829,INPUTS!$B$6,-INPUTS!$B$3,0,0))</f>
        <v/>
      </c>
      <c r="H829" s="6" t="str">
        <f t="shared" si="53"/>
        <v/>
      </c>
      <c r="I829" s="6" t="str">
        <f t="shared" si="54"/>
        <v/>
      </c>
    </row>
    <row r="830" spans="1:9" hidden="1" x14ac:dyDescent="0.3">
      <c r="A830" s="16" t="str">
        <f t="shared" si="51"/>
        <v/>
      </c>
      <c r="D830" s="14" t="str">
        <f t="shared" si="52"/>
        <v/>
      </c>
      <c r="E830" s="6" t="str">
        <f>IF(C830="","",PMT(INPUTS!$B$5,INPUTS!$B$6,-INPUTS!$B$3,0,0))</f>
        <v/>
      </c>
      <c r="F830" s="6" t="str">
        <f>IF(C830="","",IPMT(INPUTS!$B$5,C830,INPUTS!$B$6,-INPUTS!$B$3,0,0))</f>
        <v/>
      </c>
      <c r="G830" s="6" t="str">
        <f>IF(C830="","",PPMT(INPUTS!$B$5,C830,INPUTS!$B$6,-INPUTS!$B$3,0,0))</f>
        <v/>
      </c>
      <c r="H830" s="6" t="str">
        <f t="shared" si="53"/>
        <v/>
      </c>
      <c r="I830" s="6" t="str">
        <f t="shared" si="54"/>
        <v/>
      </c>
    </row>
    <row r="831" spans="1:9" hidden="1" x14ac:dyDescent="0.3">
      <c r="A831" s="16" t="str">
        <f t="shared" si="51"/>
        <v/>
      </c>
      <c r="D831" s="14" t="str">
        <f t="shared" si="52"/>
        <v/>
      </c>
      <c r="E831" s="6" t="str">
        <f>IF(C831="","",PMT(INPUTS!$B$5,INPUTS!$B$6,-INPUTS!$B$3,0,0))</f>
        <v/>
      </c>
      <c r="F831" s="6" t="str">
        <f>IF(C831="","",IPMT(INPUTS!$B$5,C831,INPUTS!$B$6,-INPUTS!$B$3,0,0))</f>
        <v/>
      </c>
      <c r="G831" s="6" t="str">
        <f>IF(C831="","",PPMT(INPUTS!$B$5,C831,INPUTS!$B$6,-INPUTS!$B$3,0,0))</f>
        <v/>
      </c>
      <c r="H831" s="6" t="str">
        <f t="shared" si="53"/>
        <v/>
      </c>
      <c r="I831" s="6" t="str">
        <f t="shared" si="54"/>
        <v/>
      </c>
    </row>
    <row r="832" spans="1:9" hidden="1" x14ac:dyDescent="0.3">
      <c r="A832" s="16" t="str">
        <f t="shared" si="51"/>
        <v/>
      </c>
      <c r="D832" s="14" t="str">
        <f t="shared" si="52"/>
        <v/>
      </c>
      <c r="E832" s="6" t="str">
        <f>IF(C832="","",PMT(INPUTS!$B$5,INPUTS!$B$6,-INPUTS!$B$3,0,0))</f>
        <v/>
      </c>
      <c r="F832" s="6" t="str">
        <f>IF(C832="","",IPMT(INPUTS!$B$5,C832,INPUTS!$B$6,-INPUTS!$B$3,0,0))</f>
        <v/>
      </c>
      <c r="G832" s="6" t="str">
        <f>IF(C832="","",PPMT(INPUTS!$B$5,C832,INPUTS!$B$6,-INPUTS!$B$3,0,0))</f>
        <v/>
      </c>
      <c r="H832" s="6" t="str">
        <f t="shared" si="53"/>
        <v/>
      </c>
      <c r="I832" s="6" t="str">
        <f t="shared" si="54"/>
        <v/>
      </c>
    </row>
    <row r="833" spans="1:9" hidden="1" x14ac:dyDescent="0.3">
      <c r="A833" s="16" t="str">
        <f t="shared" si="51"/>
        <v/>
      </c>
      <c r="D833" s="14" t="str">
        <f t="shared" si="52"/>
        <v/>
      </c>
      <c r="E833" s="6" t="str">
        <f>IF(C833="","",PMT(INPUTS!$B$5,INPUTS!$B$6,-INPUTS!$B$3,0,0))</f>
        <v/>
      </c>
      <c r="F833" s="6" t="str">
        <f>IF(C833="","",IPMT(INPUTS!$B$5,C833,INPUTS!$B$6,-INPUTS!$B$3,0,0))</f>
        <v/>
      </c>
      <c r="G833" s="6" t="str">
        <f>IF(C833="","",PPMT(INPUTS!$B$5,C833,INPUTS!$B$6,-INPUTS!$B$3,0,0))</f>
        <v/>
      </c>
      <c r="H833" s="6" t="str">
        <f t="shared" si="53"/>
        <v/>
      </c>
      <c r="I833" s="6" t="str">
        <f t="shared" si="54"/>
        <v/>
      </c>
    </row>
    <row r="834" spans="1:9" hidden="1" x14ac:dyDescent="0.3">
      <c r="A834" s="16" t="str">
        <f t="shared" si="51"/>
        <v/>
      </c>
      <c r="D834" s="14" t="str">
        <f t="shared" si="52"/>
        <v/>
      </c>
      <c r="E834" s="6" t="str">
        <f>IF(C834="","",PMT(INPUTS!$B$5,INPUTS!$B$6,-INPUTS!$B$3,0,0))</f>
        <v/>
      </c>
      <c r="F834" s="6" t="str">
        <f>IF(C834="","",IPMT(INPUTS!$B$5,C834,INPUTS!$B$6,-INPUTS!$B$3,0,0))</f>
        <v/>
      </c>
      <c r="G834" s="6" t="str">
        <f>IF(C834="","",PPMT(INPUTS!$B$5,C834,INPUTS!$B$6,-INPUTS!$B$3,0,0))</f>
        <v/>
      </c>
      <c r="H834" s="6" t="str">
        <f t="shared" si="53"/>
        <v/>
      </c>
      <c r="I834" s="6" t="str">
        <f t="shared" si="54"/>
        <v/>
      </c>
    </row>
    <row r="835" spans="1:9" hidden="1" x14ac:dyDescent="0.3">
      <c r="A835" s="16" t="str">
        <f t="shared" si="51"/>
        <v/>
      </c>
      <c r="D835" s="14" t="str">
        <f t="shared" si="52"/>
        <v/>
      </c>
      <c r="E835" s="6" t="str">
        <f>IF(C835="","",PMT(INPUTS!$B$5,INPUTS!$B$6,-INPUTS!$B$3,0,0))</f>
        <v/>
      </c>
      <c r="F835" s="6" t="str">
        <f>IF(C835="","",IPMT(INPUTS!$B$5,C835,INPUTS!$B$6,-INPUTS!$B$3,0,0))</f>
        <v/>
      </c>
      <c r="G835" s="6" t="str">
        <f>IF(C835="","",PPMT(INPUTS!$B$5,C835,INPUTS!$B$6,-INPUTS!$B$3,0,0))</f>
        <v/>
      </c>
      <c r="H835" s="6" t="str">
        <f t="shared" si="53"/>
        <v/>
      </c>
      <c r="I835" s="6" t="str">
        <f t="shared" si="54"/>
        <v/>
      </c>
    </row>
    <row r="836" spans="1:9" hidden="1" x14ac:dyDescent="0.3">
      <c r="A836" s="16" t="str">
        <f t="shared" si="51"/>
        <v/>
      </c>
      <c r="D836" s="14" t="str">
        <f t="shared" si="52"/>
        <v/>
      </c>
      <c r="E836" s="6" t="str">
        <f>IF(C836="","",PMT(INPUTS!$B$5,INPUTS!$B$6,-INPUTS!$B$3,0,0))</f>
        <v/>
      </c>
      <c r="F836" s="6" t="str">
        <f>IF(C836="","",IPMT(INPUTS!$B$5,C836,INPUTS!$B$6,-INPUTS!$B$3,0,0))</f>
        <v/>
      </c>
      <c r="G836" s="6" t="str">
        <f>IF(C836="","",PPMT(INPUTS!$B$5,C836,INPUTS!$B$6,-INPUTS!$B$3,0,0))</f>
        <v/>
      </c>
      <c r="H836" s="6" t="str">
        <f t="shared" si="53"/>
        <v/>
      </c>
      <c r="I836" s="6" t="str">
        <f t="shared" si="54"/>
        <v/>
      </c>
    </row>
    <row r="837" spans="1:9" hidden="1" x14ac:dyDescent="0.3">
      <c r="A837" s="16" t="str">
        <f t="shared" si="51"/>
        <v/>
      </c>
      <c r="D837" s="14" t="str">
        <f t="shared" si="52"/>
        <v/>
      </c>
      <c r="E837" s="6" t="str">
        <f>IF(C837="","",PMT(INPUTS!$B$5,INPUTS!$B$6,-INPUTS!$B$3,0,0))</f>
        <v/>
      </c>
      <c r="F837" s="6" t="str">
        <f>IF(C837="","",IPMT(INPUTS!$B$5,C837,INPUTS!$B$6,-INPUTS!$B$3,0,0))</f>
        <v/>
      </c>
      <c r="G837" s="6" t="str">
        <f>IF(C837="","",PPMT(INPUTS!$B$5,C837,INPUTS!$B$6,-INPUTS!$B$3,0,0))</f>
        <v/>
      </c>
      <c r="H837" s="6" t="str">
        <f t="shared" si="53"/>
        <v/>
      </c>
      <c r="I837" s="6" t="str">
        <f t="shared" si="54"/>
        <v/>
      </c>
    </row>
    <row r="838" spans="1:9" hidden="1" x14ac:dyDescent="0.3">
      <c r="A838" s="16" t="str">
        <f t="shared" si="51"/>
        <v/>
      </c>
      <c r="D838" s="14" t="str">
        <f t="shared" si="52"/>
        <v/>
      </c>
      <c r="E838" s="6" t="str">
        <f>IF(C838="","",PMT(INPUTS!$B$5,INPUTS!$B$6,-INPUTS!$B$3,0,0))</f>
        <v/>
      </c>
      <c r="F838" s="6" t="str">
        <f>IF(C838="","",IPMT(INPUTS!$B$5,C838,INPUTS!$B$6,-INPUTS!$B$3,0,0))</f>
        <v/>
      </c>
      <c r="G838" s="6" t="str">
        <f>IF(C838="","",PPMT(INPUTS!$B$5,C838,INPUTS!$B$6,-INPUTS!$B$3,0,0))</f>
        <v/>
      </c>
      <c r="H838" s="6" t="str">
        <f t="shared" si="53"/>
        <v/>
      </c>
      <c r="I838" s="6" t="str">
        <f t="shared" si="54"/>
        <v/>
      </c>
    </row>
    <row r="839" spans="1:9" hidden="1" x14ac:dyDescent="0.3">
      <c r="A839" s="16" t="str">
        <f t="shared" si="51"/>
        <v/>
      </c>
      <c r="D839" s="14" t="str">
        <f t="shared" si="52"/>
        <v/>
      </c>
      <c r="E839" s="6" t="str">
        <f>IF(C839="","",PMT(INPUTS!$B$5,INPUTS!$B$6,-INPUTS!$B$3,0,0))</f>
        <v/>
      </c>
      <c r="F839" s="6" t="str">
        <f>IF(C839="","",IPMT(INPUTS!$B$5,C839,INPUTS!$B$6,-INPUTS!$B$3,0,0))</f>
        <v/>
      </c>
      <c r="G839" s="6" t="str">
        <f>IF(C839="","",PPMT(INPUTS!$B$5,C839,INPUTS!$B$6,-INPUTS!$B$3,0,0))</f>
        <v/>
      </c>
      <c r="H839" s="6" t="str">
        <f t="shared" si="53"/>
        <v/>
      </c>
      <c r="I839" s="6" t="str">
        <f t="shared" si="54"/>
        <v/>
      </c>
    </row>
    <row r="840" spans="1:9" hidden="1" x14ac:dyDescent="0.3">
      <c r="A840" s="16" t="str">
        <f t="shared" si="51"/>
        <v/>
      </c>
      <c r="D840" s="14" t="str">
        <f t="shared" si="52"/>
        <v/>
      </c>
      <c r="E840" s="6" t="str">
        <f>IF(C840="","",PMT(INPUTS!$B$5,INPUTS!$B$6,-INPUTS!$B$3,0,0))</f>
        <v/>
      </c>
      <c r="F840" s="6" t="str">
        <f>IF(C840="","",IPMT(INPUTS!$B$5,C840,INPUTS!$B$6,-INPUTS!$B$3,0,0))</f>
        <v/>
      </c>
      <c r="G840" s="6" t="str">
        <f>IF(C840="","",PPMT(INPUTS!$B$5,C840,INPUTS!$B$6,-INPUTS!$B$3,0,0))</f>
        <v/>
      </c>
      <c r="H840" s="6" t="str">
        <f t="shared" si="53"/>
        <v/>
      </c>
      <c r="I840" s="6" t="str">
        <f t="shared" si="54"/>
        <v/>
      </c>
    </row>
    <row r="841" spans="1:9" hidden="1" x14ac:dyDescent="0.3">
      <c r="A841" s="16" t="str">
        <f t="shared" si="51"/>
        <v/>
      </c>
      <c r="D841" s="14" t="str">
        <f t="shared" si="52"/>
        <v/>
      </c>
      <c r="E841" s="6" t="str">
        <f>IF(C841="","",PMT(INPUTS!$B$5,INPUTS!$B$6,-INPUTS!$B$3,0,0))</f>
        <v/>
      </c>
      <c r="F841" s="6" t="str">
        <f>IF(C841="","",IPMT(INPUTS!$B$5,C841,INPUTS!$B$6,-INPUTS!$B$3,0,0))</f>
        <v/>
      </c>
      <c r="G841" s="6" t="str">
        <f>IF(C841="","",PPMT(INPUTS!$B$5,C841,INPUTS!$B$6,-INPUTS!$B$3,0,0))</f>
        <v/>
      </c>
      <c r="H841" s="6" t="str">
        <f t="shared" si="53"/>
        <v/>
      </c>
      <c r="I841" s="6" t="str">
        <f t="shared" si="54"/>
        <v/>
      </c>
    </row>
    <row r="842" spans="1:9" hidden="1" x14ac:dyDescent="0.3">
      <c r="A842" s="16" t="str">
        <f t="shared" si="51"/>
        <v/>
      </c>
      <c r="D842" s="14" t="str">
        <f t="shared" si="52"/>
        <v/>
      </c>
      <c r="E842" s="6" t="str">
        <f>IF(C842="","",PMT(INPUTS!$B$5,INPUTS!$B$6,-INPUTS!$B$3,0,0))</f>
        <v/>
      </c>
      <c r="F842" s="6" t="str">
        <f>IF(C842="","",IPMT(INPUTS!$B$5,C842,INPUTS!$B$6,-INPUTS!$B$3,0,0))</f>
        <v/>
      </c>
      <c r="G842" s="6" t="str">
        <f>IF(C842="","",PPMT(INPUTS!$B$5,C842,INPUTS!$B$6,-INPUTS!$B$3,0,0))</f>
        <v/>
      </c>
      <c r="H842" s="6" t="str">
        <f t="shared" si="53"/>
        <v/>
      </c>
      <c r="I842" s="6" t="str">
        <f t="shared" si="54"/>
        <v/>
      </c>
    </row>
    <row r="843" spans="1:9" hidden="1" x14ac:dyDescent="0.3">
      <c r="A843" s="16" t="str">
        <f t="shared" si="51"/>
        <v/>
      </c>
      <c r="D843" s="14" t="str">
        <f t="shared" si="52"/>
        <v/>
      </c>
      <c r="E843" s="6" t="str">
        <f>IF(C843="","",PMT(INPUTS!$B$5,INPUTS!$B$6,-INPUTS!$B$3,0,0))</f>
        <v/>
      </c>
      <c r="F843" s="6" t="str">
        <f>IF(C843="","",IPMT(INPUTS!$B$5,C843,INPUTS!$B$6,-INPUTS!$B$3,0,0))</f>
        <v/>
      </c>
      <c r="G843" s="6" t="str">
        <f>IF(C843="","",PPMT(INPUTS!$B$5,C843,INPUTS!$B$6,-INPUTS!$B$3,0,0))</f>
        <v/>
      </c>
      <c r="H843" s="6" t="str">
        <f t="shared" si="53"/>
        <v/>
      </c>
      <c r="I843" s="6" t="str">
        <f t="shared" si="54"/>
        <v/>
      </c>
    </row>
    <row r="844" spans="1:9" hidden="1" x14ac:dyDescent="0.3">
      <c r="A844" s="16" t="str">
        <f t="shared" si="51"/>
        <v/>
      </c>
      <c r="D844" s="14" t="str">
        <f t="shared" si="52"/>
        <v/>
      </c>
      <c r="E844" s="6" t="str">
        <f>IF(C844="","",PMT(INPUTS!$B$5,INPUTS!$B$6,-INPUTS!$B$3,0,0))</f>
        <v/>
      </c>
      <c r="F844" s="6" t="str">
        <f>IF(C844="","",IPMT(INPUTS!$B$5,C844,INPUTS!$B$6,-INPUTS!$B$3,0,0))</f>
        <v/>
      </c>
      <c r="G844" s="6" t="str">
        <f>IF(C844="","",PPMT(INPUTS!$B$5,C844,INPUTS!$B$6,-INPUTS!$B$3,0,0))</f>
        <v/>
      </c>
      <c r="H844" s="6" t="str">
        <f t="shared" si="53"/>
        <v/>
      </c>
      <c r="I844" s="6" t="str">
        <f t="shared" si="54"/>
        <v/>
      </c>
    </row>
    <row r="845" spans="1:9" hidden="1" x14ac:dyDescent="0.3">
      <c r="A845" s="16" t="str">
        <f t="shared" si="51"/>
        <v/>
      </c>
      <c r="D845" s="14" t="str">
        <f t="shared" si="52"/>
        <v/>
      </c>
      <c r="E845" s="6" t="str">
        <f>IF(C845="","",PMT(INPUTS!$B$5,INPUTS!$B$6,-INPUTS!$B$3,0,0))</f>
        <v/>
      </c>
      <c r="F845" s="6" t="str">
        <f>IF(C845="","",IPMT(INPUTS!$B$5,C845,INPUTS!$B$6,-INPUTS!$B$3,0,0))</f>
        <v/>
      </c>
      <c r="G845" s="6" t="str">
        <f>IF(C845="","",PPMT(INPUTS!$B$5,C845,INPUTS!$B$6,-INPUTS!$B$3,0,0))</f>
        <v/>
      </c>
      <c r="H845" s="6" t="str">
        <f t="shared" si="53"/>
        <v/>
      </c>
      <c r="I845" s="6" t="str">
        <f t="shared" si="54"/>
        <v/>
      </c>
    </row>
    <row r="846" spans="1:9" hidden="1" x14ac:dyDescent="0.3">
      <c r="A846" s="16" t="str">
        <f t="shared" si="51"/>
        <v/>
      </c>
      <c r="D846" s="14" t="str">
        <f t="shared" si="52"/>
        <v/>
      </c>
      <c r="E846" s="6" t="str">
        <f>IF(C846="","",PMT(INPUTS!$B$5,INPUTS!$B$6,-INPUTS!$B$3,0,0))</f>
        <v/>
      </c>
      <c r="F846" s="6" t="str">
        <f>IF(C846="","",IPMT(INPUTS!$B$5,C846,INPUTS!$B$6,-INPUTS!$B$3,0,0))</f>
        <v/>
      </c>
      <c r="G846" s="6" t="str">
        <f>IF(C846="","",PPMT(INPUTS!$B$5,C846,INPUTS!$B$6,-INPUTS!$B$3,0,0))</f>
        <v/>
      </c>
      <c r="H846" s="6" t="str">
        <f t="shared" si="53"/>
        <v/>
      </c>
      <c r="I846" s="6" t="str">
        <f t="shared" si="54"/>
        <v/>
      </c>
    </row>
    <row r="847" spans="1:9" hidden="1" x14ac:dyDescent="0.3">
      <c r="A847" s="16" t="str">
        <f t="shared" si="51"/>
        <v/>
      </c>
      <c r="D847" s="14" t="str">
        <f t="shared" si="52"/>
        <v/>
      </c>
      <c r="E847" s="6" t="str">
        <f>IF(C847="","",PMT(INPUTS!$B$5,INPUTS!$B$6,-INPUTS!$B$3,0,0))</f>
        <v/>
      </c>
      <c r="F847" s="6" t="str">
        <f>IF(C847="","",IPMT(INPUTS!$B$5,C847,INPUTS!$B$6,-INPUTS!$B$3,0,0))</f>
        <v/>
      </c>
      <c r="G847" s="6" t="str">
        <f>IF(C847="","",PPMT(INPUTS!$B$5,C847,INPUTS!$B$6,-INPUTS!$B$3,0,0))</f>
        <v/>
      </c>
      <c r="H847" s="6" t="str">
        <f t="shared" si="53"/>
        <v/>
      </c>
      <c r="I847" s="6" t="str">
        <f t="shared" si="54"/>
        <v/>
      </c>
    </row>
    <row r="848" spans="1:9" hidden="1" x14ac:dyDescent="0.3">
      <c r="A848" s="16" t="str">
        <f t="shared" si="51"/>
        <v/>
      </c>
      <c r="D848" s="14" t="str">
        <f t="shared" si="52"/>
        <v/>
      </c>
      <c r="E848" s="6" t="str">
        <f>IF(C848="","",PMT(INPUTS!$B$5,INPUTS!$B$6,-INPUTS!$B$3,0,0))</f>
        <v/>
      </c>
      <c r="F848" s="6" t="str">
        <f>IF(C848="","",IPMT(INPUTS!$B$5,C848,INPUTS!$B$6,-INPUTS!$B$3,0,0))</f>
        <v/>
      </c>
      <c r="G848" s="6" t="str">
        <f>IF(C848="","",PPMT(INPUTS!$B$5,C848,INPUTS!$B$6,-INPUTS!$B$3,0,0))</f>
        <v/>
      </c>
      <c r="H848" s="6" t="str">
        <f t="shared" si="53"/>
        <v/>
      </c>
      <c r="I848" s="6" t="str">
        <f t="shared" si="54"/>
        <v/>
      </c>
    </row>
    <row r="849" spans="1:9" hidden="1" x14ac:dyDescent="0.3">
      <c r="A849" s="16" t="str">
        <f t="shared" si="51"/>
        <v/>
      </c>
      <c r="D849" s="14" t="str">
        <f t="shared" si="52"/>
        <v/>
      </c>
      <c r="E849" s="6" t="str">
        <f>IF(C849="","",PMT(INPUTS!$B$5,INPUTS!$B$6,-INPUTS!$B$3,0,0))</f>
        <v/>
      </c>
      <c r="F849" s="6" t="str">
        <f>IF(C849="","",IPMT(INPUTS!$B$5,C849,INPUTS!$B$6,-INPUTS!$B$3,0,0))</f>
        <v/>
      </c>
      <c r="G849" s="6" t="str">
        <f>IF(C849="","",PPMT(INPUTS!$B$5,C849,INPUTS!$B$6,-INPUTS!$B$3,0,0))</f>
        <v/>
      </c>
      <c r="H849" s="6" t="str">
        <f t="shared" si="53"/>
        <v/>
      </c>
      <c r="I849" s="6" t="str">
        <f t="shared" si="54"/>
        <v/>
      </c>
    </row>
    <row r="850" spans="1:9" hidden="1" x14ac:dyDescent="0.3">
      <c r="A850" s="16" t="str">
        <f t="shared" ref="A850:A913" si="55">IF(D850="","",YEAR(D850))</f>
        <v/>
      </c>
      <c r="D850" s="14" t="str">
        <f t="shared" si="52"/>
        <v/>
      </c>
      <c r="E850" s="6" t="str">
        <f>IF(C850="","",PMT(INPUTS!$B$5,INPUTS!$B$6,-INPUTS!$B$3,0,0))</f>
        <v/>
      </c>
      <c r="F850" s="6" t="str">
        <f>IF(C850="","",IPMT(INPUTS!$B$5,C850,INPUTS!$B$6,-INPUTS!$B$3,0,0))</f>
        <v/>
      </c>
      <c r="G850" s="6" t="str">
        <f>IF(C850="","",PPMT(INPUTS!$B$5,C850,INPUTS!$B$6,-INPUTS!$B$3,0,0))</f>
        <v/>
      </c>
      <c r="H850" s="6" t="str">
        <f t="shared" si="53"/>
        <v/>
      </c>
      <c r="I850" s="6" t="str">
        <f t="shared" si="54"/>
        <v/>
      </c>
    </row>
    <row r="851" spans="1:9" hidden="1" x14ac:dyDescent="0.3">
      <c r="A851" s="16" t="str">
        <f t="shared" si="55"/>
        <v/>
      </c>
      <c r="D851" s="14" t="str">
        <f t="shared" si="52"/>
        <v/>
      </c>
      <c r="E851" s="6" t="str">
        <f>IF(C851="","",PMT(INPUTS!$B$5,INPUTS!$B$6,-INPUTS!$B$3,0,0))</f>
        <v/>
      </c>
      <c r="F851" s="6" t="str">
        <f>IF(C851="","",IPMT(INPUTS!$B$5,C851,INPUTS!$B$6,-INPUTS!$B$3,0,0))</f>
        <v/>
      </c>
      <c r="G851" s="6" t="str">
        <f>IF(C851="","",PPMT(INPUTS!$B$5,C851,INPUTS!$B$6,-INPUTS!$B$3,0,0))</f>
        <v/>
      </c>
      <c r="H851" s="6" t="str">
        <f t="shared" si="53"/>
        <v/>
      </c>
      <c r="I851" s="6" t="str">
        <f t="shared" si="54"/>
        <v/>
      </c>
    </row>
    <row r="852" spans="1:9" hidden="1" x14ac:dyDescent="0.3">
      <c r="A852" s="16" t="str">
        <f t="shared" si="55"/>
        <v/>
      </c>
      <c r="D852" s="14" t="str">
        <f t="shared" ref="D852:D915" si="56">IF(C851="","",DATE(YEAR($D851),MONTH($D851)+1,DAY($D851)))</f>
        <v/>
      </c>
      <c r="E852" s="6" t="str">
        <f>IF(C852="","",PMT(INPUTS!$B$5,INPUTS!$B$6,-INPUTS!$B$3,0,0))</f>
        <v/>
      </c>
      <c r="F852" s="6" t="str">
        <f>IF(C852="","",IPMT(INPUTS!$B$5,C852,INPUTS!$B$6,-INPUTS!$B$3,0,0))</f>
        <v/>
      </c>
      <c r="G852" s="6" t="str">
        <f>IF(C852="","",PPMT(INPUTS!$B$5,C852,INPUTS!$B$6,-INPUTS!$B$3,0,0))</f>
        <v/>
      </c>
      <c r="H852" s="6" t="str">
        <f t="shared" ref="H852:H915" si="57">I851</f>
        <v/>
      </c>
      <c r="I852" s="6" t="str">
        <f t="shared" si="54"/>
        <v/>
      </c>
    </row>
    <row r="853" spans="1:9" hidden="1" x14ac:dyDescent="0.3">
      <c r="A853" s="16" t="str">
        <f t="shared" si="55"/>
        <v/>
      </c>
      <c r="D853" s="14" t="str">
        <f t="shared" si="56"/>
        <v/>
      </c>
      <c r="E853" s="6" t="str">
        <f>IF(C853="","",PMT(INPUTS!$B$5,INPUTS!$B$6,-INPUTS!$B$3,0,0))</f>
        <v/>
      </c>
      <c r="F853" s="6" t="str">
        <f>IF(C853="","",IPMT(INPUTS!$B$5,C853,INPUTS!$B$6,-INPUTS!$B$3,0,0))</f>
        <v/>
      </c>
      <c r="G853" s="6" t="str">
        <f>IF(C853="","",PPMT(INPUTS!$B$5,C853,INPUTS!$B$6,-INPUTS!$B$3,0,0))</f>
        <v/>
      </c>
      <c r="H853" s="6" t="str">
        <f t="shared" si="57"/>
        <v/>
      </c>
      <c r="I853" s="6" t="str">
        <f t="shared" si="54"/>
        <v/>
      </c>
    </row>
    <row r="854" spans="1:9" hidden="1" x14ac:dyDescent="0.3">
      <c r="A854" s="16" t="str">
        <f t="shared" si="55"/>
        <v/>
      </c>
      <c r="D854" s="14" t="str">
        <f t="shared" si="56"/>
        <v/>
      </c>
      <c r="E854" s="6" t="str">
        <f>IF(C854="","",PMT(INPUTS!$B$5,INPUTS!$B$6,-INPUTS!$B$3,0,0))</f>
        <v/>
      </c>
      <c r="F854" s="6" t="str">
        <f>IF(C854="","",IPMT(INPUTS!$B$5,C854,INPUTS!$B$6,-INPUTS!$B$3,0,0))</f>
        <v/>
      </c>
      <c r="G854" s="6" t="str">
        <f>IF(C854="","",PPMT(INPUTS!$B$5,C854,INPUTS!$B$6,-INPUTS!$B$3,0,0))</f>
        <v/>
      </c>
      <c r="H854" s="6" t="str">
        <f t="shared" si="57"/>
        <v/>
      </c>
      <c r="I854" s="6" t="str">
        <f t="shared" si="54"/>
        <v/>
      </c>
    </row>
    <row r="855" spans="1:9" hidden="1" x14ac:dyDescent="0.3">
      <c r="A855" s="16" t="str">
        <f t="shared" si="55"/>
        <v/>
      </c>
      <c r="D855" s="14" t="str">
        <f t="shared" si="56"/>
        <v/>
      </c>
      <c r="E855" s="6" t="str">
        <f>IF(C855="","",PMT(INPUTS!$B$5,INPUTS!$B$6,-INPUTS!$B$3,0,0))</f>
        <v/>
      </c>
      <c r="F855" s="6" t="str">
        <f>IF(C855="","",IPMT(INPUTS!$B$5,C855,INPUTS!$B$6,-INPUTS!$B$3,0,0))</f>
        <v/>
      </c>
      <c r="G855" s="6" t="str">
        <f>IF(C855="","",PPMT(INPUTS!$B$5,C855,INPUTS!$B$6,-INPUTS!$B$3,0,0))</f>
        <v/>
      </c>
      <c r="H855" s="6" t="str">
        <f t="shared" si="57"/>
        <v/>
      </c>
      <c r="I855" s="6" t="str">
        <f t="shared" si="54"/>
        <v/>
      </c>
    </row>
    <row r="856" spans="1:9" hidden="1" x14ac:dyDescent="0.3">
      <c r="A856" s="16" t="str">
        <f t="shared" si="55"/>
        <v/>
      </c>
      <c r="D856" s="14" t="str">
        <f t="shared" si="56"/>
        <v/>
      </c>
      <c r="E856" s="6" t="str">
        <f>IF(C856="","",PMT(INPUTS!$B$5,INPUTS!$B$6,-INPUTS!$B$3,0,0))</f>
        <v/>
      </c>
      <c r="F856" s="6" t="str">
        <f>IF(C856="","",IPMT(INPUTS!$B$5,C856,INPUTS!$B$6,-INPUTS!$B$3,0,0))</f>
        <v/>
      </c>
      <c r="G856" s="6" t="str">
        <f>IF(C856="","",PPMT(INPUTS!$B$5,C856,INPUTS!$B$6,-INPUTS!$B$3,0,0))</f>
        <v/>
      </c>
      <c r="H856" s="6" t="str">
        <f t="shared" si="57"/>
        <v/>
      </c>
      <c r="I856" s="6" t="str">
        <f t="shared" si="54"/>
        <v/>
      </c>
    </row>
    <row r="857" spans="1:9" hidden="1" x14ac:dyDescent="0.3">
      <c r="A857" s="16" t="str">
        <f t="shared" si="55"/>
        <v/>
      </c>
      <c r="D857" s="14" t="str">
        <f t="shared" si="56"/>
        <v/>
      </c>
      <c r="E857" s="6" t="str">
        <f>IF(C857="","",PMT(INPUTS!$B$5,INPUTS!$B$6,-INPUTS!$B$3,0,0))</f>
        <v/>
      </c>
      <c r="F857" s="6" t="str">
        <f>IF(C857="","",IPMT(INPUTS!$B$5,C857,INPUTS!$B$6,-INPUTS!$B$3,0,0))</f>
        <v/>
      </c>
      <c r="G857" s="6" t="str">
        <f>IF(C857="","",PPMT(INPUTS!$B$5,C857,INPUTS!$B$6,-INPUTS!$B$3,0,0))</f>
        <v/>
      </c>
      <c r="H857" s="6" t="str">
        <f t="shared" si="57"/>
        <v/>
      </c>
      <c r="I857" s="6" t="str">
        <f t="shared" si="54"/>
        <v/>
      </c>
    </row>
    <row r="858" spans="1:9" hidden="1" x14ac:dyDescent="0.3">
      <c r="A858" s="16" t="str">
        <f t="shared" si="55"/>
        <v/>
      </c>
      <c r="D858" s="14" t="str">
        <f t="shared" si="56"/>
        <v/>
      </c>
      <c r="E858" s="6" t="str">
        <f>IF(C858="","",PMT(INPUTS!$B$5,INPUTS!$B$6,-INPUTS!$B$3,0,0))</f>
        <v/>
      </c>
      <c r="F858" s="6" t="str">
        <f>IF(C858="","",IPMT(INPUTS!$B$5,C858,INPUTS!$B$6,-INPUTS!$B$3,0,0))</f>
        <v/>
      </c>
      <c r="G858" s="6" t="str">
        <f>IF(C858="","",PPMT(INPUTS!$B$5,C858,INPUTS!$B$6,-INPUTS!$B$3,0,0))</f>
        <v/>
      </c>
      <c r="H858" s="6" t="str">
        <f t="shared" si="57"/>
        <v/>
      </c>
      <c r="I858" s="6" t="str">
        <f t="shared" si="54"/>
        <v/>
      </c>
    </row>
    <row r="859" spans="1:9" hidden="1" x14ac:dyDescent="0.3">
      <c r="A859" s="16" t="str">
        <f t="shared" si="55"/>
        <v/>
      </c>
      <c r="D859" s="14" t="str">
        <f t="shared" si="56"/>
        <v/>
      </c>
      <c r="E859" s="6" t="str">
        <f>IF(C859="","",PMT(INPUTS!$B$5,INPUTS!$B$6,-INPUTS!$B$3,0,0))</f>
        <v/>
      </c>
      <c r="F859" s="6" t="str">
        <f>IF(C859="","",IPMT(INPUTS!$B$5,C859,INPUTS!$B$6,-INPUTS!$B$3,0,0))</f>
        <v/>
      </c>
      <c r="G859" s="6" t="str">
        <f>IF(C859="","",PPMT(INPUTS!$B$5,C859,INPUTS!$B$6,-INPUTS!$B$3,0,0))</f>
        <v/>
      </c>
      <c r="H859" s="6" t="str">
        <f t="shared" si="57"/>
        <v/>
      </c>
      <c r="I859" s="6" t="str">
        <f t="shared" si="54"/>
        <v/>
      </c>
    </row>
    <row r="860" spans="1:9" hidden="1" x14ac:dyDescent="0.3">
      <c r="A860" s="16" t="str">
        <f t="shared" si="55"/>
        <v/>
      </c>
      <c r="D860" s="14" t="str">
        <f t="shared" si="56"/>
        <v/>
      </c>
      <c r="E860" s="6" t="str">
        <f>IF(C860="","",PMT(INPUTS!$B$5,INPUTS!$B$6,-INPUTS!$B$3,0,0))</f>
        <v/>
      </c>
      <c r="F860" s="6" t="str">
        <f>IF(C860="","",IPMT(INPUTS!$B$5,C860,INPUTS!$B$6,-INPUTS!$B$3,0,0))</f>
        <v/>
      </c>
      <c r="G860" s="6" t="str">
        <f>IF(C860="","",PPMT(INPUTS!$B$5,C860,INPUTS!$B$6,-INPUTS!$B$3,0,0))</f>
        <v/>
      </c>
      <c r="H860" s="6" t="str">
        <f t="shared" si="57"/>
        <v/>
      </c>
      <c r="I860" s="6" t="str">
        <f t="shared" si="54"/>
        <v/>
      </c>
    </row>
    <row r="861" spans="1:9" hidden="1" x14ac:dyDescent="0.3">
      <c r="A861" s="16" t="str">
        <f t="shared" si="55"/>
        <v/>
      </c>
      <c r="D861" s="14" t="str">
        <f t="shared" si="56"/>
        <v/>
      </c>
      <c r="E861" s="6" t="str">
        <f>IF(C861="","",PMT(INPUTS!$B$5,INPUTS!$B$6,-INPUTS!$B$3,0,0))</f>
        <v/>
      </c>
      <c r="F861" s="6" t="str">
        <f>IF(C861="","",IPMT(INPUTS!$B$5,C861,INPUTS!$B$6,-INPUTS!$B$3,0,0))</f>
        <v/>
      </c>
      <c r="G861" s="6" t="str">
        <f>IF(C861="","",PPMT(INPUTS!$B$5,C861,INPUTS!$B$6,-INPUTS!$B$3,0,0))</f>
        <v/>
      </c>
      <c r="H861" s="6" t="str">
        <f t="shared" si="57"/>
        <v/>
      </c>
      <c r="I861" s="6" t="str">
        <f t="shared" si="54"/>
        <v/>
      </c>
    </row>
    <row r="862" spans="1:9" hidden="1" x14ac:dyDescent="0.3">
      <c r="A862" s="16" t="str">
        <f t="shared" si="55"/>
        <v/>
      </c>
      <c r="D862" s="14" t="str">
        <f t="shared" si="56"/>
        <v/>
      </c>
      <c r="E862" s="6" t="str">
        <f>IF(C862="","",PMT(INPUTS!$B$5,INPUTS!$B$6,-INPUTS!$B$3,0,0))</f>
        <v/>
      </c>
      <c r="F862" s="6" t="str">
        <f>IF(C862="","",IPMT(INPUTS!$B$5,C862,INPUTS!$B$6,-INPUTS!$B$3,0,0))</f>
        <v/>
      </c>
      <c r="G862" s="6" t="str">
        <f>IF(C862="","",PPMT(INPUTS!$B$5,C862,INPUTS!$B$6,-INPUTS!$B$3,0,0))</f>
        <v/>
      </c>
      <c r="H862" s="6" t="str">
        <f t="shared" si="57"/>
        <v/>
      </c>
      <c r="I862" s="6" t="str">
        <f t="shared" si="54"/>
        <v/>
      </c>
    </row>
    <row r="863" spans="1:9" hidden="1" x14ac:dyDescent="0.3">
      <c r="A863" s="16" t="str">
        <f t="shared" si="55"/>
        <v/>
      </c>
      <c r="D863" s="14" t="str">
        <f t="shared" si="56"/>
        <v/>
      </c>
      <c r="E863" s="6" t="str">
        <f>IF(C863="","",PMT(INPUTS!$B$5,INPUTS!$B$6,-INPUTS!$B$3,0,0))</f>
        <v/>
      </c>
      <c r="F863" s="6" t="str">
        <f>IF(C863="","",IPMT(INPUTS!$B$5,C863,INPUTS!$B$6,-INPUTS!$B$3,0,0))</f>
        <v/>
      </c>
      <c r="G863" s="6" t="str">
        <f>IF(C863="","",PPMT(INPUTS!$B$5,C863,INPUTS!$B$6,-INPUTS!$B$3,0,0))</f>
        <v/>
      </c>
      <c r="H863" s="6" t="str">
        <f t="shared" si="57"/>
        <v/>
      </c>
      <c r="I863" s="6" t="str">
        <f t="shared" si="54"/>
        <v/>
      </c>
    </row>
    <row r="864" spans="1:9" hidden="1" x14ac:dyDescent="0.3">
      <c r="A864" s="16" t="str">
        <f t="shared" si="55"/>
        <v/>
      </c>
      <c r="D864" s="14" t="str">
        <f t="shared" si="56"/>
        <v/>
      </c>
      <c r="E864" s="6" t="str">
        <f>IF(C864="","",PMT(INPUTS!$B$5,INPUTS!$B$6,-INPUTS!$B$3,0,0))</f>
        <v/>
      </c>
      <c r="F864" s="6" t="str">
        <f>IF(C864="","",IPMT(INPUTS!$B$5,C864,INPUTS!$B$6,-INPUTS!$B$3,0,0))</f>
        <v/>
      </c>
      <c r="G864" s="6" t="str">
        <f>IF(C864="","",PPMT(INPUTS!$B$5,C864,INPUTS!$B$6,-INPUTS!$B$3,0,0))</f>
        <v/>
      </c>
      <c r="H864" s="6" t="str">
        <f t="shared" si="57"/>
        <v/>
      </c>
      <c r="I864" s="6" t="str">
        <f t="shared" si="54"/>
        <v/>
      </c>
    </row>
    <row r="865" spans="1:9" hidden="1" x14ac:dyDescent="0.3">
      <c r="A865" s="16" t="str">
        <f t="shared" si="55"/>
        <v/>
      </c>
      <c r="D865" s="14" t="str">
        <f t="shared" si="56"/>
        <v/>
      </c>
      <c r="E865" s="6" t="str">
        <f>IF(C865="","",PMT(INPUTS!$B$5,INPUTS!$B$6,-INPUTS!$B$3,0,0))</f>
        <v/>
      </c>
      <c r="F865" s="6" t="str">
        <f>IF(C865="","",IPMT(INPUTS!$B$5,C865,INPUTS!$B$6,-INPUTS!$B$3,0,0))</f>
        <v/>
      </c>
      <c r="G865" s="6" t="str">
        <f>IF(C865="","",PPMT(INPUTS!$B$5,C865,INPUTS!$B$6,-INPUTS!$B$3,0,0))</f>
        <v/>
      </c>
      <c r="H865" s="6" t="str">
        <f t="shared" si="57"/>
        <v/>
      </c>
      <c r="I865" s="6" t="str">
        <f t="shared" si="54"/>
        <v/>
      </c>
    </row>
    <row r="866" spans="1:9" hidden="1" x14ac:dyDescent="0.3">
      <c r="A866" s="16" t="str">
        <f t="shared" si="55"/>
        <v/>
      </c>
      <c r="D866" s="14" t="str">
        <f t="shared" si="56"/>
        <v/>
      </c>
      <c r="E866" s="6" t="str">
        <f>IF(C866="","",PMT(INPUTS!$B$5,INPUTS!$B$6,-INPUTS!$B$3,0,0))</f>
        <v/>
      </c>
      <c r="F866" s="6" t="str">
        <f>IF(C866="","",IPMT(INPUTS!$B$5,C866,INPUTS!$B$6,-INPUTS!$B$3,0,0))</f>
        <v/>
      </c>
      <c r="G866" s="6" t="str">
        <f>IF(C866="","",PPMT(INPUTS!$B$5,C866,INPUTS!$B$6,-INPUTS!$B$3,0,0))</f>
        <v/>
      </c>
      <c r="H866" s="6" t="str">
        <f t="shared" si="57"/>
        <v/>
      </c>
      <c r="I866" s="6" t="str">
        <f t="shared" si="54"/>
        <v/>
      </c>
    </row>
    <row r="867" spans="1:9" hidden="1" x14ac:dyDescent="0.3">
      <c r="A867" s="16" t="str">
        <f t="shared" si="55"/>
        <v/>
      </c>
      <c r="D867" s="14" t="str">
        <f t="shared" si="56"/>
        <v/>
      </c>
      <c r="E867" s="6" t="str">
        <f>IF(C867="","",PMT(INPUTS!$B$5,INPUTS!$B$6,-INPUTS!$B$3,0,0))</f>
        <v/>
      </c>
      <c r="F867" s="6" t="str">
        <f>IF(C867="","",IPMT(INPUTS!$B$5,C867,INPUTS!$B$6,-INPUTS!$B$3,0,0))</f>
        <v/>
      </c>
      <c r="G867" s="6" t="str">
        <f>IF(C867="","",PPMT(INPUTS!$B$5,C867,INPUTS!$B$6,-INPUTS!$B$3,0,0))</f>
        <v/>
      </c>
      <c r="H867" s="6" t="str">
        <f t="shared" si="57"/>
        <v/>
      </c>
      <c r="I867" s="6" t="str">
        <f t="shared" si="54"/>
        <v/>
      </c>
    </row>
    <row r="868" spans="1:9" hidden="1" x14ac:dyDescent="0.3">
      <c r="A868" s="16" t="str">
        <f t="shared" si="55"/>
        <v/>
      </c>
      <c r="D868" s="14" t="str">
        <f t="shared" si="56"/>
        <v/>
      </c>
      <c r="E868" s="6" t="str">
        <f>IF(C868="","",PMT(INPUTS!$B$5,INPUTS!$B$6,-INPUTS!$B$3,0,0))</f>
        <v/>
      </c>
      <c r="F868" s="6" t="str">
        <f>IF(C868="","",IPMT(INPUTS!$B$5,C868,INPUTS!$B$6,-INPUTS!$B$3,0,0))</f>
        <v/>
      </c>
      <c r="G868" s="6" t="str">
        <f>IF(C868="","",PPMT(INPUTS!$B$5,C868,INPUTS!$B$6,-INPUTS!$B$3,0,0))</f>
        <v/>
      </c>
      <c r="H868" s="6" t="str">
        <f t="shared" si="57"/>
        <v/>
      </c>
      <c r="I868" s="6" t="str">
        <f t="shared" si="54"/>
        <v/>
      </c>
    </row>
    <row r="869" spans="1:9" hidden="1" x14ac:dyDescent="0.3">
      <c r="A869" s="16" t="str">
        <f t="shared" si="55"/>
        <v/>
      </c>
      <c r="D869" s="14" t="str">
        <f t="shared" si="56"/>
        <v/>
      </c>
      <c r="E869" s="6" t="str">
        <f>IF(C869="","",PMT(INPUTS!$B$5,INPUTS!$B$6,-INPUTS!$B$3,0,0))</f>
        <v/>
      </c>
      <c r="F869" s="6" t="str">
        <f>IF(C869="","",IPMT(INPUTS!$B$5,C869,INPUTS!$B$6,-INPUTS!$B$3,0,0))</f>
        <v/>
      </c>
      <c r="G869" s="6" t="str">
        <f>IF(C869="","",PPMT(INPUTS!$B$5,C869,INPUTS!$B$6,-INPUTS!$B$3,0,0))</f>
        <v/>
      </c>
      <c r="H869" s="6" t="str">
        <f t="shared" si="57"/>
        <v/>
      </c>
      <c r="I869" s="6" t="str">
        <f t="shared" si="54"/>
        <v/>
      </c>
    </row>
    <row r="870" spans="1:9" hidden="1" x14ac:dyDescent="0.3">
      <c r="A870" s="16" t="str">
        <f t="shared" si="55"/>
        <v/>
      </c>
      <c r="D870" s="14" t="str">
        <f t="shared" si="56"/>
        <v/>
      </c>
      <c r="E870" s="6" t="str">
        <f>IF(C870="","",PMT(INPUTS!$B$5,INPUTS!$B$6,-INPUTS!$B$3,0,0))</f>
        <v/>
      </c>
      <c r="F870" s="6" t="str">
        <f>IF(C870="","",IPMT(INPUTS!$B$5,C870,INPUTS!$B$6,-INPUTS!$B$3,0,0))</f>
        <v/>
      </c>
      <c r="G870" s="6" t="str">
        <f>IF(C870="","",PPMT(INPUTS!$B$5,C870,INPUTS!$B$6,-INPUTS!$B$3,0,0))</f>
        <v/>
      </c>
      <c r="H870" s="6" t="str">
        <f t="shared" si="57"/>
        <v/>
      </c>
      <c r="I870" s="6" t="str">
        <f t="shared" si="54"/>
        <v/>
      </c>
    </row>
    <row r="871" spans="1:9" hidden="1" x14ac:dyDescent="0.3">
      <c r="A871" s="16" t="str">
        <f t="shared" si="55"/>
        <v/>
      </c>
      <c r="D871" s="14" t="str">
        <f t="shared" si="56"/>
        <v/>
      </c>
      <c r="E871" s="6" t="str">
        <f>IF(C871="","",PMT(INPUTS!$B$5,INPUTS!$B$6,-INPUTS!$B$3,0,0))</f>
        <v/>
      </c>
      <c r="F871" s="6" t="str">
        <f>IF(C871="","",IPMT(INPUTS!$B$5,C871,INPUTS!$B$6,-INPUTS!$B$3,0,0))</f>
        <v/>
      </c>
      <c r="G871" s="6" t="str">
        <f>IF(C871="","",PPMT(INPUTS!$B$5,C871,INPUTS!$B$6,-INPUTS!$B$3,0,0))</f>
        <v/>
      </c>
      <c r="H871" s="6" t="str">
        <f t="shared" si="57"/>
        <v/>
      </c>
      <c r="I871" s="6" t="str">
        <f t="shared" si="54"/>
        <v/>
      </c>
    </row>
    <row r="872" spans="1:9" hidden="1" x14ac:dyDescent="0.3">
      <c r="A872" s="16" t="str">
        <f t="shared" si="55"/>
        <v/>
      </c>
      <c r="D872" s="14" t="str">
        <f t="shared" si="56"/>
        <v/>
      </c>
      <c r="E872" s="6" t="str">
        <f>IF(C872="","",PMT(INPUTS!$B$5,INPUTS!$B$6,-INPUTS!$B$3,0,0))</f>
        <v/>
      </c>
      <c r="F872" s="6" t="str">
        <f>IF(C872="","",IPMT(INPUTS!$B$5,C872,INPUTS!$B$6,-INPUTS!$B$3,0,0))</f>
        <v/>
      </c>
      <c r="G872" s="6" t="str">
        <f>IF(C872="","",PPMT(INPUTS!$B$5,C872,INPUTS!$B$6,-INPUTS!$B$3,0,0))</f>
        <v/>
      </c>
      <c r="H872" s="6" t="str">
        <f t="shared" si="57"/>
        <v/>
      </c>
      <c r="I872" s="6" t="str">
        <f t="shared" si="54"/>
        <v/>
      </c>
    </row>
    <row r="873" spans="1:9" hidden="1" x14ac:dyDescent="0.3">
      <c r="A873" s="16" t="str">
        <f t="shared" si="55"/>
        <v/>
      </c>
      <c r="D873" s="14" t="str">
        <f t="shared" si="56"/>
        <v/>
      </c>
      <c r="E873" s="6" t="str">
        <f>IF(C873="","",PMT(INPUTS!$B$5,INPUTS!$B$6,-INPUTS!$B$3,0,0))</f>
        <v/>
      </c>
      <c r="F873" s="6" t="str">
        <f>IF(C873="","",IPMT(INPUTS!$B$5,C873,INPUTS!$B$6,-INPUTS!$B$3,0,0))</f>
        <v/>
      </c>
      <c r="G873" s="6" t="str">
        <f>IF(C873="","",PPMT(INPUTS!$B$5,C873,INPUTS!$B$6,-INPUTS!$B$3,0,0))</f>
        <v/>
      </c>
      <c r="H873" s="6" t="str">
        <f t="shared" si="57"/>
        <v/>
      </c>
      <c r="I873" s="6" t="str">
        <f t="shared" si="54"/>
        <v/>
      </c>
    </row>
    <row r="874" spans="1:9" hidden="1" x14ac:dyDescent="0.3">
      <c r="A874" s="16" t="str">
        <f t="shared" si="55"/>
        <v/>
      </c>
      <c r="D874" s="14" t="str">
        <f t="shared" si="56"/>
        <v/>
      </c>
      <c r="E874" s="6" t="str">
        <f>IF(C874="","",PMT(INPUTS!$B$5,INPUTS!$B$6,-INPUTS!$B$3,0,0))</f>
        <v/>
      </c>
      <c r="F874" s="6" t="str">
        <f>IF(C874="","",IPMT(INPUTS!$B$5,C874,INPUTS!$B$6,-INPUTS!$B$3,0,0))</f>
        <v/>
      </c>
      <c r="G874" s="6" t="str">
        <f>IF(C874="","",PPMT(INPUTS!$B$5,C874,INPUTS!$B$6,-INPUTS!$B$3,0,0))</f>
        <v/>
      </c>
      <c r="H874" s="6" t="str">
        <f t="shared" si="57"/>
        <v/>
      </c>
      <c r="I874" s="6" t="str">
        <f t="shared" si="54"/>
        <v/>
      </c>
    </row>
    <row r="875" spans="1:9" hidden="1" x14ac:dyDescent="0.3">
      <c r="A875" s="16" t="str">
        <f t="shared" si="55"/>
        <v/>
      </c>
      <c r="D875" s="14" t="str">
        <f t="shared" si="56"/>
        <v/>
      </c>
      <c r="E875" s="6" t="str">
        <f>IF(C875="","",PMT(INPUTS!$B$5,INPUTS!$B$6,-INPUTS!$B$3,0,0))</f>
        <v/>
      </c>
      <c r="F875" s="6" t="str">
        <f>IF(C875="","",IPMT(INPUTS!$B$5,C875,INPUTS!$B$6,-INPUTS!$B$3,0,0))</f>
        <v/>
      </c>
      <c r="G875" s="6" t="str">
        <f>IF(C875="","",PPMT(INPUTS!$B$5,C875,INPUTS!$B$6,-INPUTS!$B$3,0,0))</f>
        <v/>
      </c>
      <c r="H875" s="6" t="str">
        <f t="shared" si="57"/>
        <v/>
      </c>
      <c r="I875" s="6" t="str">
        <f t="shared" si="54"/>
        <v/>
      </c>
    </row>
    <row r="876" spans="1:9" hidden="1" x14ac:dyDescent="0.3">
      <c r="A876" s="16" t="str">
        <f t="shared" si="55"/>
        <v/>
      </c>
      <c r="D876" s="14" t="str">
        <f t="shared" si="56"/>
        <v/>
      </c>
      <c r="E876" s="6" t="str">
        <f>IF(C876="","",PMT(INPUTS!$B$5,INPUTS!$B$6,-INPUTS!$B$3,0,0))</f>
        <v/>
      </c>
      <c r="F876" s="6" t="str">
        <f>IF(C876="","",IPMT(INPUTS!$B$5,C876,INPUTS!$B$6,-INPUTS!$B$3,0,0))</f>
        <v/>
      </c>
      <c r="G876" s="6" t="str">
        <f>IF(C876="","",PPMT(INPUTS!$B$5,C876,INPUTS!$B$6,-INPUTS!$B$3,0,0))</f>
        <v/>
      </c>
      <c r="H876" s="6" t="str">
        <f t="shared" si="57"/>
        <v/>
      </c>
      <c r="I876" s="6" t="str">
        <f t="shared" si="54"/>
        <v/>
      </c>
    </row>
    <row r="877" spans="1:9" hidden="1" x14ac:dyDescent="0.3">
      <c r="A877" s="16" t="str">
        <f t="shared" si="55"/>
        <v/>
      </c>
      <c r="D877" s="14" t="str">
        <f t="shared" si="56"/>
        <v/>
      </c>
      <c r="E877" s="6" t="str">
        <f>IF(C877="","",PMT(INPUTS!$B$5,INPUTS!$B$6,-INPUTS!$B$3,0,0))</f>
        <v/>
      </c>
      <c r="F877" s="6" t="str">
        <f>IF(C877="","",IPMT(INPUTS!$B$5,C877,INPUTS!$B$6,-INPUTS!$B$3,0,0))</f>
        <v/>
      </c>
      <c r="G877" s="6" t="str">
        <f>IF(C877="","",PPMT(INPUTS!$B$5,C877,INPUTS!$B$6,-INPUTS!$B$3,0,0))</f>
        <v/>
      </c>
      <c r="H877" s="6" t="str">
        <f t="shared" si="57"/>
        <v/>
      </c>
      <c r="I877" s="6" t="str">
        <f t="shared" si="54"/>
        <v/>
      </c>
    </row>
    <row r="878" spans="1:9" hidden="1" x14ac:dyDescent="0.3">
      <c r="A878" s="16" t="str">
        <f t="shared" si="55"/>
        <v/>
      </c>
      <c r="D878" s="14" t="str">
        <f t="shared" si="56"/>
        <v/>
      </c>
      <c r="E878" s="6" t="str">
        <f>IF(C878="","",PMT(INPUTS!$B$5,INPUTS!$B$6,-INPUTS!$B$3,0,0))</f>
        <v/>
      </c>
      <c r="F878" s="6" t="str">
        <f>IF(C878="","",IPMT(INPUTS!$B$5,C878,INPUTS!$B$6,-INPUTS!$B$3,0,0))</f>
        <v/>
      </c>
      <c r="G878" s="6" t="str">
        <f>IF(C878="","",PPMT(INPUTS!$B$5,C878,INPUTS!$B$6,-INPUTS!$B$3,0,0))</f>
        <v/>
      </c>
      <c r="H878" s="6" t="str">
        <f t="shared" si="57"/>
        <v/>
      </c>
      <c r="I878" s="6" t="str">
        <f t="shared" si="54"/>
        <v/>
      </c>
    </row>
    <row r="879" spans="1:9" hidden="1" x14ac:dyDescent="0.3">
      <c r="A879" s="16" t="str">
        <f t="shared" si="55"/>
        <v/>
      </c>
      <c r="D879" s="14" t="str">
        <f t="shared" si="56"/>
        <v/>
      </c>
      <c r="E879" s="6" t="str">
        <f>IF(C879="","",PMT(INPUTS!$B$5,INPUTS!$B$6,-INPUTS!$B$3,0,0))</f>
        <v/>
      </c>
      <c r="F879" s="6" t="str">
        <f>IF(C879="","",IPMT(INPUTS!$B$5,C879,INPUTS!$B$6,-INPUTS!$B$3,0,0))</f>
        <v/>
      </c>
      <c r="G879" s="6" t="str">
        <f>IF(C879="","",PPMT(INPUTS!$B$5,C879,INPUTS!$B$6,-INPUTS!$B$3,0,0))</f>
        <v/>
      </c>
      <c r="H879" s="6" t="str">
        <f t="shared" si="57"/>
        <v/>
      </c>
      <c r="I879" s="6" t="str">
        <f t="shared" si="54"/>
        <v/>
      </c>
    </row>
    <row r="880" spans="1:9" hidden="1" x14ac:dyDescent="0.3">
      <c r="A880" s="16" t="str">
        <f t="shared" si="55"/>
        <v/>
      </c>
      <c r="D880" s="14" t="str">
        <f t="shared" si="56"/>
        <v/>
      </c>
      <c r="E880" s="6" t="str">
        <f>IF(C880="","",PMT(INPUTS!$B$5,INPUTS!$B$6,-INPUTS!$B$3,0,0))</f>
        <v/>
      </c>
      <c r="F880" s="6" t="str">
        <f>IF(C880="","",IPMT(INPUTS!$B$5,C880,INPUTS!$B$6,-INPUTS!$B$3,0,0))</f>
        <v/>
      </c>
      <c r="G880" s="6" t="str">
        <f>IF(C880="","",PPMT(INPUTS!$B$5,C880,INPUTS!$B$6,-INPUTS!$B$3,0,0))</f>
        <v/>
      </c>
      <c r="H880" s="6" t="str">
        <f t="shared" si="57"/>
        <v/>
      </c>
      <c r="I880" s="6" t="str">
        <f t="shared" ref="I880:I943" si="58">IF(C880="","",H880-G880)</f>
        <v/>
      </c>
    </row>
    <row r="881" spans="1:9" hidden="1" x14ac:dyDescent="0.3">
      <c r="A881" s="16" t="str">
        <f t="shared" si="55"/>
        <v/>
      </c>
      <c r="D881" s="14" t="str">
        <f t="shared" si="56"/>
        <v/>
      </c>
      <c r="E881" s="6" t="str">
        <f>IF(C881="","",PMT(INPUTS!$B$5,INPUTS!$B$6,-INPUTS!$B$3,0,0))</f>
        <v/>
      </c>
      <c r="F881" s="6" t="str">
        <f>IF(C881="","",IPMT(INPUTS!$B$5,C881,INPUTS!$B$6,-INPUTS!$B$3,0,0))</f>
        <v/>
      </c>
      <c r="G881" s="6" t="str">
        <f>IF(C881="","",PPMT(INPUTS!$B$5,C881,INPUTS!$B$6,-INPUTS!$B$3,0,0))</f>
        <v/>
      </c>
      <c r="H881" s="6" t="str">
        <f t="shared" si="57"/>
        <v/>
      </c>
      <c r="I881" s="6" t="str">
        <f t="shared" si="58"/>
        <v/>
      </c>
    </row>
    <row r="882" spans="1:9" hidden="1" x14ac:dyDescent="0.3">
      <c r="A882" s="16" t="str">
        <f t="shared" si="55"/>
        <v/>
      </c>
      <c r="D882" s="14" t="str">
        <f t="shared" si="56"/>
        <v/>
      </c>
      <c r="E882" s="6" t="str">
        <f>IF(C882="","",PMT(INPUTS!$B$5,INPUTS!$B$6,-INPUTS!$B$3,0,0))</f>
        <v/>
      </c>
      <c r="F882" s="6" t="str">
        <f>IF(C882="","",IPMT(INPUTS!$B$5,C882,INPUTS!$B$6,-INPUTS!$B$3,0,0))</f>
        <v/>
      </c>
      <c r="G882" s="6" t="str">
        <f>IF(C882="","",PPMT(INPUTS!$B$5,C882,INPUTS!$B$6,-INPUTS!$B$3,0,0))</f>
        <v/>
      </c>
      <c r="H882" s="6" t="str">
        <f t="shared" si="57"/>
        <v/>
      </c>
      <c r="I882" s="6" t="str">
        <f t="shared" si="58"/>
        <v/>
      </c>
    </row>
    <row r="883" spans="1:9" hidden="1" x14ac:dyDescent="0.3">
      <c r="A883" s="16" t="str">
        <f t="shared" si="55"/>
        <v/>
      </c>
      <c r="D883" s="14" t="str">
        <f t="shared" si="56"/>
        <v/>
      </c>
      <c r="E883" s="6" t="str">
        <f>IF(C883="","",PMT(INPUTS!$B$5,INPUTS!$B$6,-INPUTS!$B$3,0,0))</f>
        <v/>
      </c>
      <c r="F883" s="6" t="str">
        <f>IF(C883="","",IPMT(INPUTS!$B$5,C883,INPUTS!$B$6,-INPUTS!$B$3,0,0))</f>
        <v/>
      </c>
      <c r="G883" s="6" t="str">
        <f>IF(C883="","",PPMT(INPUTS!$B$5,C883,INPUTS!$B$6,-INPUTS!$B$3,0,0))</f>
        <v/>
      </c>
      <c r="H883" s="6" t="str">
        <f t="shared" si="57"/>
        <v/>
      </c>
      <c r="I883" s="6" t="str">
        <f t="shared" si="58"/>
        <v/>
      </c>
    </row>
    <row r="884" spans="1:9" hidden="1" x14ac:dyDescent="0.3">
      <c r="A884" s="16" t="str">
        <f t="shared" si="55"/>
        <v/>
      </c>
      <c r="D884" s="14" t="str">
        <f t="shared" si="56"/>
        <v/>
      </c>
      <c r="E884" s="6" t="str">
        <f>IF(C884="","",PMT(INPUTS!$B$5,INPUTS!$B$6,-INPUTS!$B$3,0,0))</f>
        <v/>
      </c>
      <c r="F884" s="6" t="str">
        <f>IF(C884="","",IPMT(INPUTS!$B$5,C884,INPUTS!$B$6,-INPUTS!$B$3,0,0))</f>
        <v/>
      </c>
      <c r="G884" s="6" t="str">
        <f>IF(C884="","",PPMT(INPUTS!$B$5,C884,INPUTS!$B$6,-INPUTS!$B$3,0,0))</f>
        <v/>
      </c>
      <c r="H884" s="6" t="str">
        <f t="shared" si="57"/>
        <v/>
      </c>
      <c r="I884" s="6" t="str">
        <f t="shared" si="58"/>
        <v/>
      </c>
    </row>
    <row r="885" spans="1:9" hidden="1" x14ac:dyDescent="0.3">
      <c r="A885" s="16" t="str">
        <f t="shared" si="55"/>
        <v/>
      </c>
      <c r="D885" s="14" t="str">
        <f t="shared" si="56"/>
        <v/>
      </c>
      <c r="E885" s="6" t="str">
        <f>IF(C885="","",PMT(INPUTS!$B$5,INPUTS!$B$6,-INPUTS!$B$3,0,0))</f>
        <v/>
      </c>
      <c r="F885" s="6" t="str">
        <f>IF(C885="","",IPMT(INPUTS!$B$5,C885,INPUTS!$B$6,-INPUTS!$B$3,0,0))</f>
        <v/>
      </c>
      <c r="G885" s="6" t="str">
        <f>IF(C885="","",PPMT(INPUTS!$B$5,C885,INPUTS!$B$6,-INPUTS!$B$3,0,0))</f>
        <v/>
      </c>
      <c r="H885" s="6" t="str">
        <f t="shared" si="57"/>
        <v/>
      </c>
      <c r="I885" s="6" t="str">
        <f t="shared" si="58"/>
        <v/>
      </c>
    </row>
    <row r="886" spans="1:9" hidden="1" x14ac:dyDescent="0.3">
      <c r="A886" s="16" t="str">
        <f t="shared" si="55"/>
        <v/>
      </c>
      <c r="D886" s="14" t="str">
        <f t="shared" si="56"/>
        <v/>
      </c>
      <c r="E886" s="6" t="str">
        <f>IF(C886="","",PMT(INPUTS!$B$5,INPUTS!$B$6,-INPUTS!$B$3,0,0))</f>
        <v/>
      </c>
      <c r="F886" s="6" t="str">
        <f>IF(C886="","",IPMT(INPUTS!$B$5,C886,INPUTS!$B$6,-INPUTS!$B$3,0,0))</f>
        <v/>
      </c>
      <c r="G886" s="6" t="str">
        <f>IF(C886="","",PPMT(INPUTS!$B$5,C886,INPUTS!$B$6,-INPUTS!$B$3,0,0))</f>
        <v/>
      </c>
      <c r="H886" s="6" t="str">
        <f t="shared" si="57"/>
        <v/>
      </c>
      <c r="I886" s="6" t="str">
        <f t="shared" si="58"/>
        <v/>
      </c>
    </row>
    <row r="887" spans="1:9" hidden="1" x14ac:dyDescent="0.3">
      <c r="A887" s="16" t="str">
        <f t="shared" si="55"/>
        <v/>
      </c>
      <c r="D887" s="14" t="str">
        <f t="shared" si="56"/>
        <v/>
      </c>
      <c r="E887" s="6" t="str">
        <f>IF(C887="","",PMT(INPUTS!$B$5,INPUTS!$B$6,-INPUTS!$B$3,0,0))</f>
        <v/>
      </c>
      <c r="F887" s="6" t="str">
        <f>IF(C887="","",IPMT(INPUTS!$B$5,C887,INPUTS!$B$6,-INPUTS!$B$3,0,0))</f>
        <v/>
      </c>
      <c r="G887" s="6" t="str">
        <f>IF(C887="","",PPMT(INPUTS!$B$5,C887,INPUTS!$B$6,-INPUTS!$B$3,0,0))</f>
        <v/>
      </c>
      <c r="H887" s="6" t="str">
        <f t="shared" si="57"/>
        <v/>
      </c>
      <c r="I887" s="6" t="str">
        <f t="shared" si="58"/>
        <v/>
      </c>
    </row>
    <row r="888" spans="1:9" hidden="1" x14ac:dyDescent="0.3">
      <c r="A888" s="16" t="str">
        <f t="shared" si="55"/>
        <v/>
      </c>
      <c r="D888" s="14" t="str">
        <f t="shared" si="56"/>
        <v/>
      </c>
      <c r="E888" s="6" t="str">
        <f>IF(C888="","",PMT(INPUTS!$B$5,INPUTS!$B$6,-INPUTS!$B$3,0,0))</f>
        <v/>
      </c>
      <c r="F888" s="6" t="str">
        <f>IF(C888="","",IPMT(INPUTS!$B$5,C888,INPUTS!$B$6,-INPUTS!$B$3,0,0))</f>
        <v/>
      </c>
      <c r="G888" s="6" t="str">
        <f>IF(C888="","",PPMT(INPUTS!$B$5,C888,INPUTS!$B$6,-INPUTS!$B$3,0,0))</f>
        <v/>
      </c>
      <c r="H888" s="6" t="str">
        <f t="shared" si="57"/>
        <v/>
      </c>
      <c r="I888" s="6" t="str">
        <f t="shared" si="58"/>
        <v/>
      </c>
    </row>
    <row r="889" spans="1:9" hidden="1" x14ac:dyDescent="0.3">
      <c r="A889" s="16" t="str">
        <f t="shared" si="55"/>
        <v/>
      </c>
      <c r="D889" s="14" t="str">
        <f t="shared" si="56"/>
        <v/>
      </c>
      <c r="E889" s="6" t="str">
        <f>IF(C889="","",PMT(INPUTS!$B$5,INPUTS!$B$6,-INPUTS!$B$3,0,0))</f>
        <v/>
      </c>
      <c r="F889" s="6" t="str">
        <f>IF(C889="","",IPMT(INPUTS!$B$5,C889,INPUTS!$B$6,-INPUTS!$B$3,0,0))</f>
        <v/>
      </c>
      <c r="G889" s="6" t="str">
        <f>IF(C889="","",PPMT(INPUTS!$B$5,C889,INPUTS!$B$6,-INPUTS!$B$3,0,0))</f>
        <v/>
      </c>
      <c r="H889" s="6" t="str">
        <f t="shared" si="57"/>
        <v/>
      </c>
      <c r="I889" s="6" t="str">
        <f t="shared" si="58"/>
        <v/>
      </c>
    </row>
    <row r="890" spans="1:9" hidden="1" x14ac:dyDescent="0.3">
      <c r="A890" s="16" t="str">
        <f t="shared" si="55"/>
        <v/>
      </c>
      <c r="D890" s="14" t="str">
        <f t="shared" si="56"/>
        <v/>
      </c>
      <c r="E890" s="6" t="str">
        <f>IF(C890="","",PMT(INPUTS!$B$5,INPUTS!$B$6,-INPUTS!$B$3,0,0))</f>
        <v/>
      </c>
      <c r="F890" s="6" t="str">
        <f>IF(C890="","",IPMT(INPUTS!$B$5,C890,INPUTS!$B$6,-INPUTS!$B$3,0,0))</f>
        <v/>
      </c>
      <c r="G890" s="6" t="str">
        <f>IF(C890="","",PPMT(INPUTS!$B$5,C890,INPUTS!$B$6,-INPUTS!$B$3,0,0))</f>
        <v/>
      </c>
      <c r="H890" s="6" t="str">
        <f t="shared" si="57"/>
        <v/>
      </c>
      <c r="I890" s="6" t="str">
        <f t="shared" si="58"/>
        <v/>
      </c>
    </row>
    <row r="891" spans="1:9" hidden="1" x14ac:dyDescent="0.3">
      <c r="A891" s="16" t="str">
        <f t="shared" si="55"/>
        <v/>
      </c>
      <c r="D891" s="14" t="str">
        <f t="shared" si="56"/>
        <v/>
      </c>
      <c r="E891" s="6" t="str">
        <f>IF(C891="","",PMT(INPUTS!$B$5,INPUTS!$B$6,-INPUTS!$B$3,0,0))</f>
        <v/>
      </c>
      <c r="F891" s="6" t="str">
        <f>IF(C891="","",IPMT(INPUTS!$B$5,C891,INPUTS!$B$6,-INPUTS!$B$3,0,0))</f>
        <v/>
      </c>
      <c r="G891" s="6" t="str">
        <f>IF(C891="","",PPMT(INPUTS!$B$5,C891,INPUTS!$B$6,-INPUTS!$B$3,0,0))</f>
        <v/>
      </c>
      <c r="H891" s="6" t="str">
        <f t="shared" si="57"/>
        <v/>
      </c>
      <c r="I891" s="6" t="str">
        <f t="shared" si="58"/>
        <v/>
      </c>
    </row>
    <row r="892" spans="1:9" hidden="1" x14ac:dyDescent="0.3">
      <c r="A892" s="16" t="str">
        <f t="shared" si="55"/>
        <v/>
      </c>
      <c r="D892" s="14" t="str">
        <f t="shared" si="56"/>
        <v/>
      </c>
      <c r="E892" s="6" t="str">
        <f>IF(C892="","",PMT(INPUTS!$B$5,INPUTS!$B$6,-INPUTS!$B$3,0,0))</f>
        <v/>
      </c>
      <c r="F892" s="6" t="str">
        <f>IF(C892="","",IPMT(INPUTS!$B$5,C892,INPUTS!$B$6,-INPUTS!$B$3,0,0))</f>
        <v/>
      </c>
      <c r="G892" s="6" t="str">
        <f>IF(C892="","",PPMT(INPUTS!$B$5,C892,INPUTS!$B$6,-INPUTS!$B$3,0,0))</f>
        <v/>
      </c>
      <c r="H892" s="6" t="str">
        <f t="shared" si="57"/>
        <v/>
      </c>
      <c r="I892" s="6" t="str">
        <f t="shared" si="58"/>
        <v/>
      </c>
    </row>
    <row r="893" spans="1:9" hidden="1" x14ac:dyDescent="0.3">
      <c r="A893" s="16" t="str">
        <f t="shared" si="55"/>
        <v/>
      </c>
      <c r="D893" s="14" t="str">
        <f t="shared" si="56"/>
        <v/>
      </c>
      <c r="E893" s="6" t="str">
        <f>IF(C893="","",PMT(INPUTS!$B$5,INPUTS!$B$6,-INPUTS!$B$3,0,0))</f>
        <v/>
      </c>
      <c r="F893" s="6" t="str">
        <f>IF(C893="","",IPMT(INPUTS!$B$5,C893,INPUTS!$B$6,-INPUTS!$B$3,0,0))</f>
        <v/>
      </c>
      <c r="G893" s="6" t="str">
        <f>IF(C893="","",PPMT(INPUTS!$B$5,C893,INPUTS!$B$6,-INPUTS!$B$3,0,0))</f>
        <v/>
      </c>
      <c r="H893" s="6" t="str">
        <f t="shared" si="57"/>
        <v/>
      </c>
      <c r="I893" s="6" t="str">
        <f t="shared" si="58"/>
        <v/>
      </c>
    </row>
    <row r="894" spans="1:9" hidden="1" x14ac:dyDescent="0.3">
      <c r="A894" s="16" t="str">
        <f t="shared" si="55"/>
        <v/>
      </c>
      <c r="D894" s="14" t="str">
        <f t="shared" si="56"/>
        <v/>
      </c>
      <c r="E894" s="6" t="str">
        <f>IF(C894="","",PMT(INPUTS!$B$5,INPUTS!$B$6,-INPUTS!$B$3,0,0))</f>
        <v/>
      </c>
      <c r="F894" s="6" t="str">
        <f>IF(C894="","",IPMT(INPUTS!$B$5,C894,INPUTS!$B$6,-INPUTS!$B$3,0,0))</f>
        <v/>
      </c>
      <c r="G894" s="6" t="str">
        <f>IF(C894="","",PPMT(INPUTS!$B$5,C894,INPUTS!$B$6,-INPUTS!$B$3,0,0))</f>
        <v/>
      </c>
      <c r="H894" s="6" t="str">
        <f t="shared" si="57"/>
        <v/>
      </c>
      <c r="I894" s="6" t="str">
        <f t="shared" si="58"/>
        <v/>
      </c>
    </row>
    <row r="895" spans="1:9" hidden="1" x14ac:dyDescent="0.3">
      <c r="A895" s="16" t="str">
        <f t="shared" si="55"/>
        <v/>
      </c>
      <c r="D895" s="14" t="str">
        <f t="shared" si="56"/>
        <v/>
      </c>
      <c r="E895" s="6" t="str">
        <f>IF(C895="","",PMT(INPUTS!$B$5,INPUTS!$B$6,-INPUTS!$B$3,0,0))</f>
        <v/>
      </c>
      <c r="F895" s="6" t="str">
        <f>IF(C895="","",IPMT(INPUTS!$B$5,C895,INPUTS!$B$6,-INPUTS!$B$3,0,0))</f>
        <v/>
      </c>
      <c r="G895" s="6" t="str">
        <f>IF(C895="","",PPMT(INPUTS!$B$5,C895,INPUTS!$B$6,-INPUTS!$B$3,0,0))</f>
        <v/>
      </c>
      <c r="H895" s="6" t="str">
        <f t="shared" si="57"/>
        <v/>
      </c>
      <c r="I895" s="6" t="str">
        <f t="shared" si="58"/>
        <v/>
      </c>
    </row>
    <row r="896" spans="1:9" hidden="1" x14ac:dyDescent="0.3">
      <c r="A896" s="16" t="str">
        <f t="shared" si="55"/>
        <v/>
      </c>
      <c r="D896" s="14" t="str">
        <f t="shared" si="56"/>
        <v/>
      </c>
      <c r="E896" s="6" t="str">
        <f>IF(C896="","",PMT(INPUTS!$B$5,INPUTS!$B$6,-INPUTS!$B$3,0,0))</f>
        <v/>
      </c>
      <c r="F896" s="6" t="str">
        <f>IF(C896="","",IPMT(INPUTS!$B$5,C896,INPUTS!$B$6,-INPUTS!$B$3,0,0))</f>
        <v/>
      </c>
      <c r="G896" s="6" t="str">
        <f>IF(C896="","",PPMT(INPUTS!$B$5,C896,INPUTS!$B$6,-INPUTS!$B$3,0,0))</f>
        <v/>
      </c>
      <c r="H896" s="6" t="str">
        <f t="shared" si="57"/>
        <v/>
      </c>
      <c r="I896" s="6" t="str">
        <f t="shared" si="58"/>
        <v/>
      </c>
    </row>
    <row r="897" spans="1:9" hidden="1" x14ac:dyDescent="0.3">
      <c r="A897" s="16" t="str">
        <f t="shared" si="55"/>
        <v/>
      </c>
      <c r="D897" s="14" t="str">
        <f t="shared" si="56"/>
        <v/>
      </c>
      <c r="E897" s="6" t="str">
        <f>IF(C897="","",PMT(INPUTS!$B$5,INPUTS!$B$6,-INPUTS!$B$3,0,0))</f>
        <v/>
      </c>
      <c r="F897" s="6" t="str">
        <f>IF(C897="","",IPMT(INPUTS!$B$5,C897,INPUTS!$B$6,-INPUTS!$B$3,0,0))</f>
        <v/>
      </c>
      <c r="G897" s="6" t="str">
        <f>IF(C897="","",PPMT(INPUTS!$B$5,C897,INPUTS!$B$6,-INPUTS!$B$3,0,0))</f>
        <v/>
      </c>
      <c r="H897" s="6" t="str">
        <f t="shared" si="57"/>
        <v/>
      </c>
      <c r="I897" s="6" t="str">
        <f t="shared" si="58"/>
        <v/>
      </c>
    </row>
    <row r="898" spans="1:9" hidden="1" x14ac:dyDescent="0.3">
      <c r="A898" s="16" t="str">
        <f t="shared" si="55"/>
        <v/>
      </c>
      <c r="D898" s="14" t="str">
        <f t="shared" si="56"/>
        <v/>
      </c>
      <c r="E898" s="6" t="str">
        <f>IF(C898="","",PMT(INPUTS!$B$5,INPUTS!$B$6,-INPUTS!$B$3,0,0))</f>
        <v/>
      </c>
      <c r="F898" s="6" t="str">
        <f>IF(C898="","",IPMT(INPUTS!$B$5,C898,INPUTS!$B$6,-INPUTS!$B$3,0,0))</f>
        <v/>
      </c>
      <c r="G898" s="6" t="str">
        <f>IF(C898="","",PPMT(INPUTS!$B$5,C898,INPUTS!$B$6,-INPUTS!$B$3,0,0))</f>
        <v/>
      </c>
      <c r="H898" s="6" t="str">
        <f t="shared" si="57"/>
        <v/>
      </c>
      <c r="I898" s="6" t="str">
        <f t="shared" si="58"/>
        <v/>
      </c>
    </row>
    <row r="899" spans="1:9" hidden="1" x14ac:dyDescent="0.3">
      <c r="A899" s="16" t="str">
        <f t="shared" si="55"/>
        <v/>
      </c>
      <c r="D899" s="14" t="str">
        <f t="shared" si="56"/>
        <v/>
      </c>
      <c r="E899" s="6" t="str">
        <f>IF(C899="","",PMT(INPUTS!$B$5,INPUTS!$B$6,-INPUTS!$B$3,0,0))</f>
        <v/>
      </c>
      <c r="F899" s="6" t="str">
        <f>IF(C899="","",IPMT(INPUTS!$B$5,C899,INPUTS!$B$6,-INPUTS!$B$3,0,0))</f>
        <v/>
      </c>
      <c r="G899" s="6" t="str">
        <f>IF(C899="","",PPMT(INPUTS!$B$5,C899,INPUTS!$B$6,-INPUTS!$B$3,0,0))</f>
        <v/>
      </c>
      <c r="H899" s="6" t="str">
        <f t="shared" si="57"/>
        <v/>
      </c>
      <c r="I899" s="6" t="str">
        <f t="shared" si="58"/>
        <v/>
      </c>
    </row>
    <row r="900" spans="1:9" hidden="1" x14ac:dyDescent="0.3">
      <c r="A900" s="16" t="str">
        <f t="shared" si="55"/>
        <v/>
      </c>
      <c r="D900" s="14" t="str">
        <f t="shared" si="56"/>
        <v/>
      </c>
      <c r="E900" s="6" t="str">
        <f>IF(C900="","",PMT(INPUTS!$B$5,INPUTS!$B$6,-INPUTS!$B$3,0,0))</f>
        <v/>
      </c>
      <c r="F900" s="6" t="str">
        <f>IF(C900="","",IPMT(INPUTS!$B$5,C900,INPUTS!$B$6,-INPUTS!$B$3,0,0))</f>
        <v/>
      </c>
      <c r="G900" s="6" t="str">
        <f>IF(C900="","",PPMT(INPUTS!$B$5,C900,INPUTS!$B$6,-INPUTS!$B$3,0,0))</f>
        <v/>
      </c>
      <c r="H900" s="6" t="str">
        <f t="shared" si="57"/>
        <v/>
      </c>
      <c r="I900" s="6" t="str">
        <f t="shared" si="58"/>
        <v/>
      </c>
    </row>
    <row r="901" spans="1:9" hidden="1" x14ac:dyDescent="0.3">
      <c r="A901" s="16" t="str">
        <f t="shared" si="55"/>
        <v/>
      </c>
      <c r="D901" s="14" t="str">
        <f t="shared" si="56"/>
        <v/>
      </c>
      <c r="E901" s="6" t="str">
        <f>IF(C901="","",PMT(INPUTS!$B$5,INPUTS!$B$6,-INPUTS!$B$3,0,0))</f>
        <v/>
      </c>
      <c r="F901" s="6" t="str">
        <f>IF(C901="","",IPMT(INPUTS!$B$5,C901,INPUTS!$B$6,-INPUTS!$B$3,0,0))</f>
        <v/>
      </c>
      <c r="G901" s="6" t="str">
        <f>IF(C901="","",PPMT(INPUTS!$B$5,C901,INPUTS!$B$6,-INPUTS!$B$3,0,0))</f>
        <v/>
      </c>
      <c r="H901" s="6" t="str">
        <f t="shared" si="57"/>
        <v/>
      </c>
      <c r="I901" s="6" t="str">
        <f t="shared" si="58"/>
        <v/>
      </c>
    </row>
    <row r="902" spans="1:9" hidden="1" x14ac:dyDescent="0.3">
      <c r="A902" s="16" t="str">
        <f t="shared" si="55"/>
        <v/>
      </c>
      <c r="D902" s="14" t="str">
        <f t="shared" si="56"/>
        <v/>
      </c>
      <c r="E902" s="6" t="str">
        <f>IF(C902="","",PMT(INPUTS!$B$5,INPUTS!$B$6,-INPUTS!$B$3,0,0))</f>
        <v/>
      </c>
      <c r="F902" s="6" t="str">
        <f>IF(C902="","",IPMT(INPUTS!$B$5,C902,INPUTS!$B$6,-INPUTS!$B$3,0,0))</f>
        <v/>
      </c>
      <c r="G902" s="6" t="str">
        <f>IF(C902="","",PPMT(INPUTS!$B$5,C902,INPUTS!$B$6,-INPUTS!$B$3,0,0))</f>
        <v/>
      </c>
      <c r="H902" s="6" t="str">
        <f t="shared" si="57"/>
        <v/>
      </c>
      <c r="I902" s="6" t="str">
        <f t="shared" si="58"/>
        <v/>
      </c>
    </row>
    <row r="903" spans="1:9" hidden="1" x14ac:dyDescent="0.3">
      <c r="A903" s="16" t="str">
        <f t="shared" si="55"/>
        <v/>
      </c>
      <c r="D903" s="14" t="str">
        <f t="shared" si="56"/>
        <v/>
      </c>
      <c r="E903" s="6" t="str">
        <f>IF(C903="","",PMT(INPUTS!$B$5,INPUTS!$B$6,-INPUTS!$B$3,0,0))</f>
        <v/>
      </c>
      <c r="F903" s="6" t="str">
        <f>IF(C903="","",IPMT(INPUTS!$B$5,C903,INPUTS!$B$6,-INPUTS!$B$3,0,0))</f>
        <v/>
      </c>
      <c r="G903" s="6" t="str">
        <f>IF(C903="","",PPMT(INPUTS!$B$5,C903,INPUTS!$B$6,-INPUTS!$B$3,0,0))</f>
        <v/>
      </c>
      <c r="H903" s="6" t="str">
        <f t="shared" si="57"/>
        <v/>
      </c>
      <c r="I903" s="6" t="str">
        <f t="shared" si="58"/>
        <v/>
      </c>
    </row>
    <row r="904" spans="1:9" hidden="1" x14ac:dyDescent="0.3">
      <c r="A904" s="16" t="str">
        <f t="shared" si="55"/>
        <v/>
      </c>
      <c r="D904" s="14" t="str">
        <f t="shared" si="56"/>
        <v/>
      </c>
      <c r="E904" s="6" t="str">
        <f>IF(C904="","",PMT(INPUTS!$B$5,INPUTS!$B$6,-INPUTS!$B$3,0,0))</f>
        <v/>
      </c>
      <c r="F904" s="6" t="str">
        <f>IF(C904="","",IPMT(INPUTS!$B$5,C904,INPUTS!$B$6,-INPUTS!$B$3,0,0))</f>
        <v/>
      </c>
      <c r="G904" s="6" t="str">
        <f>IF(C904="","",PPMT(INPUTS!$B$5,C904,INPUTS!$B$6,-INPUTS!$B$3,0,0))</f>
        <v/>
      </c>
      <c r="H904" s="6" t="str">
        <f t="shared" si="57"/>
        <v/>
      </c>
      <c r="I904" s="6" t="str">
        <f t="shared" si="58"/>
        <v/>
      </c>
    </row>
    <row r="905" spans="1:9" hidden="1" x14ac:dyDescent="0.3">
      <c r="A905" s="16" t="str">
        <f t="shared" si="55"/>
        <v/>
      </c>
      <c r="D905" s="14" t="str">
        <f t="shared" si="56"/>
        <v/>
      </c>
      <c r="E905" s="6" t="str">
        <f>IF(C905="","",PMT(INPUTS!$B$5,INPUTS!$B$6,-INPUTS!$B$3,0,0))</f>
        <v/>
      </c>
      <c r="F905" s="6" t="str">
        <f>IF(C905="","",IPMT(INPUTS!$B$5,C905,INPUTS!$B$6,-INPUTS!$B$3,0,0))</f>
        <v/>
      </c>
      <c r="G905" s="6" t="str">
        <f>IF(C905="","",PPMT(INPUTS!$B$5,C905,INPUTS!$B$6,-INPUTS!$B$3,0,0))</f>
        <v/>
      </c>
      <c r="H905" s="6" t="str">
        <f t="shared" si="57"/>
        <v/>
      </c>
      <c r="I905" s="6" t="str">
        <f t="shared" si="58"/>
        <v/>
      </c>
    </row>
    <row r="906" spans="1:9" hidden="1" x14ac:dyDescent="0.3">
      <c r="A906" s="16" t="str">
        <f t="shared" si="55"/>
        <v/>
      </c>
      <c r="D906" s="14" t="str">
        <f t="shared" si="56"/>
        <v/>
      </c>
      <c r="E906" s="6" t="str">
        <f>IF(C906="","",PMT(INPUTS!$B$5,INPUTS!$B$6,-INPUTS!$B$3,0,0))</f>
        <v/>
      </c>
      <c r="F906" s="6" t="str">
        <f>IF(C906="","",IPMT(INPUTS!$B$5,C906,INPUTS!$B$6,-INPUTS!$B$3,0,0))</f>
        <v/>
      </c>
      <c r="G906" s="6" t="str">
        <f>IF(C906="","",PPMT(INPUTS!$B$5,C906,INPUTS!$B$6,-INPUTS!$B$3,0,0))</f>
        <v/>
      </c>
      <c r="H906" s="6" t="str">
        <f t="shared" si="57"/>
        <v/>
      </c>
      <c r="I906" s="6" t="str">
        <f t="shared" si="58"/>
        <v/>
      </c>
    </row>
    <row r="907" spans="1:9" hidden="1" x14ac:dyDescent="0.3">
      <c r="A907" s="16" t="str">
        <f t="shared" si="55"/>
        <v/>
      </c>
      <c r="D907" s="14" t="str">
        <f t="shared" si="56"/>
        <v/>
      </c>
      <c r="E907" s="6" t="str">
        <f>IF(C907="","",PMT(INPUTS!$B$5,INPUTS!$B$6,-INPUTS!$B$3,0,0))</f>
        <v/>
      </c>
      <c r="F907" s="6" t="str">
        <f>IF(C907="","",IPMT(INPUTS!$B$5,C907,INPUTS!$B$6,-INPUTS!$B$3,0,0))</f>
        <v/>
      </c>
      <c r="G907" s="6" t="str">
        <f>IF(C907="","",PPMT(INPUTS!$B$5,C907,INPUTS!$B$6,-INPUTS!$B$3,0,0))</f>
        <v/>
      </c>
      <c r="H907" s="6" t="str">
        <f t="shared" si="57"/>
        <v/>
      </c>
      <c r="I907" s="6" t="str">
        <f t="shared" si="58"/>
        <v/>
      </c>
    </row>
    <row r="908" spans="1:9" hidden="1" x14ac:dyDescent="0.3">
      <c r="A908" s="16" t="str">
        <f t="shared" si="55"/>
        <v/>
      </c>
      <c r="D908" s="14" t="str">
        <f t="shared" si="56"/>
        <v/>
      </c>
      <c r="E908" s="6" t="str">
        <f>IF(C908="","",PMT(INPUTS!$B$5,INPUTS!$B$6,-INPUTS!$B$3,0,0))</f>
        <v/>
      </c>
      <c r="F908" s="6" t="str">
        <f>IF(C908="","",IPMT(INPUTS!$B$5,C908,INPUTS!$B$6,-INPUTS!$B$3,0,0))</f>
        <v/>
      </c>
      <c r="G908" s="6" t="str">
        <f>IF(C908="","",PPMT(INPUTS!$B$5,C908,INPUTS!$B$6,-INPUTS!$B$3,0,0))</f>
        <v/>
      </c>
      <c r="H908" s="6" t="str">
        <f t="shared" si="57"/>
        <v/>
      </c>
      <c r="I908" s="6" t="str">
        <f t="shared" si="58"/>
        <v/>
      </c>
    </row>
    <row r="909" spans="1:9" hidden="1" x14ac:dyDescent="0.3">
      <c r="A909" s="16" t="str">
        <f t="shared" si="55"/>
        <v/>
      </c>
      <c r="D909" s="14" t="str">
        <f t="shared" si="56"/>
        <v/>
      </c>
      <c r="E909" s="6" t="str">
        <f>IF(C909="","",PMT(INPUTS!$B$5,INPUTS!$B$6,-INPUTS!$B$3,0,0))</f>
        <v/>
      </c>
      <c r="F909" s="6" t="str">
        <f>IF(C909="","",IPMT(INPUTS!$B$5,C909,INPUTS!$B$6,-INPUTS!$B$3,0,0))</f>
        <v/>
      </c>
      <c r="G909" s="6" t="str">
        <f>IF(C909="","",PPMT(INPUTS!$B$5,C909,INPUTS!$B$6,-INPUTS!$B$3,0,0))</f>
        <v/>
      </c>
      <c r="H909" s="6" t="str">
        <f t="shared" si="57"/>
        <v/>
      </c>
      <c r="I909" s="6" t="str">
        <f t="shared" si="58"/>
        <v/>
      </c>
    </row>
    <row r="910" spans="1:9" hidden="1" x14ac:dyDescent="0.3">
      <c r="A910" s="16" t="str">
        <f t="shared" si="55"/>
        <v/>
      </c>
      <c r="D910" s="14" t="str">
        <f t="shared" si="56"/>
        <v/>
      </c>
      <c r="E910" s="6" t="str">
        <f>IF(C910="","",PMT(INPUTS!$B$5,INPUTS!$B$6,-INPUTS!$B$3,0,0))</f>
        <v/>
      </c>
      <c r="F910" s="6" t="str">
        <f>IF(C910="","",IPMT(INPUTS!$B$5,C910,INPUTS!$B$6,-INPUTS!$B$3,0,0))</f>
        <v/>
      </c>
      <c r="G910" s="6" t="str">
        <f>IF(C910="","",PPMT(INPUTS!$B$5,C910,INPUTS!$B$6,-INPUTS!$B$3,0,0))</f>
        <v/>
      </c>
      <c r="H910" s="6" t="str">
        <f t="shared" si="57"/>
        <v/>
      </c>
      <c r="I910" s="6" t="str">
        <f t="shared" si="58"/>
        <v/>
      </c>
    </row>
    <row r="911" spans="1:9" hidden="1" x14ac:dyDescent="0.3">
      <c r="A911" s="16" t="str">
        <f t="shared" si="55"/>
        <v/>
      </c>
      <c r="D911" s="14" t="str">
        <f t="shared" si="56"/>
        <v/>
      </c>
      <c r="E911" s="6" t="str">
        <f>IF(C911="","",PMT(INPUTS!$B$5,INPUTS!$B$6,-INPUTS!$B$3,0,0))</f>
        <v/>
      </c>
      <c r="F911" s="6" t="str">
        <f>IF(C911="","",IPMT(INPUTS!$B$5,C911,INPUTS!$B$6,-INPUTS!$B$3,0,0))</f>
        <v/>
      </c>
      <c r="G911" s="6" t="str">
        <f>IF(C911="","",PPMT(INPUTS!$B$5,C911,INPUTS!$B$6,-INPUTS!$B$3,0,0))</f>
        <v/>
      </c>
      <c r="H911" s="6" t="str">
        <f t="shared" si="57"/>
        <v/>
      </c>
      <c r="I911" s="6" t="str">
        <f t="shared" si="58"/>
        <v/>
      </c>
    </row>
    <row r="912" spans="1:9" hidden="1" x14ac:dyDescent="0.3">
      <c r="A912" s="16" t="str">
        <f t="shared" si="55"/>
        <v/>
      </c>
      <c r="D912" s="14" t="str">
        <f t="shared" si="56"/>
        <v/>
      </c>
      <c r="E912" s="6" t="str">
        <f>IF(C912="","",PMT(INPUTS!$B$5,INPUTS!$B$6,-INPUTS!$B$3,0,0))</f>
        <v/>
      </c>
      <c r="F912" s="6" t="str">
        <f>IF(C912="","",IPMT(INPUTS!$B$5,C912,INPUTS!$B$6,-INPUTS!$B$3,0,0))</f>
        <v/>
      </c>
      <c r="G912" s="6" t="str">
        <f>IF(C912="","",PPMT(INPUTS!$B$5,C912,INPUTS!$B$6,-INPUTS!$B$3,0,0))</f>
        <v/>
      </c>
      <c r="H912" s="6" t="str">
        <f t="shared" si="57"/>
        <v/>
      </c>
      <c r="I912" s="6" t="str">
        <f t="shared" si="58"/>
        <v/>
      </c>
    </row>
    <row r="913" spans="1:9" hidden="1" x14ac:dyDescent="0.3">
      <c r="A913" s="16" t="str">
        <f t="shared" si="55"/>
        <v/>
      </c>
      <c r="D913" s="14" t="str">
        <f t="shared" si="56"/>
        <v/>
      </c>
      <c r="E913" s="6" t="str">
        <f>IF(C913="","",PMT(INPUTS!$B$5,INPUTS!$B$6,-INPUTS!$B$3,0,0))</f>
        <v/>
      </c>
      <c r="F913" s="6" t="str">
        <f>IF(C913="","",IPMT(INPUTS!$B$5,C913,INPUTS!$B$6,-INPUTS!$B$3,0,0))</f>
        <v/>
      </c>
      <c r="G913" s="6" t="str">
        <f>IF(C913="","",PPMT(INPUTS!$B$5,C913,INPUTS!$B$6,-INPUTS!$B$3,0,0))</f>
        <v/>
      </c>
      <c r="H913" s="6" t="str">
        <f t="shared" si="57"/>
        <v/>
      </c>
      <c r="I913" s="6" t="str">
        <f t="shared" si="58"/>
        <v/>
      </c>
    </row>
    <row r="914" spans="1:9" hidden="1" x14ac:dyDescent="0.3">
      <c r="A914" s="16" t="str">
        <f t="shared" ref="A914:A977" si="59">IF(D914="","",YEAR(D914))</f>
        <v/>
      </c>
      <c r="D914" s="14" t="str">
        <f t="shared" si="56"/>
        <v/>
      </c>
      <c r="E914" s="6" t="str">
        <f>IF(C914="","",PMT(INPUTS!$B$5,INPUTS!$B$6,-INPUTS!$B$3,0,0))</f>
        <v/>
      </c>
      <c r="F914" s="6" t="str">
        <f>IF(C914="","",IPMT(INPUTS!$B$5,C914,INPUTS!$B$6,-INPUTS!$B$3,0,0))</f>
        <v/>
      </c>
      <c r="G914" s="6" t="str">
        <f>IF(C914="","",PPMT(INPUTS!$B$5,C914,INPUTS!$B$6,-INPUTS!$B$3,0,0))</f>
        <v/>
      </c>
      <c r="H914" s="6" t="str">
        <f t="shared" si="57"/>
        <v/>
      </c>
      <c r="I914" s="6" t="str">
        <f t="shared" si="58"/>
        <v/>
      </c>
    </row>
    <row r="915" spans="1:9" hidden="1" x14ac:dyDescent="0.3">
      <c r="A915" s="16" t="str">
        <f t="shared" si="59"/>
        <v/>
      </c>
      <c r="D915" s="14" t="str">
        <f t="shared" si="56"/>
        <v/>
      </c>
      <c r="E915" s="6" t="str">
        <f>IF(C915="","",PMT(INPUTS!$B$5,INPUTS!$B$6,-INPUTS!$B$3,0,0))</f>
        <v/>
      </c>
      <c r="F915" s="6" t="str">
        <f>IF(C915="","",IPMT(INPUTS!$B$5,C915,INPUTS!$B$6,-INPUTS!$B$3,0,0))</f>
        <v/>
      </c>
      <c r="G915" s="6" t="str">
        <f>IF(C915="","",PPMT(INPUTS!$B$5,C915,INPUTS!$B$6,-INPUTS!$B$3,0,0))</f>
        <v/>
      </c>
      <c r="H915" s="6" t="str">
        <f t="shared" si="57"/>
        <v/>
      </c>
      <c r="I915" s="6" t="str">
        <f t="shared" si="58"/>
        <v/>
      </c>
    </row>
    <row r="916" spans="1:9" hidden="1" x14ac:dyDescent="0.3">
      <c r="A916" s="16" t="str">
        <f t="shared" si="59"/>
        <v/>
      </c>
      <c r="D916" s="14" t="str">
        <f t="shared" ref="D916:D979" si="60">IF(C915="","",DATE(YEAR($D915),MONTH($D915)+1,DAY($D915)))</f>
        <v/>
      </c>
      <c r="E916" s="6" t="str">
        <f>IF(C916="","",PMT(INPUTS!$B$5,INPUTS!$B$6,-INPUTS!$B$3,0,0))</f>
        <v/>
      </c>
      <c r="F916" s="6" t="str">
        <f>IF(C916="","",IPMT(INPUTS!$B$5,C916,INPUTS!$B$6,-INPUTS!$B$3,0,0))</f>
        <v/>
      </c>
      <c r="G916" s="6" t="str">
        <f>IF(C916="","",PPMT(INPUTS!$B$5,C916,INPUTS!$B$6,-INPUTS!$B$3,0,0))</f>
        <v/>
      </c>
      <c r="H916" s="6" t="str">
        <f t="shared" ref="H916:H979" si="61">I915</f>
        <v/>
      </c>
      <c r="I916" s="6" t="str">
        <f t="shared" si="58"/>
        <v/>
      </c>
    </row>
    <row r="917" spans="1:9" hidden="1" x14ac:dyDescent="0.3">
      <c r="A917" s="16" t="str">
        <f t="shared" si="59"/>
        <v/>
      </c>
      <c r="D917" s="14" t="str">
        <f t="shared" si="60"/>
        <v/>
      </c>
      <c r="E917" s="6" t="str">
        <f>IF(C917="","",PMT(INPUTS!$B$5,INPUTS!$B$6,-INPUTS!$B$3,0,0))</f>
        <v/>
      </c>
      <c r="F917" s="6" t="str">
        <f>IF(C917="","",IPMT(INPUTS!$B$5,C917,INPUTS!$B$6,-INPUTS!$B$3,0,0))</f>
        <v/>
      </c>
      <c r="G917" s="6" t="str">
        <f>IF(C917="","",PPMT(INPUTS!$B$5,C917,INPUTS!$B$6,-INPUTS!$B$3,0,0))</f>
        <v/>
      </c>
      <c r="H917" s="6" t="str">
        <f t="shared" si="61"/>
        <v/>
      </c>
      <c r="I917" s="6" t="str">
        <f t="shared" si="58"/>
        <v/>
      </c>
    </row>
    <row r="918" spans="1:9" hidden="1" x14ac:dyDescent="0.3">
      <c r="A918" s="16" t="str">
        <f t="shared" si="59"/>
        <v/>
      </c>
      <c r="D918" s="14" t="str">
        <f t="shared" si="60"/>
        <v/>
      </c>
      <c r="E918" s="6" t="str">
        <f>IF(C918="","",PMT(INPUTS!$B$5,INPUTS!$B$6,-INPUTS!$B$3,0,0))</f>
        <v/>
      </c>
      <c r="F918" s="6" t="str">
        <f>IF(C918="","",IPMT(INPUTS!$B$5,C918,INPUTS!$B$6,-INPUTS!$B$3,0,0))</f>
        <v/>
      </c>
      <c r="G918" s="6" t="str">
        <f>IF(C918="","",PPMT(INPUTS!$B$5,C918,INPUTS!$B$6,-INPUTS!$B$3,0,0))</f>
        <v/>
      </c>
      <c r="H918" s="6" t="str">
        <f t="shared" si="61"/>
        <v/>
      </c>
      <c r="I918" s="6" t="str">
        <f t="shared" si="58"/>
        <v/>
      </c>
    </row>
    <row r="919" spans="1:9" hidden="1" x14ac:dyDescent="0.3">
      <c r="A919" s="16" t="str">
        <f t="shared" si="59"/>
        <v/>
      </c>
      <c r="D919" s="14" t="str">
        <f t="shared" si="60"/>
        <v/>
      </c>
      <c r="E919" s="6" t="str">
        <f>IF(C919="","",PMT(INPUTS!$B$5,INPUTS!$B$6,-INPUTS!$B$3,0,0))</f>
        <v/>
      </c>
      <c r="F919" s="6" t="str">
        <f>IF(C919="","",IPMT(INPUTS!$B$5,C919,INPUTS!$B$6,-INPUTS!$B$3,0,0))</f>
        <v/>
      </c>
      <c r="G919" s="6" t="str">
        <f>IF(C919="","",PPMT(INPUTS!$B$5,C919,INPUTS!$B$6,-INPUTS!$B$3,0,0))</f>
        <v/>
      </c>
      <c r="H919" s="6" t="str">
        <f t="shared" si="61"/>
        <v/>
      </c>
      <c r="I919" s="6" t="str">
        <f t="shared" si="58"/>
        <v/>
      </c>
    </row>
    <row r="920" spans="1:9" hidden="1" x14ac:dyDescent="0.3">
      <c r="A920" s="16" t="str">
        <f t="shared" si="59"/>
        <v/>
      </c>
      <c r="D920" s="14" t="str">
        <f t="shared" si="60"/>
        <v/>
      </c>
      <c r="E920" s="6" t="str">
        <f>IF(C920="","",PMT(INPUTS!$B$5,INPUTS!$B$6,-INPUTS!$B$3,0,0))</f>
        <v/>
      </c>
      <c r="F920" s="6" t="str">
        <f>IF(C920="","",IPMT(INPUTS!$B$5,C920,INPUTS!$B$6,-INPUTS!$B$3,0,0))</f>
        <v/>
      </c>
      <c r="G920" s="6" t="str">
        <f>IF(C920="","",PPMT(INPUTS!$B$5,C920,INPUTS!$B$6,-INPUTS!$B$3,0,0))</f>
        <v/>
      </c>
      <c r="H920" s="6" t="str">
        <f t="shared" si="61"/>
        <v/>
      </c>
      <c r="I920" s="6" t="str">
        <f t="shared" si="58"/>
        <v/>
      </c>
    </row>
    <row r="921" spans="1:9" hidden="1" x14ac:dyDescent="0.3">
      <c r="A921" s="16" t="str">
        <f t="shared" si="59"/>
        <v/>
      </c>
      <c r="D921" s="14" t="str">
        <f t="shared" si="60"/>
        <v/>
      </c>
      <c r="E921" s="6" t="str">
        <f>IF(C921="","",PMT(INPUTS!$B$5,INPUTS!$B$6,-INPUTS!$B$3,0,0))</f>
        <v/>
      </c>
      <c r="F921" s="6" t="str">
        <f>IF(C921="","",IPMT(INPUTS!$B$5,C921,INPUTS!$B$6,-INPUTS!$B$3,0,0))</f>
        <v/>
      </c>
      <c r="G921" s="6" t="str">
        <f>IF(C921="","",PPMT(INPUTS!$B$5,C921,INPUTS!$B$6,-INPUTS!$B$3,0,0))</f>
        <v/>
      </c>
      <c r="H921" s="6" t="str">
        <f t="shared" si="61"/>
        <v/>
      </c>
      <c r="I921" s="6" t="str">
        <f t="shared" si="58"/>
        <v/>
      </c>
    </row>
    <row r="922" spans="1:9" hidden="1" x14ac:dyDescent="0.3">
      <c r="A922" s="16" t="str">
        <f t="shared" si="59"/>
        <v/>
      </c>
      <c r="D922" s="14" t="str">
        <f t="shared" si="60"/>
        <v/>
      </c>
      <c r="E922" s="6" t="str">
        <f>IF(C922="","",PMT(INPUTS!$B$5,INPUTS!$B$6,-INPUTS!$B$3,0,0))</f>
        <v/>
      </c>
      <c r="F922" s="6" t="str">
        <f>IF(C922="","",IPMT(INPUTS!$B$5,C922,INPUTS!$B$6,-INPUTS!$B$3,0,0))</f>
        <v/>
      </c>
      <c r="G922" s="6" t="str">
        <f>IF(C922="","",PPMT(INPUTS!$B$5,C922,INPUTS!$B$6,-INPUTS!$B$3,0,0))</f>
        <v/>
      </c>
      <c r="H922" s="6" t="str">
        <f t="shared" si="61"/>
        <v/>
      </c>
      <c r="I922" s="6" t="str">
        <f t="shared" si="58"/>
        <v/>
      </c>
    </row>
    <row r="923" spans="1:9" hidden="1" x14ac:dyDescent="0.3">
      <c r="A923" s="16" t="str">
        <f t="shared" si="59"/>
        <v/>
      </c>
      <c r="D923" s="14" t="str">
        <f t="shared" si="60"/>
        <v/>
      </c>
      <c r="E923" s="6" t="str">
        <f>IF(C923="","",PMT(INPUTS!$B$5,INPUTS!$B$6,-INPUTS!$B$3,0,0))</f>
        <v/>
      </c>
      <c r="F923" s="6" t="str">
        <f>IF(C923="","",IPMT(INPUTS!$B$5,C923,INPUTS!$B$6,-INPUTS!$B$3,0,0))</f>
        <v/>
      </c>
      <c r="G923" s="6" t="str">
        <f>IF(C923="","",PPMT(INPUTS!$B$5,C923,INPUTS!$B$6,-INPUTS!$B$3,0,0))</f>
        <v/>
      </c>
      <c r="H923" s="6" t="str">
        <f t="shared" si="61"/>
        <v/>
      </c>
      <c r="I923" s="6" t="str">
        <f t="shared" si="58"/>
        <v/>
      </c>
    </row>
    <row r="924" spans="1:9" hidden="1" x14ac:dyDescent="0.3">
      <c r="A924" s="16" t="str">
        <f t="shared" si="59"/>
        <v/>
      </c>
      <c r="D924" s="14" t="str">
        <f t="shared" si="60"/>
        <v/>
      </c>
      <c r="E924" s="6" t="str">
        <f>IF(C924="","",PMT(INPUTS!$B$5,INPUTS!$B$6,-INPUTS!$B$3,0,0))</f>
        <v/>
      </c>
      <c r="F924" s="6" t="str">
        <f>IF(C924="","",IPMT(INPUTS!$B$5,C924,INPUTS!$B$6,-INPUTS!$B$3,0,0))</f>
        <v/>
      </c>
      <c r="G924" s="6" t="str">
        <f>IF(C924="","",PPMT(INPUTS!$B$5,C924,INPUTS!$B$6,-INPUTS!$B$3,0,0))</f>
        <v/>
      </c>
      <c r="H924" s="6" t="str">
        <f t="shared" si="61"/>
        <v/>
      </c>
      <c r="I924" s="6" t="str">
        <f t="shared" si="58"/>
        <v/>
      </c>
    </row>
    <row r="925" spans="1:9" hidden="1" x14ac:dyDescent="0.3">
      <c r="A925" s="16" t="str">
        <f t="shared" si="59"/>
        <v/>
      </c>
      <c r="D925" s="14" t="str">
        <f t="shared" si="60"/>
        <v/>
      </c>
      <c r="E925" s="6" t="str">
        <f>IF(C925="","",PMT(INPUTS!$B$5,INPUTS!$B$6,-INPUTS!$B$3,0,0))</f>
        <v/>
      </c>
      <c r="F925" s="6" t="str">
        <f>IF(C925="","",IPMT(INPUTS!$B$5,C925,INPUTS!$B$6,-INPUTS!$B$3,0,0))</f>
        <v/>
      </c>
      <c r="G925" s="6" t="str">
        <f>IF(C925="","",PPMT(INPUTS!$B$5,C925,INPUTS!$B$6,-INPUTS!$B$3,0,0))</f>
        <v/>
      </c>
      <c r="H925" s="6" t="str">
        <f t="shared" si="61"/>
        <v/>
      </c>
      <c r="I925" s="6" t="str">
        <f t="shared" si="58"/>
        <v/>
      </c>
    </row>
    <row r="926" spans="1:9" hidden="1" x14ac:dyDescent="0.3">
      <c r="A926" s="16" t="str">
        <f t="shared" si="59"/>
        <v/>
      </c>
      <c r="D926" s="14" t="str">
        <f t="shared" si="60"/>
        <v/>
      </c>
      <c r="E926" s="6" t="str">
        <f>IF(C926="","",PMT(INPUTS!$B$5,INPUTS!$B$6,-INPUTS!$B$3,0,0))</f>
        <v/>
      </c>
      <c r="F926" s="6" t="str">
        <f>IF(C926="","",IPMT(INPUTS!$B$5,C926,INPUTS!$B$6,-INPUTS!$B$3,0,0))</f>
        <v/>
      </c>
      <c r="G926" s="6" t="str">
        <f>IF(C926="","",PPMT(INPUTS!$B$5,C926,INPUTS!$B$6,-INPUTS!$B$3,0,0))</f>
        <v/>
      </c>
      <c r="H926" s="6" t="str">
        <f t="shared" si="61"/>
        <v/>
      </c>
      <c r="I926" s="6" t="str">
        <f t="shared" si="58"/>
        <v/>
      </c>
    </row>
    <row r="927" spans="1:9" hidden="1" x14ac:dyDescent="0.3">
      <c r="A927" s="16" t="str">
        <f t="shared" si="59"/>
        <v/>
      </c>
      <c r="D927" s="14" t="str">
        <f t="shared" si="60"/>
        <v/>
      </c>
      <c r="E927" s="6" t="str">
        <f>IF(C927="","",PMT(INPUTS!$B$5,INPUTS!$B$6,-INPUTS!$B$3,0,0))</f>
        <v/>
      </c>
      <c r="F927" s="6" t="str">
        <f>IF(C927="","",IPMT(INPUTS!$B$5,C927,INPUTS!$B$6,-INPUTS!$B$3,0,0))</f>
        <v/>
      </c>
      <c r="G927" s="6" t="str">
        <f>IF(C927="","",PPMT(INPUTS!$B$5,C927,INPUTS!$B$6,-INPUTS!$B$3,0,0))</f>
        <v/>
      </c>
      <c r="H927" s="6" t="str">
        <f t="shared" si="61"/>
        <v/>
      </c>
      <c r="I927" s="6" t="str">
        <f t="shared" si="58"/>
        <v/>
      </c>
    </row>
    <row r="928" spans="1:9" hidden="1" x14ac:dyDescent="0.3">
      <c r="A928" s="16" t="str">
        <f t="shared" si="59"/>
        <v/>
      </c>
      <c r="D928" s="14" t="str">
        <f t="shared" si="60"/>
        <v/>
      </c>
      <c r="E928" s="6" t="str">
        <f>IF(C928="","",PMT(INPUTS!$B$5,INPUTS!$B$6,-INPUTS!$B$3,0,0))</f>
        <v/>
      </c>
      <c r="F928" s="6" t="str">
        <f>IF(C928="","",IPMT(INPUTS!$B$5,C928,INPUTS!$B$6,-INPUTS!$B$3,0,0))</f>
        <v/>
      </c>
      <c r="G928" s="6" t="str">
        <f>IF(C928="","",PPMT(INPUTS!$B$5,C928,INPUTS!$B$6,-INPUTS!$B$3,0,0))</f>
        <v/>
      </c>
      <c r="H928" s="6" t="str">
        <f t="shared" si="61"/>
        <v/>
      </c>
      <c r="I928" s="6" t="str">
        <f t="shared" si="58"/>
        <v/>
      </c>
    </row>
    <row r="929" spans="1:9" hidden="1" x14ac:dyDescent="0.3">
      <c r="A929" s="16" t="str">
        <f t="shared" si="59"/>
        <v/>
      </c>
      <c r="D929" s="14" t="str">
        <f t="shared" si="60"/>
        <v/>
      </c>
      <c r="E929" s="6" t="str">
        <f>IF(C929="","",PMT(INPUTS!$B$5,INPUTS!$B$6,-INPUTS!$B$3,0,0))</f>
        <v/>
      </c>
      <c r="F929" s="6" t="str">
        <f>IF(C929="","",IPMT(INPUTS!$B$5,C929,INPUTS!$B$6,-INPUTS!$B$3,0,0))</f>
        <v/>
      </c>
      <c r="G929" s="6" t="str">
        <f>IF(C929="","",PPMT(INPUTS!$B$5,C929,INPUTS!$B$6,-INPUTS!$B$3,0,0))</f>
        <v/>
      </c>
      <c r="H929" s="6" t="str">
        <f t="shared" si="61"/>
        <v/>
      </c>
      <c r="I929" s="6" t="str">
        <f t="shared" si="58"/>
        <v/>
      </c>
    </row>
    <row r="930" spans="1:9" hidden="1" x14ac:dyDescent="0.3">
      <c r="A930" s="16" t="str">
        <f t="shared" si="59"/>
        <v/>
      </c>
      <c r="D930" s="14" t="str">
        <f t="shared" si="60"/>
        <v/>
      </c>
      <c r="E930" s="6" t="str">
        <f>IF(C930="","",PMT(INPUTS!$B$5,INPUTS!$B$6,-INPUTS!$B$3,0,0))</f>
        <v/>
      </c>
      <c r="F930" s="6" t="str">
        <f>IF(C930="","",IPMT(INPUTS!$B$5,C930,INPUTS!$B$6,-INPUTS!$B$3,0,0))</f>
        <v/>
      </c>
      <c r="G930" s="6" t="str">
        <f>IF(C930="","",PPMT(INPUTS!$B$5,C930,INPUTS!$B$6,-INPUTS!$B$3,0,0))</f>
        <v/>
      </c>
      <c r="H930" s="6" t="str">
        <f t="shared" si="61"/>
        <v/>
      </c>
      <c r="I930" s="6" t="str">
        <f t="shared" si="58"/>
        <v/>
      </c>
    </row>
    <row r="931" spans="1:9" hidden="1" x14ac:dyDescent="0.3">
      <c r="A931" s="16" t="str">
        <f t="shared" si="59"/>
        <v/>
      </c>
      <c r="D931" s="14" t="str">
        <f t="shared" si="60"/>
        <v/>
      </c>
      <c r="E931" s="6" t="str">
        <f>IF(C931="","",PMT(INPUTS!$B$5,INPUTS!$B$6,-INPUTS!$B$3,0,0))</f>
        <v/>
      </c>
      <c r="F931" s="6" t="str">
        <f>IF(C931="","",IPMT(INPUTS!$B$5,C931,INPUTS!$B$6,-INPUTS!$B$3,0,0))</f>
        <v/>
      </c>
      <c r="G931" s="6" t="str">
        <f>IF(C931="","",PPMT(INPUTS!$B$5,C931,INPUTS!$B$6,-INPUTS!$B$3,0,0))</f>
        <v/>
      </c>
      <c r="H931" s="6" t="str">
        <f t="shared" si="61"/>
        <v/>
      </c>
      <c r="I931" s="6" t="str">
        <f t="shared" si="58"/>
        <v/>
      </c>
    </row>
    <row r="932" spans="1:9" hidden="1" x14ac:dyDescent="0.3">
      <c r="A932" s="16" t="str">
        <f t="shared" si="59"/>
        <v/>
      </c>
      <c r="D932" s="14" t="str">
        <f t="shared" si="60"/>
        <v/>
      </c>
      <c r="E932" s="6" t="str">
        <f>IF(C932="","",PMT(INPUTS!$B$5,INPUTS!$B$6,-INPUTS!$B$3,0,0))</f>
        <v/>
      </c>
      <c r="F932" s="6" t="str">
        <f>IF(C932="","",IPMT(INPUTS!$B$5,C932,INPUTS!$B$6,-INPUTS!$B$3,0,0))</f>
        <v/>
      </c>
      <c r="G932" s="6" t="str">
        <f>IF(C932="","",PPMT(INPUTS!$B$5,C932,INPUTS!$B$6,-INPUTS!$B$3,0,0))</f>
        <v/>
      </c>
      <c r="H932" s="6" t="str">
        <f t="shared" si="61"/>
        <v/>
      </c>
      <c r="I932" s="6" t="str">
        <f t="shared" si="58"/>
        <v/>
      </c>
    </row>
    <row r="933" spans="1:9" hidden="1" x14ac:dyDescent="0.3">
      <c r="A933" s="16" t="str">
        <f t="shared" si="59"/>
        <v/>
      </c>
      <c r="D933" s="14" t="str">
        <f t="shared" si="60"/>
        <v/>
      </c>
      <c r="E933" s="6" t="str">
        <f>IF(C933="","",PMT(INPUTS!$B$5,INPUTS!$B$6,-INPUTS!$B$3,0,0))</f>
        <v/>
      </c>
      <c r="F933" s="6" t="str">
        <f>IF(C933="","",IPMT(INPUTS!$B$5,C933,INPUTS!$B$6,-INPUTS!$B$3,0,0))</f>
        <v/>
      </c>
      <c r="G933" s="6" t="str">
        <f>IF(C933="","",PPMT(INPUTS!$B$5,C933,INPUTS!$B$6,-INPUTS!$B$3,0,0))</f>
        <v/>
      </c>
      <c r="H933" s="6" t="str">
        <f t="shared" si="61"/>
        <v/>
      </c>
      <c r="I933" s="6" t="str">
        <f t="shared" si="58"/>
        <v/>
      </c>
    </row>
    <row r="934" spans="1:9" hidden="1" x14ac:dyDescent="0.3">
      <c r="A934" s="16" t="str">
        <f t="shared" si="59"/>
        <v/>
      </c>
      <c r="D934" s="14" t="str">
        <f t="shared" si="60"/>
        <v/>
      </c>
      <c r="E934" s="6" t="str">
        <f>IF(C934="","",PMT(INPUTS!$B$5,INPUTS!$B$6,-INPUTS!$B$3,0,0))</f>
        <v/>
      </c>
      <c r="F934" s="6" t="str">
        <f>IF(C934="","",IPMT(INPUTS!$B$5,C934,INPUTS!$B$6,-INPUTS!$B$3,0,0))</f>
        <v/>
      </c>
      <c r="G934" s="6" t="str">
        <f>IF(C934="","",PPMT(INPUTS!$B$5,C934,INPUTS!$B$6,-INPUTS!$B$3,0,0))</f>
        <v/>
      </c>
      <c r="H934" s="6" t="str">
        <f t="shared" si="61"/>
        <v/>
      </c>
      <c r="I934" s="6" t="str">
        <f t="shared" si="58"/>
        <v/>
      </c>
    </row>
    <row r="935" spans="1:9" hidden="1" x14ac:dyDescent="0.3">
      <c r="A935" s="16" t="str">
        <f t="shared" si="59"/>
        <v/>
      </c>
      <c r="D935" s="14" t="str">
        <f t="shared" si="60"/>
        <v/>
      </c>
      <c r="E935" s="6" t="str">
        <f>IF(C935="","",PMT(INPUTS!$B$5,INPUTS!$B$6,-INPUTS!$B$3,0,0))</f>
        <v/>
      </c>
      <c r="F935" s="6" t="str">
        <f>IF(C935="","",IPMT(INPUTS!$B$5,C935,INPUTS!$B$6,-INPUTS!$B$3,0,0))</f>
        <v/>
      </c>
      <c r="G935" s="6" t="str">
        <f>IF(C935="","",PPMT(INPUTS!$B$5,C935,INPUTS!$B$6,-INPUTS!$B$3,0,0))</f>
        <v/>
      </c>
      <c r="H935" s="6" t="str">
        <f t="shared" si="61"/>
        <v/>
      </c>
      <c r="I935" s="6" t="str">
        <f t="shared" si="58"/>
        <v/>
      </c>
    </row>
    <row r="936" spans="1:9" hidden="1" x14ac:dyDescent="0.3">
      <c r="A936" s="16" t="str">
        <f t="shared" si="59"/>
        <v/>
      </c>
      <c r="D936" s="14" t="str">
        <f t="shared" si="60"/>
        <v/>
      </c>
      <c r="E936" s="6" t="str">
        <f>IF(C936="","",PMT(INPUTS!$B$5,INPUTS!$B$6,-INPUTS!$B$3,0,0))</f>
        <v/>
      </c>
      <c r="F936" s="6" t="str">
        <f>IF(C936="","",IPMT(INPUTS!$B$5,C936,INPUTS!$B$6,-INPUTS!$B$3,0,0))</f>
        <v/>
      </c>
      <c r="G936" s="6" t="str">
        <f>IF(C936="","",PPMT(INPUTS!$B$5,C936,INPUTS!$B$6,-INPUTS!$B$3,0,0))</f>
        <v/>
      </c>
      <c r="H936" s="6" t="str">
        <f t="shared" si="61"/>
        <v/>
      </c>
      <c r="I936" s="6" t="str">
        <f t="shared" si="58"/>
        <v/>
      </c>
    </row>
    <row r="937" spans="1:9" hidden="1" x14ac:dyDescent="0.3">
      <c r="A937" s="16" t="str">
        <f t="shared" si="59"/>
        <v/>
      </c>
      <c r="D937" s="14" t="str">
        <f t="shared" si="60"/>
        <v/>
      </c>
      <c r="E937" s="6" t="str">
        <f>IF(C937="","",PMT(INPUTS!$B$5,INPUTS!$B$6,-INPUTS!$B$3,0,0))</f>
        <v/>
      </c>
      <c r="F937" s="6" t="str">
        <f>IF(C937="","",IPMT(INPUTS!$B$5,C937,INPUTS!$B$6,-INPUTS!$B$3,0,0))</f>
        <v/>
      </c>
      <c r="G937" s="6" t="str">
        <f>IF(C937="","",PPMT(INPUTS!$B$5,C937,INPUTS!$B$6,-INPUTS!$B$3,0,0))</f>
        <v/>
      </c>
      <c r="H937" s="6" t="str">
        <f t="shared" si="61"/>
        <v/>
      </c>
      <c r="I937" s="6" t="str">
        <f t="shared" si="58"/>
        <v/>
      </c>
    </row>
    <row r="938" spans="1:9" hidden="1" x14ac:dyDescent="0.3">
      <c r="A938" s="16" t="str">
        <f t="shared" si="59"/>
        <v/>
      </c>
      <c r="D938" s="14" t="str">
        <f t="shared" si="60"/>
        <v/>
      </c>
      <c r="E938" s="6" t="str">
        <f>IF(C938="","",PMT(INPUTS!$B$5,INPUTS!$B$6,-INPUTS!$B$3,0,0))</f>
        <v/>
      </c>
      <c r="F938" s="6" t="str">
        <f>IF(C938="","",IPMT(INPUTS!$B$5,C938,INPUTS!$B$6,-INPUTS!$B$3,0,0))</f>
        <v/>
      </c>
      <c r="G938" s="6" t="str">
        <f>IF(C938="","",PPMT(INPUTS!$B$5,C938,INPUTS!$B$6,-INPUTS!$B$3,0,0))</f>
        <v/>
      </c>
      <c r="H938" s="6" t="str">
        <f t="shared" si="61"/>
        <v/>
      </c>
      <c r="I938" s="6" t="str">
        <f t="shared" si="58"/>
        <v/>
      </c>
    </row>
    <row r="939" spans="1:9" hidden="1" x14ac:dyDescent="0.3">
      <c r="A939" s="16" t="str">
        <f t="shared" si="59"/>
        <v/>
      </c>
      <c r="D939" s="14" t="str">
        <f t="shared" si="60"/>
        <v/>
      </c>
      <c r="E939" s="6" t="str">
        <f>IF(C939="","",PMT(INPUTS!$B$5,INPUTS!$B$6,-INPUTS!$B$3,0,0))</f>
        <v/>
      </c>
      <c r="F939" s="6" t="str">
        <f>IF(C939="","",IPMT(INPUTS!$B$5,C939,INPUTS!$B$6,-INPUTS!$B$3,0,0))</f>
        <v/>
      </c>
      <c r="G939" s="6" t="str">
        <f>IF(C939="","",PPMT(INPUTS!$B$5,C939,INPUTS!$B$6,-INPUTS!$B$3,0,0))</f>
        <v/>
      </c>
      <c r="H939" s="6" t="str">
        <f t="shared" si="61"/>
        <v/>
      </c>
      <c r="I939" s="6" t="str">
        <f t="shared" si="58"/>
        <v/>
      </c>
    </row>
    <row r="940" spans="1:9" hidden="1" x14ac:dyDescent="0.3">
      <c r="A940" s="16" t="str">
        <f t="shared" si="59"/>
        <v/>
      </c>
      <c r="D940" s="14" t="str">
        <f t="shared" si="60"/>
        <v/>
      </c>
      <c r="E940" s="6" t="str">
        <f>IF(C940="","",PMT(INPUTS!$B$5,INPUTS!$B$6,-INPUTS!$B$3,0,0))</f>
        <v/>
      </c>
      <c r="F940" s="6" t="str">
        <f>IF(C940="","",IPMT(INPUTS!$B$5,C940,INPUTS!$B$6,-INPUTS!$B$3,0,0))</f>
        <v/>
      </c>
      <c r="G940" s="6" t="str">
        <f>IF(C940="","",PPMT(INPUTS!$B$5,C940,INPUTS!$B$6,-INPUTS!$B$3,0,0))</f>
        <v/>
      </c>
      <c r="H940" s="6" t="str">
        <f t="shared" si="61"/>
        <v/>
      </c>
      <c r="I940" s="6" t="str">
        <f t="shared" si="58"/>
        <v/>
      </c>
    </row>
    <row r="941" spans="1:9" hidden="1" x14ac:dyDescent="0.3">
      <c r="A941" s="16" t="str">
        <f t="shared" si="59"/>
        <v/>
      </c>
      <c r="D941" s="14" t="str">
        <f t="shared" si="60"/>
        <v/>
      </c>
      <c r="E941" s="6" t="str">
        <f>IF(C941="","",PMT(INPUTS!$B$5,INPUTS!$B$6,-INPUTS!$B$3,0,0))</f>
        <v/>
      </c>
      <c r="F941" s="6" t="str">
        <f>IF(C941="","",IPMT(INPUTS!$B$5,C941,INPUTS!$B$6,-INPUTS!$B$3,0,0))</f>
        <v/>
      </c>
      <c r="G941" s="6" t="str">
        <f>IF(C941="","",PPMT(INPUTS!$B$5,C941,INPUTS!$B$6,-INPUTS!$B$3,0,0))</f>
        <v/>
      </c>
      <c r="H941" s="6" t="str">
        <f t="shared" si="61"/>
        <v/>
      </c>
      <c r="I941" s="6" t="str">
        <f t="shared" si="58"/>
        <v/>
      </c>
    </row>
    <row r="942" spans="1:9" hidden="1" x14ac:dyDescent="0.3">
      <c r="A942" s="16" t="str">
        <f t="shared" si="59"/>
        <v/>
      </c>
      <c r="D942" s="14" t="str">
        <f t="shared" si="60"/>
        <v/>
      </c>
      <c r="E942" s="6" t="str">
        <f>IF(C942="","",PMT(INPUTS!$B$5,INPUTS!$B$6,-INPUTS!$B$3,0,0))</f>
        <v/>
      </c>
      <c r="F942" s="6" t="str">
        <f>IF(C942="","",IPMT(INPUTS!$B$5,C942,INPUTS!$B$6,-INPUTS!$B$3,0,0))</f>
        <v/>
      </c>
      <c r="G942" s="6" t="str">
        <f>IF(C942="","",PPMT(INPUTS!$B$5,C942,INPUTS!$B$6,-INPUTS!$B$3,0,0))</f>
        <v/>
      </c>
      <c r="H942" s="6" t="str">
        <f t="shared" si="61"/>
        <v/>
      </c>
      <c r="I942" s="6" t="str">
        <f t="shared" si="58"/>
        <v/>
      </c>
    </row>
    <row r="943" spans="1:9" hidden="1" x14ac:dyDescent="0.3">
      <c r="A943" s="16" t="str">
        <f t="shared" si="59"/>
        <v/>
      </c>
      <c r="D943" s="14" t="str">
        <f t="shared" si="60"/>
        <v/>
      </c>
      <c r="E943" s="6" t="str">
        <f>IF(C943="","",PMT(INPUTS!$B$5,INPUTS!$B$6,-INPUTS!$B$3,0,0))</f>
        <v/>
      </c>
      <c r="F943" s="6" t="str">
        <f>IF(C943="","",IPMT(INPUTS!$B$5,C943,INPUTS!$B$6,-INPUTS!$B$3,0,0))</f>
        <v/>
      </c>
      <c r="G943" s="6" t="str">
        <f>IF(C943="","",PPMT(INPUTS!$B$5,C943,INPUTS!$B$6,-INPUTS!$B$3,0,0))</f>
        <v/>
      </c>
      <c r="H943" s="6" t="str">
        <f t="shared" si="61"/>
        <v/>
      </c>
      <c r="I943" s="6" t="str">
        <f t="shared" si="58"/>
        <v/>
      </c>
    </row>
    <row r="944" spans="1:9" hidden="1" x14ac:dyDescent="0.3">
      <c r="A944" s="16" t="str">
        <f t="shared" si="59"/>
        <v/>
      </c>
      <c r="D944" s="14" t="str">
        <f t="shared" si="60"/>
        <v/>
      </c>
      <c r="E944" s="6" t="str">
        <f>IF(C944="","",PMT(INPUTS!$B$5,INPUTS!$B$6,-INPUTS!$B$3,0,0))</f>
        <v/>
      </c>
      <c r="F944" s="6" t="str">
        <f>IF(C944="","",IPMT(INPUTS!$B$5,C944,INPUTS!$B$6,-INPUTS!$B$3,0,0))</f>
        <v/>
      </c>
      <c r="G944" s="6" t="str">
        <f>IF(C944="","",PPMT(INPUTS!$B$5,C944,INPUTS!$B$6,-INPUTS!$B$3,0,0))</f>
        <v/>
      </c>
      <c r="H944" s="6" t="str">
        <f t="shared" si="61"/>
        <v/>
      </c>
      <c r="I944" s="6" t="str">
        <f t="shared" ref="I944:I1007" si="62">IF(C944="","",H944-G944)</f>
        <v/>
      </c>
    </row>
    <row r="945" spans="1:9" hidden="1" x14ac:dyDescent="0.3">
      <c r="A945" s="16" t="str">
        <f t="shared" si="59"/>
        <v/>
      </c>
      <c r="D945" s="14" t="str">
        <f t="shared" si="60"/>
        <v/>
      </c>
      <c r="E945" s="6" t="str">
        <f>IF(C945="","",PMT(INPUTS!$B$5,INPUTS!$B$6,-INPUTS!$B$3,0,0))</f>
        <v/>
      </c>
      <c r="F945" s="6" t="str">
        <f>IF(C945="","",IPMT(INPUTS!$B$5,C945,INPUTS!$B$6,-INPUTS!$B$3,0,0))</f>
        <v/>
      </c>
      <c r="G945" s="6" t="str">
        <f>IF(C945="","",PPMT(INPUTS!$B$5,C945,INPUTS!$B$6,-INPUTS!$B$3,0,0))</f>
        <v/>
      </c>
      <c r="H945" s="6" t="str">
        <f t="shared" si="61"/>
        <v/>
      </c>
      <c r="I945" s="6" t="str">
        <f t="shared" si="62"/>
        <v/>
      </c>
    </row>
    <row r="946" spans="1:9" hidden="1" x14ac:dyDescent="0.3">
      <c r="A946" s="16" t="str">
        <f t="shared" si="59"/>
        <v/>
      </c>
      <c r="D946" s="14" t="str">
        <f t="shared" si="60"/>
        <v/>
      </c>
      <c r="E946" s="6" t="str">
        <f>IF(C946="","",PMT(INPUTS!$B$5,INPUTS!$B$6,-INPUTS!$B$3,0,0))</f>
        <v/>
      </c>
      <c r="F946" s="6" t="str">
        <f>IF(C946="","",IPMT(INPUTS!$B$5,C946,INPUTS!$B$6,-INPUTS!$B$3,0,0))</f>
        <v/>
      </c>
      <c r="G946" s="6" t="str">
        <f>IF(C946="","",PPMT(INPUTS!$B$5,C946,INPUTS!$B$6,-INPUTS!$B$3,0,0))</f>
        <v/>
      </c>
      <c r="H946" s="6" t="str">
        <f t="shared" si="61"/>
        <v/>
      </c>
      <c r="I946" s="6" t="str">
        <f t="shared" si="62"/>
        <v/>
      </c>
    </row>
    <row r="947" spans="1:9" hidden="1" x14ac:dyDescent="0.3">
      <c r="A947" s="16" t="str">
        <f t="shared" si="59"/>
        <v/>
      </c>
      <c r="D947" s="14" t="str">
        <f t="shared" si="60"/>
        <v/>
      </c>
      <c r="E947" s="6" t="str">
        <f>IF(C947="","",PMT(INPUTS!$B$5,INPUTS!$B$6,-INPUTS!$B$3,0,0))</f>
        <v/>
      </c>
      <c r="F947" s="6" t="str">
        <f>IF(C947="","",IPMT(INPUTS!$B$5,C947,INPUTS!$B$6,-INPUTS!$B$3,0,0))</f>
        <v/>
      </c>
      <c r="G947" s="6" t="str">
        <f>IF(C947="","",PPMT(INPUTS!$B$5,C947,INPUTS!$B$6,-INPUTS!$B$3,0,0))</f>
        <v/>
      </c>
      <c r="H947" s="6" t="str">
        <f t="shared" si="61"/>
        <v/>
      </c>
      <c r="I947" s="6" t="str">
        <f t="shared" si="62"/>
        <v/>
      </c>
    </row>
    <row r="948" spans="1:9" hidden="1" x14ac:dyDescent="0.3">
      <c r="A948" s="16" t="str">
        <f t="shared" si="59"/>
        <v/>
      </c>
      <c r="D948" s="14" t="str">
        <f t="shared" si="60"/>
        <v/>
      </c>
      <c r="E948" s="6" t="str">
        <f>IF(C948="","",PMT(INPUTS!$B$5,INPUTS!$B$6,-INPUTS!$B$3,0,0))</f>
        <v/>
      </c>
      <c r="F948" s="6" t="str">
        <f>IF(C948="","",IPMT(INPUTS!$B$5,C948,INPUTS!$B$6,-INPUTS!$B$3,0,0))</f>
        <v/>
      </c>
      <c r="G948" s="6" t="str">
        <f>IF(C948="","",PPMT(INPUTS!$B$5,C948,INPUTS!$B$6,-INPUTS!$B$3,0,0))</f>
        <v/>
      </c>
      <c r="H948" s="6" t="str">
        <f t="shared" si="61"/>
        <v/>
      </c>
      <c r="I948" s="6" t="str">
        <f t="shared" si="62"/>
        <v/>
      </c>
    </row>
    <row r="949" spans="1:9" hidden="1" x14ac:dyDescent="0.3">
      <c r="A949" s="16" t="str">
        <f t="shared" si="59"/>
        <v/>
      </c>
      <c r="D949" s="14" t="str">
        <f t="shared" si="60"/>
        <v/>
      </c>
      <c r="E949" s="6" t="str">
        <f>IF(C949="","",PMT(INPUTS!$B$5,INPUTS!$B$6,-INPUTS!$B$3,0,0))</f>
        <v/>
      </c>
      <c r="F949" s="6" t="str">
        <f>IF(C949="","",IPMT(INPUTS!$B$5,C949,INPUTS!$B$6,-INPUTS!$B$3,0,0))</f>
        <v/>
      </c>
      <c r="G949" s="6" t="str">
        <f>IF(C949="","",PPMT(INPUTS!$B$5,C949,INPUTS!$B$6,-INPUTS!$B$3,0,0))</f>
        <v/>
      </c>
      <c r="H949" s="6" t="str">
        <f t="shared" si="61"/>
        <v/>
      </c>
      <c r="I949" s="6" t="str">
        <f t="shared" si="62"/>
        <v/>
      </c>
    </row>
    <row r="950" spans="1:9" hidden="1" x14ac:dyDescent="0.3">
      <c r="A950" s="16" t="str">
        <f t="shared" si="59"/>
        <v/>
      </c>
      <c r="D950" s="14" t="str">
        <f t="shared" si="60"/>
        <v/>
      </c>
      <c r="E950" s="6" t="str">
        <f>IF(C950="","",PMT(INPUTS!$B$5,INPUTS!$B$6,-INPUTS!$B$3,0,0))</f>
        <v/>
      </c>
      <c r="F950" s="6" t="str">
        <f>IF(C950="","",IPMT(INPUTS!$B$5,C950,INPUTS!$B$6,-INPUTS!$B$3,0,0))</f>
        <v/>
      </c>
      <c r="G950" s="6" t="str">
        <f>IF(C950="","",PPMT(INPUTS!$B$5,C950,INPUTS!$B$6,-INPUTS!$B$3,0,0))</f>
        <v/>
      </c>
      <c r="H950" s="6" t="str">
        <f t="shared" si="61"/>
        <v/>
      </c>
      <c r="I950" s="6" t="str">
        <f t="shared" si="62"/>
        <v/>
      </c>
    </row>
    <row r="951" spans="1:9" hidden="1" x14ac:dyDescent="0.3">
      <c r="A951" s="16" t="str">
        <f t="shared" si="59"/>
        <v/>
      </c>
      <c r="D951" s="14" t="str">
        <f t="shared" si="60"/>
        <v/>
      </c>
      <c r="E951" s="6" t="str">
        <f>IF(C951="","",PMT(INPUTS!$B$5,INPUTS!$B$6,-INPUTS!$B$3,0,0))</f>
        <v/>
      </c>
      <c r="F951" s="6" t="str">
        <f>IF(C951="","",IPMT(INPUTS!$B$5,C951,INPUTS!$B$6,-INPUTS!$B$3,0,0))</f>
        <v/>
      </c>
      <c r="G951" s="6" t="str">
        <f>IF(C951="","",PPMT(INPUTS!$B$5,C951,INPUTS!$B$6,-INPUTS!$B$3,0,0))</f>
        <v/>
      </c>
      <c r="H951" s="6" t="str">
        <f t="shared" si="61"/>
        <v/>
      </c>
      <c r="I951" s="6" t="str">
        <f t="shared" si="62"/>
        <v/>
      </c>
    </row>
    <row r="952" spans="1:9" hidden="1" x14ac:dyDescent="0.3">
      <c r="A952" s="16" t="str">
        <f t="shared" si="59"/>
        <v/>
      </c>
      <c r="D952" s="14" t="str">
        <f t="shared" si="60"/>
        <v/>
      </c>
      <c r="E952" s="6" t="str">
        <f>IF(C952="","",PMT(INPUTS!$B$5,INPUTS!$B$6,-INPUTS!$B$3,0,0))</f>
        <v/>
      </c>
      <c r="F952" s="6" t="str">
        <f>IF(C952="","",IPMT(INPUTS!$B$5,C952,INPUTS!$B$6,-INPUTS!$B$3,0,0))</f>
        <v/>
      </c>
      <c r="G952" s="6" t="str">
        <f>IF(C952="","",PPMT(INPUTS!$B$5,C952,INPUTS!$B$6,-INPUTS!$B$3,0,0))</f>
        <v/>
      </c>
      <c r="H952" s="6" t="str">
        <f t="shared" si="61"/>
        <v/>
      </c>
      <c r="I952" s="6" t="str">
        <f t="shared" si="62"/>
        <v/>
      </c>
    </row>
    <row r="953" spans="1:9" hidden="1" x14ac:dyDescent="0.3">
      <c r="A953" s="16" t="str">
        <f t="shared" si="59"/>
        <v/>
      </c>
      <c r="D953" s="14" t="str">
        <f t="shared" si="60"/>
        <v/>
      </c>
      <c r="E953" s="6" t="str">
        <f>IF(C953="","",PMT(INPUTS!$B$5,INPUTS!$B$6,-INPUTS!$B$3,0,0))</f>
        <v/>
      </c>
      <c r="F953" s="6" t="str">
        <f>IF(C953="","",IPMT(INPUTS!$B$5,C953,INPUTS!$B$6,-INPUTS!$B$3,0,0))</f>
        <v/>
      </c>
      <c r="G953" s="6" t="str">
        <f>IF(C953="","",PPMT(INPUTS!$B$5,C953,INPUTS!$B$6,-INPUTS!$B$3,0,0))</f>
        <v/>
      </c>
      <c r="H953" s="6" t="str">
        <f t="shared" si="61"/>
        <v/>
      </c>
      <c r="I953" s="6" t="str">
        <f t="shared" si="62"/>
        <v/>
      </c>
    </row>
    <row r="954" spans="1:9" hidden="1" x14ac:dyDescent="0.3">
      <c r="A954" s="16" t="str">
        <f t="shared" si="59"/>
        <v/>
      </c>
      <c r="D954" s="14" t="str">
        <f t="shared" si="60"/>
        <v/>
      </c>
      <c r="E954" s="6" t="str">
        <f>IF(C954="","",PMT(INPUTS!$B$5,INPUTS!$B$6,-INPUTS!$B$3,0,0))</f>
        <v/>
      </c>
      <c r="F954" s="6" t="str">
        <f>IF(C954="","",IPMT(INPUTS!$B$5,C954,INPUTS!$B$6,-INPUTS!$B$3,0,0))</f>
        <v/>
      </c>
      <c r="G954" s="6" t="str">
        <f>IF(C954="","",PPMT(INPUTS!$B$5,C954,INPUTS!$B$6,-INPUTS!$B$3,0,0))</f>
        <v/>
      </c>
      <c r="H954" s="6" t="str">
        <f t="shared" si="61"/>
        <v/>
      </c>
      <c r="I954" s="6" t="str">
        <f t="shared" si="62"/>
        <v/>
      </c>
    </row>
    <row r="955" spans="1:9" hidden="1" x14ac:dyDescent="0.3">
      <c r="A955" s="16" t="str">
        <f t="shared" si="59"/>
        <v/>
      </c>
      <c r="D955" s="14" t="str">
        <f t="shared" si="60"/>
        <v/>
      </c>
      <c r="E955" s="6" t="str">
        <f>IF(C955="","",PMT(INPUTS!$B$5,INPUTS!$B$6,-INPUTS!$B$3,0,0))</f>
        <v/>
      </c>
      <c r="F955" s="6" t="str">
        <f>IF(C955="","",IPMT(INPUTS!$B$5,C955,INPUTS!$B$6,-INPUTS!$B$3,0,0))</f>
        <v/>
      </c>
      <c r="G955" s="6" t="str">
        <f>IF(C955="","",PPMT(INPUTS!$B$5,C955,INPUTS!$B$6,-INPUTS!$B$3,0,0))</f>
        <v/>
      </c>
      <c r="H955" s="6" t="str">
        <f t="shared" si="61"/>
        <v/>
      </c>
      <c r="I955" s="6" t="str">
        <f t="shared" si="62"/>
        <v/>
      </c>
    </row>
    <row r="956" spans="1:9" hidden="1" x14ac:dyDescent="0.3">
      <c r="A956" s="16" t="str">
        <f t="shared" si="59"/>
        <v/>
      </c>
      <c r="D956" s="14" t="str">
        <f t="shared" si="60"/>
        <v/>
      </c>
      <c r="E956" s="6" t="str">
        <f>IF(C956="","",PMT(INPUTS!$B$5,INPUTS!$B$6,-INPUTS!$B$3,0,0))</f>
        <v/>
      </c>
      <c r="F956" s="6" t="str">
        <f>IF(C956="","",IPMT(INPUTS!$B$5,C956,INPUTS!$B$6,-INPUTS!$B$3,0,0))</f>
        <v/>
      </c>
      <c r="G956" s="6" t="str">
        <f>IF(C956="","",PPMT(INPUTS!$B$5,C956,INPUTS!$B$6,-INPUTS!$B$3,0,0))</f>
        <v/>
      </c>
      <c r="H956" s="6" t="str">
        <f t="shared" si="61"/>
        <v/>
      </c>
      <c r="I956" s="6" t="str">
        <f t="shared" si="62"/>
        <v/>
      </c>
    </row>
    <row r="957" spans="1:9" hidden="1" x14ac:dyDescent="0.3">
      <c r="A957" s="16" t="str">
        <f t="shared" si="59"/>
        <v/>
      </c>
      <c r="D957" s="14" t="str">
        <f t="shared" si="60"/>
        <v/>
      </c>
      <c r="E957" s="6" t="str">
        <f>IF(C957="","",PMT(INPUTS!$B$5,INPUTS!$B$6,-INPUTS!$B$3,0,0))</f>
        <v/>
      </c>
      <c r="F957" s="6" t="str">
        <f>IF(C957="","",IPMT(INPUTS!$B$5,C957,INPUTS!$B$6,-INPUTS!$B$3,0,0))</f>
        <v/>
      </c>
      <c r="G957" s="6" t="str">
        <f>IF(C957="","",PPMT(INPUTS!$B$5,C957,INPUTS!$B$6,-INPUTS!$B$3,0,0))</f>
        <v/>
      </c>
      <c r="H957" s="6" t="str">
        <f t="shared" si="61"/>
        <v/>
      </c>
      <c r="I957" s="6" t="str">
        <f t="shared" si="62"/>
        <v/>
      </c>
    </row>
    <row r="958" spans="1:9" hidden="1" x14ac:dyDescent="0.3">
      <c r="A958" s="16" t="str">
        <f t="shared" si="59"/>
        <v/>
      </c>
      <c r="D958" s="14" t="str">
        <f t="shared" si="60"/>
        <v/>
      </c>
      <c r="E958" s="6" t="str">
        <f>IF(C958="","",PMT(INPUTS!$B$5,INPUTS!$B$6,-INPUTS!$B$3,0,0))</f>
        <v/>
      </c>
      <c r="F958" s="6" t="str">
        <f>IF(C958="","",IPMT(INPUTS!$B$5,C958,INPUTS!$B$6,-INPUTS!$B$3,0,0))</f>
        <v/>
      </c>
      <c r="G958" s="6" t="str">
        <f>IF(C958="","",PPMT(INPUTS!$B$5,C958,INPUTS!$B$6,-INPUTS!$B$3,0,0))</f>
        <v/>
      </c>
      <c r="H958" s="6" t="str">
        <f t="shared" si="61"/>
        <v/>
      </c>
      <c r="I958" s="6" t="str">
        <f t="shared" si="62"/>
        <v/>
      </c>
    </row>
    <row r="959" spans="1:9" hidden="1" x14ac:dyDescent="0.3">
      <c r="A959" s="16" t="str">
        <f t="shared" si="59"/>
        <v/>
      </c>
      <c r="D959" s="14" t="str">
        <f t="shared" si="60"/>
        <v/>
      </c>
      <c r="E959" s="6" t="str">
        <f>IF(C959="","",PMT(INPUTS!$B$5,INPUTS!$B$6,-INPUTS!$B$3,0,0))</f>
        <v/>
      </c>
      <c r="F959" s="6" t="str">
        <f>IF(C959="","",IPMT(INPUTS!$B$5,C959,INPUTS!$B$6,-INPUTS!$B$3,0,0))</f>
        <v/>
      </c>
      <c r="G959" s="6" t="str">
        <f>IF(C959="","",PPMT(INPUTS!$B$5,C959,INPUTS!$B$6,-INPUTS!$B$3,0,0))</f>
        <v/>
      </c>
      <c r="H959" s="6" t="str">
        <f t="shared" si="61"/>
        <v/>
      </c>
      <c r="I959" s="6" t="str">
        <f t="shared" si="62"/>
        <v/>
      </c>
    </row>
    <row r="960" spans="1:9" hidden="1" x14ac:dyDescent="0.3">
      <c r="A960" s="16" t="str">
        <f t="shared" si="59"/>
        <v/>
      </c>
      <c r="D960" s="14" t="str">
        <f t="shared" si="60"/>
        <v/>
      </c>
      <c r="E960" s="6" t="str">
        <f>IF(C960="","",PMT(INPUTS!$B$5,INPUTS!$B$6,-INPUTS!$B$3,0,0))</f>
        <v/>
      </c>
      <c r="F960" s="6" t="str">
        <f>IF(C960="","",IPMT(INPUTS!$B$5,C960,INPUTS!$B$6,-INPUTS!$B$3,0,0))</f>
        <v/>
      </c>
      <c r="G960" s="6" t="str">
        <f>IF(C960="","",PPMT(INPUTS!$B$5,C960,INPUTS!$B$6,-INPUTS!$B$3,0,0))</f>
        <v/>
      </c>
      <c r="H960" s="6" t="str">
        <f t="shared" si="61"/>
        <v/>
      </c>
      <c r="I960" s="6" t="str">
        <f t="shared" si="62"/>
        <v/>
      </c>
    </row>
    <row r="961" spans="1:9" hidden="1" x14ac:dyDescent="0.3">
      <c r="A961" s="16" t="str">
        <f t="shared" si="59"/>
        <v/>
      </c>
      <c r="D961" s="14" t="str">
        <f t="shared" si="60"/>
        <v/>
      </c>
      <c r="E961" s="6" t="str">
        <f>IF(C961="","",PMT(INPUTS!$B$5,INPUTS!$B$6,-INPUTS!$B$3,0,0))</f>
        <v/>
      </c>
      <c r="F961" s="6" t="str">
        <f>IF(C961="","",IPMT(INPUTS!$B$5,C961,INPUTS!$B$6,-INPUTS!$B$3,0,0))</f>
        <v/>
      </c>
      <c r="G961" s="6" t="str">
        <f>IF(C961="","",PPMT(INPUTS!$B$5,C961,INPUTS!$B$6,-INPUTS!$B$3,0,0))</f>
        <v/>
      </c>
      <c r="H961" s="6" t="str">
        <f t="shared" si="61"/>
        <v/>
      </c>
      <c r="I961" s="6" t="str">
        <f t="shared" si="62"/>
        <v/>
      </c>
    </row>
    <row r="962" spans="1:9" hidden="1" x14ac:dyDescent="0.3">
      <c r="A962" s="16" t="str">
        <f t="shared" si="59"/>
        <v/>
      </c>
      <c r="D962" s="14" t="str">
        <f t="shared" si="60"/>
        <v/>
      </c>
      <c r="E962" s="6" t="str">
        <f>IF(C962="","",PMT(INPUTS!$B$5,INPUTS!$B$6,-INPUTS!$B$3,0,0))</f>
        <v/>
      </c>
      <c r="F962" s="6" t="str">
        <f>IF(C962="","",IPMT(INPUTS!$B$5,C962,INPUTS!$B$6,-INPUTS!$B$3,0,0))</f>
        <v/>
      </c>
      <c r="G962" s="6" t="str">
        <f>IF(C962="","",PPMT(INPUTS!$B$5,C962,INPUTS!$B$6,-INPUTS!$B$3,0,0))</f>
        <v/>
      </c>
      <c r="H962" s="6" t="str">
        <f t="shared" si="61"/>
        <v/>
      </c>
      <c r="I962" s="6" t="str">
        <f t="shared" si="62"/>
        <v/>
      </c>
    </row>
    <row r="963" spans="1:9" hidden="1" x14ac:dyDescent="0.3">
      <c r="A963" s="16" t="str">
        <f t="shared" si="59"/>
        <v/>
      </c>
      <c r="D963" s="14" t="str">
        <f t="shared" si="60"/>
        <v/>
      </c>
      <c r="E963" s="6" t="str">
        <f>IF(C963="","",PMT(INPUTS!$B$5,INPUTS!$B$6,-INPUTS!$B$3,0,0))</f>
        <v/>
      </c>
      <c r="F963" s="6" t="str">
        <f>IF(C963="","",IPMT(INPUTS!$B$5,C963,INPUTS!$B$6,-INPUTS!$B$3,0,0))</f>
        <v/>
      </c>
      <c r="G963" s="6" t="str">
        <f>IF(C963="","",PPMT(INPUTS!$B$5,C963,INPUTS!$B$6,-INPUTS!$B$3,0,0))</f>
        <v/>
      </c>
      <c r="H963" s="6" t="str">
        <f t="shared" si="61"/>
        <v/>
      </c>
      <c r="I963" s="6" t="str">
        <f t="shared" si="62"/>
        <v/>
      </c>
    </row>
    <row r="964" spans="1:9" hidden="1" x14ac:dyDescent="0.3">
      <c r="A964" s="16" t="str">
        <f t="shared" si="59"/>
        <v/>
      </c>
      <c r="D964" s="14" t="str">
        <f t="shared" si="60"/>
        <v/>
      </c>
      <c r="E964" s="6" t="str">
        <f>IF(C964="","",PMT(INPUTS!$B$5,INPUTS!$B$6,-INPUTS!$B$3,0,0))</f>
        <v/>
      </c>
      <c r="F964" s="6" t="str">
        <f>IF(C964="","",IPMT(INPUTS!$B$5,C964,INPUTS!$B$6,-INPUTS!$B$3,0,0))</f>
        <v/>
      </c>
      <c r="G964" s="6" t="str">
        <f>IF(C964="","",PPMT(INPUTS!$B$5,C964,INPUTS!$B$6,-INPUTS!$B$3,0,0))</f>
        <v/>
      </c>
      <c r="H964" s="6" t="str">
        <f t="shared" si="61"/>
        <v/>
      </c>
      <c r="I964" s="6" t="str">
        <f t="shared" si="62"/>
        <v/>
      </c>
    </row>
    <row r="965" spans="1:9" hidden="1" x14ac:dyDescent="0.3">
      <c r="A965" s="16" t="str">
        <f t="shared" si="59"/>
        <v/>
      </c>
      <c r="D965" s="14" t="str">
        <f t="shared" si="60"/>
        <v/>
      </c>
      <c r="E965" s="6" t="str">
        <f>IF(C965="","",PMT(INPUTS!$B$5,INPUTS!$B$6,-INPUTS!$B$3,0,0))</f>
        <v/>
      </c>
      <c r="F965" s="6" t="str">
        <f>IF(C965="","",IPMT(INPUTS!$B$5,C965,INPUTS!$B$6,-INPUTS!$B$3,0,0))</f>
        <v/>
      </c>
      <c r="G965" s="6" t="str">
        <f>IF(C965="","",PPMT(INPUTS!$B$5,C965,INPUTS!$B$6,-INPUTS!$B$3,0,0))</f>
        <v/>
      </c>
      <c r="H965" s="6" t="str">
        <f t="shared" si="61"/>
        <v/>
      </c>
      <c r="I965" s="6" t="str">
        <f t="shared" si="62"/>
        <v/>
      </c>
    </row>
    <row r="966" spans="1:9" hidden="1" x14ac:dyDescent="0.3">
      <c r="A966" s="16" t="str">
        <f t="shared" si="59"/>
        <v/>
      </c>
      <c r="D966" s="14" t="str">
        <f t="shared" si="60"/>
        <v/>
      </c>
      <c r="E966" s="6" t="str">
        <f>IF(C966="","",PMT(INPUTS!$B$5,INPUTS!$B$6,-INPUTS!$B$3,0,0))</f>
        <v/>
      </c>
      <c r="F966" s="6" t="str">
        <f>IF(C966="","",IPMT(INPUTS!$B$5,C966,INPUTS!$B$6,-INPUTS!$B$3,0,0))</f>
        <v/>
      </c>
      <c r="G966" s="6" t="str">
        <f>IF(C966="","",PPMT(INPUTS!$B$5,C966,INPUTS!$B$6,-INPUTS!$B$3,0,0))</f>
        <v/>
      </c>
      <c r="H966" s="6" t="str">
        <f t="shared" si="61"/>
        <v/>
      </c>
      <c r="I966" s="6" t="str">
        <f t="shared" si="62"/>
        <v/>
      </c>
    </row>
    <row r="967" spans="1:9" hidden="1" x14ac:dyDescent="0.3">
      <c r="A967" s="16" t="str">
        <f t="shared" si="59"/>
        <v/>
      </c>
      <c r="D967" s="14" t="str">
        <f t="shared" si="60"/>
        <v/>
      </c>
      <c r="E967" s="6" t="str">
        <f>IF(C967="","",PMT(INPUTS!$B$5,INPUTS!$B$6,-INPUTS!$B$3,0,0))</f>
        <v/>
      </c>
      <c r="F967" s="6" t="str">
        <f>IF(C967="","",IPMT(INPUTS!$B$5,C967,INPUTS!$B$6,-INPUTS!$B$3,0,0))</f>
        <v/>
      </c>
      <c r="G967" s="6" t="str">
        <f>IF(C967="","",PPMT(INPUTS!$B$5,C967,INPUTS!$B$6,-INPUTS!$B$3,0,0))</f>
        <v/>
      </c>
      <c r="H967" s="6" t="str">
        <f t="shared" si="61"/>
        <v/>
      </c>
      <c r="I967" s="6" t="str">
        <f t="shared" si="62"/>
        <v/>
      </c>
    </row>
    <row r="968" spans="1:9" hidden="1" x14ac:dyDescent="0.3">
      <c r="A968" s="16" t="str">
        <f t="shared" si="59"/>
        <v/>
      </c>
      <c r="D968" s="14" t="str">
        <f t="shared" si="60"/>
        <v/>
      </c>
      <c r="E968" s="6" t="str">
        <f>IF(C968="","",PMT(INPUTS!$B$5,INPUTS!$B$6,-INPUTS!$B$3,0,0))</f>
        <v/>
      </c>
      <c r="F968" s="6" t="str">
        <f>IF(C968="","",IPMT(INPUTS!$B$5,C968,INPUTS!$B$6,-INPUTS!$B$3,0,0))</f>
        <v/>
      </c>
      <c r="G968" s="6" t="str">
        <f>IF(C968="","",PPMT(INPUTS!$B$5,C968,INPUTS!$B$6,-INPUTS!$B$3,0,0))</f>
        <v/>
      </c>
      <c r="H968" s="6" t="str">
        <f t="shared" si="61"/>
        <v/>
      </c>
      <c r="I968" s="6" t="str">
        <f t="shared" si="62"/>
        <v/>
      </c>
    </row>
    <row r="969" spans="1:9" hidden="1" x14ac:dyDescent="0.3">
      <c r="A969" s="16" t="str">
        <f t="shared" si="59"/>
        <v/>
      </c>
      <c r="D969" s="14" t="str">
        <f t="shared" si="60"/>
        <v/>
      </c>
      <c r="E969" s="6" t="str">
        <f>IF(C969="","",PMT(INPUTS!$B$5,INPUTS!$B$6,-INPUTS!$B$3,0,0))</f>
        <v/>
      </c>
      <c r="F969" s="6" t="str">
        <f>IF(C969="","",IPMT(INPUTS!$B$5,C969,INPUTS!$B$6,-INPUTS!$B$3,0,0))</f>
        <v/>
      </c>
      <c r="G969" s="6" t="str">
        <f>IF(C969="","",PPMT(INPUTS!$B$5,C969,INPUTS!$B$6,-INPUTS!$B$3,0,0))</f>
        <v/>
      </c>
      <c r="H969" s="6" t="str">
        <f t="shared" si="61"/>
        <v/>
      </c>
      <c r="I969" s="6" t="str">
        <f t="shared" si="62"/>
        <v/>
      </c>
    </row>
    <row r="970" spans="1:9" hidden="1" x14ac:dyDescent="0.3">
      <c r="A970" s="16" t="str">
        <f t="shared" si="59"/>
        <v/>
      </c>
      <c r="D970" s="14" t="str">
        <f t="shared" si="60"/>
        <v/>
      </c>
      <c r="E970" s="6" t="str">
        <f>IF(C970="","",PMT(INPUTS!$B$5,INPUTS!$B$6,-INPUTS!$B$3,0,0))</f>
        <v/>
      </c>
      <c r="F970" s="6" t="str">
        <f>IF(C970="","",IPMT(INPUTS!$B$5,C970,INPUTS!$B$6,-INPUTS!$B$3,0,0))</f>
        <v/>
      </c>
      <c r="G970" s="6" t="str">
        <f>IF(C970="","",PPMT(INPUTS!$B$5,C970,INPUTS!$B$6,-INPUTS!$B$3,0,0))</f>
        <v/>
      </c>
      <c r="H970" s="6" t="str">
        <f t="shared" si="61"/>
        <v/>
      </c>
      <c r="I970" s="6" t="str">
        <f t="shared" si="62"/>
        <v/>
      </c>
    </row>
    <row r="971" spans="1:9" hidden="1" x14ac:dyDescent="0.3">
      <c r="A971" s="16" t="str">
        <f t="shared" si="59"/>
        <v/>
      </c>
      <c r="D971" s="14" t="str">
        <f t="shared" si="60"/>
        <v/>
      </c>
      <c r="E971" s="6" t="str">
        <f>IF(C971="","",PMT(INPUTS!$B$5,INPUTS!$B$6,-INPUTS!$B$3,0,0))</f>
        <v/>
      </c>
      <c r="F971" s="6" t="str">
        <f>IF(C971="","",IPMT(INPUTS!$B$5,C971,INPUTS!$B$6,-INPUTS!$B$3,0,0))</f>
        <v/>
      </c>
      <c r="G971" s="6" t="str">
        <f>IF(C971="","",PPMT(INPUTS!$B$5,C971,INPUTS!$B$6,-INPUTS!$B$3,0,0))</f>
        <v/>
      </c>
      <c r="H971" s="6" t="str">
        <f t="shared" si="61"/>
        <v/>
      </c>
      <c r="I971" s="6" t="str">
        <f t="shared" si="62"/>
        <v/>
      </c>
    </row>
    <row r="972" spans="1:9" hidden="1" x14ac:dyDescent="0.3">
      <c r="A972" s="16" t="str">
        <f t="shared" si="59"/>
        <v/>
      </c>
      <c r="D972" s="14" t="str">
        <f t="shared" si="60"/>
        <v/>
      </c>
      <c r="E972" s="6" t="str">
        <f>IF(C972="","",PMT(INPUTS!$B$5,INPUTS!$B$6,-INPUTS!$B$3,0,0))</f>
        <v/>
      </c>
      <c r="F972" s="6" t="str">
        <f>IF(C972="","",IPMT(INPUTS!$B$5,C972,INPUTS!$B$6,-INPUTS!$B$3,0,0))</f>
        <v/>
      </c>
      <c r="G972" s="6" t="str">
        <f>IF(C972="","",PPMT(INPUTS!$B$5,C972,INPUTS!$B$6,-INPUTS!$B$3,0,0))</f>
        <v/>
      </c>
      <c r="H972" s="6" t="str">
        <f t="shared" si="61"/>
        <v/>
      </c>
      <c r="I972" s="6" t="str">
        <f t="shared" si="62"/>
        <v/>
      </c>
    </row>
    <row r="973" spans="1:9" hidden="1" x14ac:dyDescent="0.3">
      <c r="A973" s="16" t="str">
        <f t="shared" si="59"/>
        <v/>
      </c>
      <c r="D973" s="14" t="str">
        <f t="shared" si="60"/>
        <v/>
      </c>
      <c r="E973" s="6" t="str">
        <f>IF(C973="","",PMT(INPUTS!$B$5,INPUTS!$B$6,-INPUTS!$B$3,0,0))</f>
        <v/>
      </c>
      <c r="F973" s="6" t="str">
        <f>IF(C973="","",IPMT(INPUTS!$B$5,C973,INPUTS!$B$6,-INPUTS!$B$3,0,0))</f>
        <v/>
      </c>
      <c r="G973" s="6" t="str">
        <f>IF(C973="","",PPMT(INPUTS!$B$5,C973,INPUTS!$B$6,-INPUTS!$B$3,0,0))</f>
        <v/>
      </c>
      <c r="H973" s="6" t="str">
        <f t="shared" si="61"/>
        <v/>
      </c>
      <c r="I973" s="6" t="str">
        <f t="shared" si="62"/>
        <v/>
      </c>
    </row>
    <row r="974" spans="1:9" hidden="1" x14ac:dyDescent="0.3">
      <c r="A974" s="16" t="str">
        <f t="shared" si="59"/>
        <v/>
      </c>
      <c r="D974" s="14" t="str">
        <f t="shared" si="60"/>
        <v/>
      </c>
      <c r="E974" s="6" t="str">
        <f>IF(C974="","",PMT(INPUTS!$B$5,INPUTS!$B$6,-INPUTS!$B$3,0,0))</f>
        <v/>
      </c>
      <c r="F974" s="6" t="str">
        <f>IF(C974="","",IPMT(INPUTS!$B$5,C974,INPUTS!$B$6,-INPUTS!$B$3,0,0))</f>
        <v/>
      </c>
      <c r="G974" s="6" t="str">
        <f>IF(C974="","",PPMT(INPUTS!$B$5,C974,INPUTS!$B$6,-INPUTS!$B$3,0,0))</f>
        <v/>
      </c>
      <c r="H974" s="6" t="str">
        <f t="shared" si="61"/>
        <v/>
      </c>
      <c r="I974" s="6" t="str">
        <f t="shared" si="62"/>
        <v/>
      </c>
    </row>
    <row r="975" spans="1:9" hidden="1" x14ac:dyDescent="0.3">
      <c r="A975" s="16" t="str">
        <f t="shared" si="59"/>
        <v/>
      </c>
      <c r="D975" s="14" t="str">
        <f t="shared" si="60"/>
        <v/>
      </c>
      <c r="E975" s="6" t="str">
        <f>IF(C975="","",PMT(INPUTS!$B$5,INPUTS!$B$6,-INPUTS!$B$3,0,0))</f>
        <v/>
      </c>
      <c r="F975" s="6" t="str">
        <f>IF(C975="","",IPMT(INPUTS!$B$5,C975,INPUTS!$B$6,-INPUTS!$B$3,0,0))</f>
        <v/>
      </c>
      <c r="G975" s="6" t="str">
        <f>IF(C975="","",PPMT(INPUTS!$B$5,C975,INPUTS!$B$6,-INPUTS!$B$3,0,0))</f>
        <v/>
      </c>
      <c r="H975" s="6" t="str">
        <f t="shared" si="61"/>
        <v/>
      </c>
      <c r="I975" s="6" t="str">
        <f t="shared" si="62"/>
        <v/>
      </c>
    </row>
    <row r="976" spans="1:9" hidden="1" x14ac:dyDescent="0.3">
      <c r="A976" s="16" t="str">
        <f t="shared" si="59"/>
        <v/>
      </c>
      <c r="D976" s="14" t="str">
        <f t="shared" si="60"/>
        <v/>
      </c>
      <c r="E976" s="6" t="str">
        <f>IF(C976="","",PMT(INPUTS!$B$5,INPUTS!$B$6,-INPUTS!$B$3,0,0))</f>
        <v/>
      </c>
      <c r="F976" s="6" t="str">
        <f>IF(C976="","",IPMT(INPUTS!$B$5,C976,INPUTS!$B$6,-INPUTS!$B$3,0,0))</f>
        <v/>
      </c>
      <c r="G976" s="6" t="str">
        <f>IF(C976="","",PPMT(INPUTS!$B$5,C976,INPUTS!$B$6,-INPUTS!$B$3,0,0))</f>
        <v/>
      </c>
      <c r="H976" s="6" t="str">
        <f t="shared" si="61"/>
        <v/>
      </c>
      <c r="I976" s="6" t="str">
        <f t="shared" si="62"/>
        <v/>
      </c>
    </row>
    <row r="977" spans="1:9" hidden="1" x14ac:dyDescent="0.3">
      <c r="A977" s="16" t="str">
        <f t="shared" si="59"/>
        <v/>
      </c>
      <c r="D977" s="14" t="str">
        <f t="shared" si="60"/>
        <v/>
      </c>
      <c r="E977" s="6" t="str">
        <f>IF(C977="","",PMT(INPUTS!$B$5,INPUTS!$B$6,-INPUTS!$B$3,0,0))</f>
        <v/>
      </c>
      <c r="F977" s="6" t="str">
        <f>IF(C977="","",IPMT(INPUTS!$B$5,C977,INPUTS!$B$6,-INPUTS!$B$3,0,0))</f>
        <v/>
      </c>
      <c r="G977" s="6" t="str">
        <f>IF(C977="","",PPMT(INPUTS!$B$5,C977,INPUTS!$B$6,-INPUTS!$B$3,0,0))</f>
        <v/>
      </c>
      <c r="H977" s="6" t="str">
        <f t="shared" si="61"/>
        <v/>
      </c>
      <c r="I977" s="6" t="str">
        <f t="shared" si="62"/>
        <v/>
      </c>
    </row>
    <row r="978" spans="1:9" hidden="1" x14ac:dyDescent="0.3">
      <c r="A978" s="16" t="str">
        <f t="shared" ref="A978:A1017" si="63">IF(D978="","",YEAR(D978))</f>
        <v/>
      </c>
      <c r="D978" s="14" t="str">
        <f t="shared" si="60"/>
        <v/>
      </c>
      <c r="E978" s="6" t="str">
        <f>IF(C978="","",PMT(INPUTS!$B$5,INPUTS!$B$6,-INPUTS!$B$3,0,0))</f>
        <v/>
      </c>
      <c r="F978" s="6" t="str">
        <f>IF(C978="","",IPMT(INPUTS!$B$5,C978,INPUTS!$B$6,-INPUTS!$B$3,0,0))</f>
        <v/>
      </c>
      <c r="G978" s="6" t="str">
        <f>IF(C978="","",PPMT(INPUTS!$B$5,C978,INPUTS!$B$6,-INPUTS!$B$3,0,0))</f>
        <v/>
      </c>
      <c r="H978" s="6" t="str">
        <f t="shared" si="61"/>
        <v/>
      </c>
      <c r="I978" s="6" t="str">
        <f t="shared" si="62"/>
        <v/>
      </c>
    </row>
    <row r="979" spans="1:9" hidden="1" x14ac:dyDescent="0.3">
      <c r="A979" s="16" t="str">
        <f t="shared" si="63"/>
        <v/>
      </c>
      <c r="D979" s="14" t="str">
        <f t="shared" si="60"/>
        <v/>
      </c>
      <c r="E979" s="6" t="str">
        <f>IF(C979="","",PMT(INPUTS!$B$5,INPUTS!$B$6,-INPUTS!$B$3,0,0))</f>
        <v/>
      </c>
      <c r="F979" s="6" t="str">
        <f>IF(C979="","",IPMT(INPUTS!$B$5,C979,INPUTS!$B$6,-INPUTS!$B$3,0,0))</f>
        <v/>
      </c>
      <c r="G979" s="6" t="str">
        <f>IF(C979="","",PPMT(INPUTS!$B$5,C979,INPUTS!$B$6,-INPUTS!$B$3,0,0))</f>
        <v/>
      </c>
      <c r="H979" s="6" t="str">
        <f t="shared" si="61"/>
        <v/>
      </c>
      <c r="I979" s="6" t="str">
        <f t="shared" si="62"/>
        <v/>
      </c>
    </row>
    <row r="980" spans="1:9" hidden="1" x14ac:dyDescent="0.3">
      <c r="A980" s="16" t="str">
        <f t="shared" si="63"/>
        <v/>
      </c>
      <c r="D980" s="14" t="str">
        <f t="shared" ref="D980:D1017" si="64">IF(C979="","",DATE(YEAR($D979),MONTH($D979)+1,DAY($D979)))</f>
        <v/>
      </c>
      <c r="E980" s="6" t="str">
        <f>IF(C980="","",PMT(INPUTS!$B$5,INPUTS!$B$6,-INPUTS!$B$3,0,0))</f>
        <v/>
      </c>
      <c r="F980" s="6" t="str">
        <f>IF(C980="","",IPMT(INPUTS!$B$5,C980,INPUTS!$B$6,-INPUTS!$B$3,0,0))</f>
        <v/>
      </c>
      <c r="G980" s="6" t="str">
        <f>IF(C980="","",PPMT(INPUTS!$B$5,C980,INPUTS!$B$6,-INPUTS!$B$3,0,0))</f>
        <v/>
      </c>
      <c r="H980" s="6" t="str">
        <f t="shared" ref="H980:H1017" si="65">I979</f>
        <v/>
      </c>
      <c r="I980" s="6" t="str">
        <f t="shared" si="62"/>
        <v/>
      </c>
    </row>
    <row r="981" spans="1:9" hidden="1" x14ac:dyDescent="0.3">
      <c r="A981" s="16" t="str">
        <f t="shared" si="63"/>
        <v/>
      </c>
      <c r="D981" s="14" t="str">
        <f t="shared" si="64"/>
        <v/>
      </c>
      <c r="E981" s="6" t="str">
        <f>IF(C981="","",PMT(INPUTS!$B$5,INPUTS!$B$6,-INPUTS!$B$3,0,0))</f>
        <v/>
      </c>
      <c r="F981" s="6" t="str">
        <f>IF(C981="","",IPMT(INPUTS!$B$5,C981,INPUTS!$B$6,-INPUTS!$B$3,0,0))</f>
        <v/>
      </c>
      <c r="G981" s="6" t="str">
        <f>IF(C981="","",PPMT(INPUTS!$B$5,C981,INPUTS!$B$6,-INPUTS!$B$3,0,0))</f>
        <v/>
      </c>
      <c r="H981" s="6" t="str">
        <f t="shared" si="65"/>
        <v/>
      </c>
      <c r="I981" s="6" t="str">
        <f t="shared" si="62"/>
        <v/>
      </c>
    </row>
    <row r="982" spans="1:9" hidden="1" x14ac:dyDescent="0.3">
      <c r="A982" s="16" t="str">
        <f t="shared" si="63"/>
        <v/>
      </c>
      <c r="D982" s="14" t="str">
        <f t="shared" si="64"/>
        <v/>
      </c>
      <c r="E982" s="6" t="str">
        <f>IF(C982="","",PMT(INPUTS!$B$5,INPUTS!$B$6,-INPUTS!$B$3,0,0))</f>
        <v/>
      </c>
      <c r="F982" s="6" t="str">
        <f>IF(C982="","",IPMT(INPUTS!$B$5,C982,INPUTS!$B$6,-INPUTS!$B$3,0,0))</f>
        <v/>
      </c>
      <c r="G982" s="6" t="str">
        <f>IF(C982="","",PPMT(INPUTS!$B$5,C982,INPUTS!$B$6,-INPUTS!$B$3,0,0))</f>
        <v/>
      </c>
      <c r="H982" s="6" t="str">
        <f t="shared" si="65"/>
        <v/>
      </c>
      <c r="I982" s="6" t="str">
        <f t="shared" si="62"/>
        <v/>
      </c>
    </row>
    <row r="983" spans="1:9" hidden="1" x14ac:dyDescent="0.3">
      <c r="A983" s="16" t="str">
        <f t="shared" si="63"/>
        <v/>
      </c>
      <c r="D983" s="14" t="str">
        <f t="shared" si="64"/>
        <v/>
      </c>
      <c r="E983" s="6" t="str">
        <f>IF(C983="","",PMT(INPUTS!$B$5,INPUTS!$B$6,-INPUTS!$B$3,0,0))</f>
        <v/>
      </c>
      <c r="F983" s="6" t="str">
        <f>IF(C983="","",IPMT(INPUTS!$B$5,C983,INPUTS!$B$6,-INPUTS!$B$3,0,0))</f>
        <v/>
      </c>
      <c r="G983" s="6" t="str">
        <f>IF(C983="","",PPMT(INPUTS!$B$5,C983,INPUTS!$B$6,-INPUTS!$B$3,0,0))</f>
        <v/>
      </c>
      <c r="H983" s="6" t="str">
        <f t="shared" si="65"/>
        <v/>
      </c>
      <c r="I983" s="6" t="str">
        <f t="shared" si="62"/>
        <v/>
      </c>
    </row>
    <row r="984" spans="1:9" hidden="1" x14ac:dyDescent="0.3">
      <c r="A984" s="16" t="str">
        <f t="shared" si="63"/>
        <v/>
      </c>
      <c r="D984" s="14" t="str">
        <f t="shared" si="64"/>
        <v/>
      </c>
      <c r="E984" s="6" t="str">
        <f>IF(C984="","",PMT(INPUTS!$B$5,INPUTS!$B$6,-INPUTS!$B$3,0,0))</f>
        <v/>
      </c>
      <c r="F984" s="6" t="str">
        <f>IF(C984="","",IPMT(INPUTS!$B$5,C984,INPUTS!$B$6,-INPUTS!$B$3,0,0))</f>
        <v/>
      </c>
      <c r="G984" s="6" t="str">
        <f>IF(C984="","",PPMT(INPUTS!$B$5,C984,INPUTS!$B$6,-INPUTS!$B$3,0,0))</f>
        <v/>
      </c>
      <c r="H984" s="6" t="str">
        <f t="shared" si="65"/>
        <v/>
      </c>
      <c r="I984" s="6" t="str">
        <f t="shared" si="62"/>
        <v/>
      </c>
    </row>
    <row r="985" spans="1:9" hidden="1" x14ac:dyDescent="0.3">
      <c r="A985" s="16" t="str">
        <f t="shared" si="63"/>
        <v/>
      </c>
      <c r="D985" s="14" t="str">
        <f t="shared" si="64"/>
        <v/>
      </c>
      <c r="E985" s="6" t="str">
        <f>IF(C985="","",PMT(INPUTS!$B$5,INPUTS!$B$6,-INPUTS!$B$3,0,0))</f>
        <v/>
      </c>
      <c r="F985" s="6" t="str">
        <f>IF(C985="","",IPMT(INPUTS!$B$5,C985,INPUTS!$B$6,-INPUTS!$B$3,0,0))</f>
        <v/>
      </c>
      <c r="G985" s="6" t="str">
        <f>IF(C985="","",PPMT(INPUTS!$B$5,C985,INPUTS!$B$6,-INPUTS!$B$3,0,0))</f>
        <v/>
      </c>
      <c r="H985" s="6" t="str">
        <f t="shared" si="65"/>
        <v/>
      </c>
      <c r="I985" s="6" t="str">
        <f t="shared" si="62"/>
        <v/>
      </c>
    </row>
    <row r="986" spans="1:9" hidden="1" x14ac:dyDescent="0.3">
      <c r="A986" s="16" t="str">
        <f t="shared" si="63"/>
        <v/>
      </c>
      <c r="D986" s="14" t="str">
        <f t="shared" si="64"/>
        <v/>
      </c>
      <c r="E986" s="6" t="str">
        <f>IF(C986="","",PMT(INPUTS!$B$5,INPUTS!$B$6,-INPUTS!$B$3,0,0))</f>
        <v/>
      </c>
      <c r="F986" s="6" t="str">
        <f>IF(C986="","",IPMT(INPUTS!$B$5,C986,INPUTS!$B$6,-INPUTS!$B$3,0,0))</f>
        <v/>
      </c>
      <c r="G986" s="6" t="str">
        <f>IF(C986="","",PPMT(INPUTS!$B$5,C986,INPUTS!$B$6,-INPUTS!$B$3,0,0))</f>
        <v/>
      </c>
      <c r="H986" s="6" t="str">
        <f t="shared" si="65"/>
        <v/>
      </c>
      <c r="I986" s="6" t="str">
        <f t="shared" si="62"/>
        <v/>
      </c>
    </row>
    <row r="987" spans="1:9" hidden="1" x14ac:dyDescent="0.3">
      <c r="A987" s="16" t="str">
        <f t="shared" si="63"/>
        <v/>
      </c>
      <c r="D987" s="14" t="str">
        <f t="shared" si="64"/>
        <v/>
      </c>
      <c r="E987" s="6" t="str">
        <f>IF(C987="","",PMT(INPUTS!$B$5,INPUTS!$B$6,-INPUTS!$B$3,0,0))</f>
        <v/>
      </c>
      <c r="F987" s="6" t="str">
        <f>IF(C987="","",IPMT(INPUTS!$B$5,C987,INPUTS!$B$6,-INPUTS!$B$3,0,0))</f>
        <v/>
      </c>
      <c r="G987" s="6" t="str">
        <f>IF(C987="","",PPMT(INPUTS!$B$5,C987,INPUTS!$B$6,-INPUTS!$B$3,0,0))</f>
        <v/>
      </c>
      <c r="H987" s="6" t="str">
        <f t="shared" si="65"/>
        <v/>
      </c>
      <c r="I987" s="6" t="str">
        <f t="shared" si="62"/>
        <v/>
      </c>
    </row>
    <row r="988" spans="1:9" hidden="1" x14ac:dyDescent="0.3">
      <c r="A988" s="16" t="str">
        <f t="shared" si="63"/>
        <v/>
      </c>
      <c r="D988" s="14" t="str">
        <f t="shared" si="64"/>
        <v/>
      </c>
      <c r="E988" s="6" t="str">
        <f>IF(C988="","",PMT(INPUTS!$B$5,INPUTS!$B$6,-INPUTS!$B$3,0,0))</f>
        <v/>
      </c>
      <c r="F988" s="6" t="str">
        <f>IF(C988="","",IPMT(INPUTS!$B$5,C988,INPUTS!$B$6,-INPUTS!$B$3,0,0))</f>
        <v/>
      </c>
      <c r="G988" s="6" t="str">
        <f>IF(C988="","",PPMT(INPUTS!$B$5,C988,INPUTS!$B$6,-INPUTS!$B$3,0,0))</f>
        <v/>
      </c>
      <c r="H988" s="6" t="str">
        <f t="shared" si="65"/>
        <v/>
      </c>
      <c r="I988" s="6" t="str">
        <f t="shared" si="62"/>
        <v/>
      </c>
    </row>
    <row r="989" spans="1:9" hidden="1" x14ac:dyDescent="0.3">
      <c r="A989" s="16" t="str">
        <f t="shared" si="63"/>
        <v/>
      </c>
      <c r="D989" s="14" t="str">
        <f t="shared" si="64"/>
        <v/>
      </c>
      <c r="E989" s="6" t="str">
        <f>IF(C989="","",PMT(INPUTS!$B$5,INPUTS!$B$6,-INPUTS!$B$3,0,0))</f>
        <v/>
      </c>
      <c r="F989" s="6" t="str">
        <f>IF(C989="","",IPMT(INPUTS!$B$5,C989,INPUTS!$B$6,-INPUTS!$B$3,0,0))</f>
        <v/>
      </c>
      <c r="G989" s="6" t="str">
        <f>IF(C989="","",PPMT(INPUTS!$B$5,C989,INPUTS!$B$6,-INPUTS!$B$3,0,0))</f>
        <v/>
      </c>
      <c r="H989" s="6" t="str">
        <f t="shared" si="65"/>
        <v/>
      </c>
      <c r="I989" s="6" t="str">
        <f t="shared" si="62"/>
        <v/>
      </c>
    </row>
    <row r="990" spans="1:9" hidden="1" x14ac:dyDescent="0.3">
      <c r="A990" s="16" t="str">
        <f t="shared" si="63"/>
        <v/>
      </c>
      <c r="D990" s="14" t="str">
        <f t="shared" si="64"/>
        <v/>
      </c>
      <c r="E990" s="6" t="str">
        <f>IF(C990="","",PMT(INPUTS!$B$5,INPUTS!$B$6,-INPUTS!$B$3,0,0))</f>
        <v/>
      </c>
      <c r="F990" s="6" t="str">
        <f>IF(C990="","",IPMT(INPUTS!$B$5,C990,INPUTS!$B$6,-INPUTS!$B$3,0,0))</f>
        <v/>
      </c>
      <c r="G990" s="6" t="str">
        <f>IF(C990="","",PPMT(INPUTS!$B$5,C990,INPUTS!$B$6,-INPUTS!$B$3,0,0))</f>
        <v/>
      </c>
      <c r="H990" s="6" t="str">
        <f t="shared" si="65"/>
        <v/>
      </c>
      <c r="I990" s="6" t="str">
        <f t="shared" si="62"/>
        <v/>
      </c>
    </row>
    <row r="991" spans="1:9" hidden="1" x14ac:dyDescent="0.3">
      <c r="A991" s="16" t="str">
        <f t="shared" si="63"/>
        <v/>
      </c>
      <c r="D991" s="14" t="str">
        <f t="shared" si="64"/>
        <v/>
      </c>
      <c r="E991" s="6" t="str">
        <f>IF(C991="","",PMT(INPUTS!$B$5,INPUTS!$B$6,-INPUTS!$B$3,0,0))</f>
        <v/>
      </c>
      <c r="F991" s="6" t="str">
        <f>IF(C991="","",IPMT(INPUTS!$B$5,C991,INPUTS!$B$6,-INPUTS!$B$3,0,0))</f>
        <v/>
      </c>
      <c r="G991" s="6" t="str">
        <f>IF(C991="","",PPMT(INPUTS!$B$5,C991,INPUTS!$B$6,-INPUTS!$B$3,0,0))</f>
        <v/>
      </c>
      <c r="H991" s="6" t="str">
        <f t="shared" si="65"/>
        <v/>
      </c>
      <c r="I991" s="6" t="str">
        <f t="shared" si="62"/>
        <v/>
      </c>
    </row>
    <row r="992" spans="1:9" hidden="1" x14ac:dyDescent="0.3">
      <c r="A992" s="16" t="str">
        <f t="shared" si="63"/>
        <v/>
      </c>
      <c r="D992" s="14" t="str">
        <f t="shared" si="64"/>
        <v/>
      </c>
      <c r="E992" s="6" t="str">
        <f>IF(C992="","",PMT(INPUTS!$B$5,INPUTS!$B$6,-INPUTS!$B$3,0,0))</f>
        <v/>
      </c>
      <c r="F992" s="6" t="str">
        <f>IF(C992="","",IPMT(INPUTS!$B$5,C992,INPUTS!$B$6,-INPUTS!$B$3,0,0))</f>
        <v/>
      </c>
      <c r="G992" s="6" t="str">
        <f>IF(C992="","",PPMT(INPUTS!$B$5,C992,INPUTS!$B$6,-INPUTS!$B$3,0,0))</f>
        <v/>
      </c>
      <c r="H992" s="6" t="str">
        <f t="shared" si="65"/>
        <v/>
      </c>
      <c r="I992" s="6" t="str">
        <f t="shared" si="62"/>
        <v/>
      </c>
    </row>
    <row r="993" spans="1:9" hidden="1" x14ac:dyDescent="0.3">
      <c r="A993" s="16" t="str">
        <f t="shared" si="63"/>
        <v/>
      </c>
      <c r="D993" s="14" t="str">
        <f t="shared" si="64"/>
        <v/>
      </c>
      <c r="E993" s="6" t="str">
        <f>IF(C993="","",PMT(INPUTS!$B$5,INPUTS!$B$6,-INPUTS!$B$3,0,0))</f>
        <v/>
      </c>
      <c r="F993" s="6" t="str">
        <f>IF(C993="","",IPMT(INPUTS!$B$5,C993,INPUTS!$B$6,-INPUTS!$B$3,0,0))</f>
        <v/>
      </c>
      <c r="G993" s="6" t="str">
        <f>IF(C993="","",PPMT(INPUTS!$B$5,C993,INPUTS!$B$6,-INPUTS!$B$3,0,0))</f>
        <v/>
      </c>
      <c r="H993" s="6" t="str">
        <f t="shared" si="65"/>
        <v/>
      </c>
      <c r="I993" s="6" t="str">
        <f t="shared" si="62"/>
        <v/>
      </c>
    </row>
    <row r="994" spans="1:9" hidden="1" x14ac:dyDescent="0.3">
      <c r="A994" s="16" t="str">
        <f t="shared" si="63"/>
        <v/>
      </c>
      <c r="D994" s="14" t="str">
        <f t="shared" si="64"/>
        <v/>
      </c>
      <c r="E994" s="6" t="str">
        <f>IF(C994="","",PMT(INPUTS!$B$5,INPUTS!$B$6,-INPUTS!$B$3,0,0))</f>
        <v/>
      </c>
      <c r="F994" s="6" t="str">
        <f>IF(C994="","",IPMT(INPUTS!$B$5,C994,INPUTS!$B$6,-INPUTS!$B$3,0,0))</f>
        <v/>
      </c>
      <c r="G994" s="6" t="str">
        <f>IF(C994="","",PPMT(INPUTS!$B$5,C994,INPUTS!$B$6,-INPUTS!$B$3,0,0))</f>
        <v/>
      </c>
      <c r="H994" s="6" t="str">
        <f t="shared" si="65"/>
        <v/>
      </c>
      <c r="I994" s="6" t="str">
        <f t="shared" si="62"/>
        <v/>
      </c>
    </row>
    <row r="995" spans="1:9" hidden="1" x14ac:dyDescent="0.3">
      <c r="A995" s="16" t="str">
        <f t="shared" si="63"/>
        <v/>
      </c>
      <c r="D995" s="14" t="str">
        <f t="shared" si="64"/>
        <v/>
      </c>
      <c r="E995" s="6" t="str">
        <f>IF(C995="","",PMT(INPUTS!$B$5,INPUTS!$B$6,-INPUTS!$B$3,0,0))</f>
        <v/>
      </c>
      <c r="F995" s="6" t="str">
        <f>IF(C995="","",IPMT(INPUTS!$B$5,C995,INPUTS!$B$6,-INPUTS!$B$3,0,0))</f>
        <v/>
      </c>
      <c r="G995" s="6" t="str">
        <f>IF(C995="","",PPMT(INPUTS!$B$5,C995,INPUTS!$B$6,-INPUTS!$B$3,0,0))</f>
        <v/>
      </c>
      <c r="H995" s="6" t="str">
        <f t="shared" si="65"/>
        <v/>
      </c>
      <c r="I995" s="6" t="str">
        <f t="shared" si="62"/>
        <v/>
      </c>
    </row>
    <row r="996" spans="1:9" hidden="1" x14ac:dyDescent="0.3">
      <c r="A996" s="16" t="str">
        <f t="shared" si="63"/>
        <v/>
      </c>
      <c r="D996" s="14" t="str">
        <f t="shared" si="64"/>
        <v/>
      </c>
      <c r="E996" s="6" t="str">
        <f>IF(C996="","",PMT(INPUTS!$B$5,INPUTS!$B$6,-INPUTS!$B$3,0,0))</f>
        <v/>
      </c>
      <c r="F996" s="6" t="str">
        <f>IF(C996="","",IPMT(INPUTS!$B$5,C996,INPUTS!$B$6,-INPUTS!$B$3,0,0))</f>
        <v/>
      </c>
      <c r="G996" s="6" t="str">
        <f>IF(C996="","",PPMT(INPUTS!$B$5,C996,INPUTS!$B$6,-INPUTS!$B$3,0,0))</f>
        <v/>
      </c>
      <c r="H996" s="6" t="str">
        <f t="shared" si="65"/>
        <v/>
      </c>
      <c r="I996" s="6" t="str">
        <f t="shared" si="62"/>
        <v/>
      </c>
    </row>
    <row r="997" spans="1:9" hidden="1" x14ac:dyDescent="0.3">
      <c r="A997" s="16" t="str">
        <f t="shared" si="63"/>
        <v/>
      </c>
      <c r="D997" s="14" t="str">
        <f t="shared" si="64"/>
        <v/>
      </c>
      <c r="E997" s="6" t="str">
        <f>IF(C997="","",PMT(INPUTS!$B$5,INPUTS!$B$6,-INPUTS!$B$3,0,0))</f>
        <v/>
      </c>
      <c r="F997" s="6" t="str">
        <f>IF(C997="","",IPMT(INPUTS!$B$5,C997,INPUTS!$B$6,-INPUTS!$B$3,0,0))</f>
        <v/>
      </c>
      <c r="G997" s="6" t="str">
        <f>IF(C997="","",PPMT(INPUTS!$B$5,C997,INPUTS!$B$6,-INPUTS!$B$3,0,0))</f>
        <v/>
      </c>
      <c r="H997" s="6" t="str">
        <f t="shared" si="65"/>
        <v/>
      </c>
      <c r="I997" s="6" t="str">
        <f t="shared" si="62"/>
        <v/>
      </c>
    </row>
    <row r="998" spans="1:9" hidden="1" x14ac:dyDescent="0.3">
      <c r="A998" s="16" t="str">
        <f t="shared" si="63"/>
        <v/>
      </c>
      <c r="D998" s="14" t="str">
        <f t="shared" si="64"/>
        <v/>
      </c>
      <c r="E998" s="6" t="str">
        <f>IF(C998="","",PMT(INPUTS!$B$5,INPUTS!$B$6,-INPUTS!$B$3,0,0))</f>
        <v/>
      </c>
      <c r="F998" s="6" t="str">
        <f>IF(C998="","",IPMT(INPUTS!$B$5,C998,INPUTS!$B$6,-INPUTS!$B$3,0,0))</f>
        <v/>
      </c>
      <c r="G998" s="6" t="str">
        <f>IF(C998="","",PPMT(INPUTS!$B$5,C998,INPUTS!$B$6,-INPUTS!$B$3,0,0))</f>
        <v/>
      </c>
      <c r="H998" s="6" t="str">
        <f t="shared" si="65"/>
        <v/>
      </c>
      <c r="I998" s="6" t="str">
        <f t="shared" si="62"/>
        <v/>
      </c>
    </row>
    <row r="999" spans="1:9" hidden="1" x14ac:dyDescent="0.3">
      <c r="A999" s="16" t="str">
        <f t="shared" si="63"/>
        <v/>
      </c>
      <c r="D999" s="14" t="str">
        <f t="shared" si="64"/>
        <v/>
      </c>
      <c r="E999" s="6" t="str">
        <f>IF(C999="","",PMT(INPUTS!$B$5,INPUTS!$B$6,-INPUTS!$B$3,0,0))</f>
        <v/>
      </c>
      <c r="F999" s="6" t="str">
        <f>IF(C999="","",IPMT(INPUTS!$B$5,C999,INPUTS!$B$6,-INPUTS!$B$3,0,0))</f>
        <v/>
      </c>
      <c r="G999" s="6" t="str">
        <f>IF(C999="","",PPMT(INPUTS!$B$5,C999,INPUTS!$B$6,-INPUTS!$B$3,0,0))</f>
        <v/>
      </c>
      <c r="H999" s="6" t="str">
        <f t="shared" si="65"/>
        <v/>
      </c>
      <c r="I999" s="6" t="str">
        <f t="shared" si="62"/>
        <v/>
      </c>
    </row>
    <row r="1000" spans="1:9" hidden="1" x14ac:dyDescent="0.3">
      <c r="A1000" s="16" t="str">
        <f t="shared" si="63"/>
        <v/>
      </c>
      <c r="D1000" s="14" t="str">
        <f t="shared" si="64"/>
        <v/>
      </c>
      <c r="E1000" s="6" t="str">
        <f>IF(C1000="","",PMT(INPUTS!$B$5,INPUTS!$B$6,-INPUTS!$B$3,0,0))</f>
        <v/>
      </c>
      <c r="F1000" s="6" t="str">
        <f>IF(C1000="","",IPMT(INPUTS!$B$5,C1000,INPUTS!$B$6,-INPUTS!$B$3,0,0))</f>
        <v/>
      </c>
      <c r="G1000" s="6" t="str">
        <f>IF(C1000="","",PPMT(INPUTS!$B$5,C1000,INPUTS!$B$6,-INPUTS!$B$3,0,0))</f>
        <v/>
      </c>
      <c r="H1000" s="6" t="str">
        <f t="shared" si="65"/>
        <v/>
      </c>
      <c r="I1000" s="6" t="str">
        <f t="shared" si="62"/>
        <v/>
      </c>
    </row>
    <row r="1001" spans="1:9" hidden="1" x14ac:dyDescent="0.3">
      <c r="A1001" s="16" t="str">
        <f t="shared" si="63"/>
        <v/>
      </c>
      <c r="D1001" s="14" t="str">
        <f t="shared" si="64"/>
        <v/>
      </c>
      <c r="E1001" s="6" t="str">
        <f>IF(C1001="","",PMT(INPUTS!$B$5,INPUTS!$B$6,-INPUTS!$B$3,0,0))</f>
        <v/>
      </c>
      <c r="F1001" s="6" t="str">
        <f>IF(C1001="","",IPMT(INPUTS!$B$5,C1001,INPUTS!$B$6,-INPUTS!$B$3,0,0))</f>
        <v/>
      </c>
      <c r="G1001" s="6" t="str">
        <f>IF(C1001="","",PPMT(INPUTS!$B$5,C1001,INPUTS!$B$6,-INPUTS!$B$3,0,0))</f>
        <v/>
      </c>
      <c r="H1001" s="6" t="str">
        <f t="shared" si="65"/>
        <v/>
      </c>
      <c r="I1001" s="6" t="str">
        <f t="shared" si="62"/>
        <v/>
      </c>
    </row>
    <row r="1002" spans="1:9" hidden="1" x14ac:dyDescent="0.3">
      <c r="A1002" s="16" t="str">
        <f t="shared" si="63"/>
        <v/>
      </c>
      <c r="D1002" s="14" t="str">
        <f t="shared" si="64"/>
        <v/>
      </c>
      <c r="E1002" s="6" t="str">
        <f>IF(C1002="","",PMT(INPUTS!$B$5,INPUTS!$B$6,-INPUTS!$B$3,0,0))</f>
        <v/>
      </c>
      <c r="F1002" s="6" t="str">
        <f>IF(C1002="","",IPMT(INPUTS!$B$5,C1002,INPUTS!$B$6,-INPUTS!$B$3,0,0))</f>
        <v/>
      </c>
      <c r="G1002" s="6" t="str">
        <f>IF(C1002="","",PPMT(INPUTS!$B$5,C1002,INPUTS!$B$6,-INPUTS!$B$3,0,0))</f>
        <v/>
      </c>
      <c r="H1002" s="6" t="str">
        <f t="shared" si="65"/>
        <v/>
      </c>
      <c r="I1002" s="6" t="str">
        <f t="shared" si="62"/>
        <v/>
      </c>
    </row>
    <row r="1003" spans="1:9" hidden="1" x14ac:dyDescent="0.3">
      <c r="A1003" s="16" t="str">
        <f t="shared" si="63"/>
        <v/>
      </c>
      <c r="D1003" s="14" t="str">
        <f t="shared" si="64"/>
        <v/>
      </c>
      <c r="E1003" s="6" t="str">
        <f>IF(C1003="","",PMT(INPUTS!$B$5,INPUTS!$B$6,-INPUTS!$B$3,0,0))</f>
        <v/>
      </c>
      <c r="F1003" s="6" t="str">
        <f>IF(C1003="","",IPMT(INPUTS!$B$5,C1003,INPUTS!$B$6,-INPUTS!$B$3,0,0))</f>
        <v/>
      </c>
      <c r="G1003" s="6" t="str">
        <f>IF(C1003="","",PPMT(INPUTS!$B$5,C1003,INPUTS!$B$6,-INPUTS!$B$3,0,0))</f>
        <v/>
      </c>
      <c r="H1003" s="6" t="str">
        <f t="shared" si="65"/>
        <v/>
      </c>
      <c r="I1003" s="6" t="str">
        <f t="shared" si="62"/>
        <v/>
      </c>
    </row>
    <row r="1004" spans="1:9" hidden="1" x14ac:dyDescent="0.3">
      <c r="A1004" s="16" t="str">
        <f t="shared" si="63"/>
        <v/>
      </c>
      <c r="D1004" s="14" t="str">
        <f t="shared" si="64"/>
        <v/>
      </c>
      <c r="E1004" s="6" t="str">
        <f>IF(C1004="","",PMT(INPUTS!$B$5,INPUTS!$B$6,-INPUTS!$B$3,0,0))</f>
        <v/>
      </c>
      <c r="F1004" s="6" t="str">
        <f>IF(C1004="","",IPMT(INPUTS!$B$5,C1004,INPUTS!$B$6,-INPUTS!$B$3,0,0))</f>
        <v/>
      </c>
      <c r="G1004" s="6" t="str">
        <f>IF(C1004="","",PPMT(INPUTS!$B$5,C1004,INPUTS!$B$6,-INPUTS!$B$3,0,0))</f>
        <v/>
      </c>
      <c r="H1004" s="6" t="str">
        <f t="shared" si="65"/>
        <v/>
      </c>
      <c r="I1004" s="6" t="str">
        <f t="shared" si="62"/>
        <v/>
      </c>
    </row>
    <row r="1005" spans="1:9" hidden="1" x14ac:dyDescent="0.3">
      <c r="A1005" s="16" t="str">
        <f t="shared" si="63"/>
        <v/>
      </c>
      <c r="D1005" s="14" t="str">
        <f t="shared" si="64"/>
        <v/>
      </c>
      <c r="E1005" s="6" t="str">
        <f>IF(C1005="","",PMT(INPUTS!$B$5,INPUTS!$B$6,-INPUTS!$B$3,0,0))</f>
        <v/>
      </c>
      <c r="F1005" s="6" t="str">
        <f>IF(C1005="","",IPMT(INPUTS!$B$5,C1005,INPUTS!$B$6,-INPUTS!$B$3,0,0))</f>
        <v/>
      </c>
      <c r="G1005" s="6" t="str">
        <f>IF(C1005="","",PPMT(INPUTS!$B$5,C1005,INPUTS!$B$6,-INPUTS!$B$3,0,0))</f>
        <v/>
      </c>
      <c r="H1005" s="6" t="str">
        <f t="shared" si="65"/>
        <v/>
      </c>
      <c r="I1005" s="6" t="str">
        <f t="shared" si="62"/>
        <v/>
      </c>
    </row>
    <row r="1006" spans="1:9" hidden="1" x14ac:dyDescent="0.3">
      <c r="A1006" s="16" t="str">
        <f t="shared" si="63"/>
        <v/>
      </c>
      <c r="D1006" s="14" t="str">
        <f t="shared" si="64"/>
        <v/>
      </c>
      <c r="E1006" s="6" t="str">
        <f>IF(C1006="","",PMT(INPUTS!$B$5,INPUTS!$B$6,-INPUTS!$B$3,0,0))</f>
        <v/>
      </c>
      <c r="F1006" s="6" t="str">
        <f>IF(C1006="","",IPMT(INPUTS!$B$5,C1006,INPUTS!$B$6,-INPUTS!$B$3,0,0))</f>
        <v/>
      </c>
      <c r="G1006" s="6" t="str">
        <f>IF(C1006="","",PPMT(INPUTS!$B$5,C1006,INPUTS!$B$6,-INPUTS!$B$3,0,0))</f>
        <v/>
      </c>
      <c r="H1006" s="6" t="str">
        <f t="shared" si="65"/>
        <v/>
      </c>
      <c r="I1006" s="6" t="str">
        <f t="shared" si="62"/>
        <v/>
      </c>
    </row>
    <row r="1007" spans="1:9" hidden="1" x14ac:dyDescent="0.3">
      <c r="A1007" s="16" t="str">
        <f t="shared" si="63"/>
        <v/>
      </c>
      <c r="D1007" s="14" t="str">
        <f t="shared" si="64"/>
        <v/>
      </c>
      <c r="E1007" s="6" t="str">
        <f>IF(C1007="","",PMT(INPUTS!$B$5,INPUTS!$B$6,-INPUTS!$B$3,0,0))</f>
        <v/>
      </c>
      <c r="F1007" s="6" t="str">
        <f>IF(C1007="","",IPMT(INPUTS!$B$5,C1007,INPUTS!$B$6,-INPUTS!$B$3,0,0))</f>
        <v/>
      </c>
      <c r="G1007" s="6" t="str">
        <f>IF(C1007="","",PPMT(INPUTS!$B$5,C1007,INPUTS!$B$6,-INPUTS!$B$3,0,0))</f>
        <v/>
      </c>
      <c r="H1007" s="6" t="str">
        <f t="shared" si="65"/>
        <v/>
      </c>
      <c r="I1007" s="6" t="str">
        <f t="shared" si="62"/>
        <v/>
      </c>
    </row>
    <row r="1008" spans="1:9" hidden="1" x14ac:dyDescent="0.3">
      <c r="A1008" s="16" t="str">
        <f t="shared" si="63"/>
        <v/>
      </c>
      <c r="D1008" s="14" t="str">
        <f t="shared" si="64"/>
        <v/>
      </c>
      <c r="E1008" s="6" t="str">
        <f>IF(C1008="","",PMT(INPUTS!$B$5,INPUTS!$B$6,-INPUTS!$B$3,0,0))</f>
        <v/>
      </c>
      <c r="F1008" s="6" t="str">
        <f>IF(C1008="","",IPMT(INPUTS!$B$5,C1008,INPUTS!$B$6,-INPUTS!$B$3,0,0))</f>
        <v/>
      </c>
      <c r="G1008" s="6" t="str">
        <f>IF(C1008="","",PPMT(INPUTS!$B$5,C1008,INPUTS!$B$6,-INPUTS!$B$3,0,0))</f>
        <v/>
      </c>
      <c r="H1008" s="6" t="str">
        <f t="shared" si="65"/>
        <v/>
      </c>
      <c r="I1008" s="6" t="str">
        <f t="shared" ref="I1008:I1017" si="66">IF(C1008="","",H1008-G1008)</f>
        <v/>
      </c>
    </row>
    <row r="1009" spans="1:9" hidden="1" x14ac:dyDescent="0.3">
      <c r="A1009" s="16" t="str">
        <f t="shared" si="63"/>
        <v/>
      </c>
      <c r="D1009" s="14" t="str">
        <f t="shared" si="64"/>
        <v/>
      </c>
      <c r="E1009" s="6" t="str">
        <f>IF(C1009="","",PMT(INPUTS!$B$5,INPUTS!$B$6,-INPUTS!$B$3,0,0))</f>
        <v/>
      </c>
      <c r="F1009" s="6" t="str">
        <f>IF(C1009="","",IPMT(INPUTS!$B$5,C1009,INPUTS!$B$6,-INPUTS!$B$3,0,0))</f>
        <v/>
      </c>
      <c r="G1009" s="6" t="str">
        <f>IF(C1009="","",PPMT(INPUTS!$B$5,C1009,INPUTS!$B$6,-INPUTS!$B$3,0,0))</f>
        <v/>
      </c>
      <c r="H1009" s="6" t="str">
        <f t="shared" si="65"/>
        <v/>
      </c>
      <c r="I1009" s="6" t="str">
        <f t="shared" si="66"/>
        <v/>
      </c>
    </row>
    <row r="1010" spans="1:9" hidden="1" x14ac:dyDescent="0.3">
      <c r="A1010" s="16" t="str">
        <f t="shared" si="63"/>
        <v/>
      </c>
      <c r="D1010" s="14" t="str">
        <f t="shared" si="64"/>
        <v/>
      </c>
      <c r="E1010" s="6" t="str">
        <f>IF(C1010="","",PMT(INPUTS!$B$5,INPUTS!$B$6,-INPUTS!$B$3,0,0))</f>
        <v/>
      </c>
      <c r="F1010" s="6" t="str">
        <f>IF(C1010="","",IPMT(INPUTS!$B$5,C1010,INPUTS!$B$6,-INPUTS!$B$3,0,0))</f>
        <v/>
      </c>
      <c r="G1010" s="6" t="str">
        <f>IF(C1010="","",PPMT(INPUTS!$B$5,C1010,INPUTS!$B$6,-INPUTS!$B$3,0,0))</f>
        <v/>
      </c>
      <c r="H1010" s="6" t="str">
        <f t="shared" si="65"/>
        <v/>
      </c>
      <c r="I1010" s="6" t="str">
        <f t="shared" si="66"/>
        <v/>
      </c>
    </row>
    <row r="1011" spans="1:9" hidden="1" x14ac:dyDescent="0.3">
      <c r="A1011" s="16" t="str">
        <f t="shared" si="63"/>
        <v/>
      </c>
      <c r="D1011" s="14" t="str">
        <f t="shared" si="64"/>
        <v/>
      </c>
      <c r="E1011" s="6" t="str">
        <f>IF(C1011="","",PMT(INPUTS!$B$5,INPUTS!$B$6,-INPUTS!$B$3,0,0))</f>
        <v/>
      </c>
      <c r="F1011" s="6" t="str">
        <f>IF(C1011="","",IPMT(INPUTS!$B$5,C1011,INPUTS!$B$6,-INPUTS!$B$3,0,0))</f>
        <v/>
      </c>
      <c r="G1011" s="6" t="str">
        <f>IF(C1011="","",PPMT(INPUTS!$B$5,C1011,INPUTS!$B$6,-INPUTS!$B$3,0,0))</f>
        <v/>
      </c>
      <c r="H1011" s="6" t="str">
        <f t="shared" si="65"/>
        <v/>
      </c>
      <c r="I1011" s="6" t="str">
        <f t="shared" si="66"/>
        <v/>
      </c>
    </row>
    <row r="1012" spans="1:9" hidden="1" x14ac:dyDescent="0.3">
      <c r="A1012" s="16" t="str">
        <f t="shared" si="63"/>
        <v/>
      </c>
      <c r="D1012" s="14" t="str">
        <f t="shared" si="64"/>
        <v/>
      </c>
      <c r="E1012" s="6" t="str">
        <f>IF(C1012="","",PMT(INPUTS!$B$5,INPUTS!$B$6,-INPUTS!$B$3,0,0))</f>
        <v/>
      </c>
      <c r="F1012" s="6" t="str">
        <f>IF(C1012="","",IPMT(INPUTS!$B$5,C1012,INPUTS!$B$6,-INPUTS!$B$3,0,0))</f>
        <v/>
      </c>
      <c r="G1012" s="6" t="str">
        <f>IF(C1012="","",PPMT(INPUTS!$B$5,C1012,INPUTS!$B$6,-INPUTS!$B$3,0,0))</f>
        <v/>
      </c>
      <c r="H1012" s="6" t="str">
        <f t="shared" si="65"/>
        <v/>
      </c>
      <c r="I1012" s="6" t="str">
        <f t="shared" si="66"/>
        <v/>
      </c>
    </row>
    <row r="1013" spans="1:9" hidden="1" x14ac:dyDescent="0.3">
      <c r="A1013" s="16" t="str">
        <f t="shared" si="63"/>
        <v/>
      </c>
      <c r="D1013" s="14" t="str">
        <f t="shared" si="64"/>
        <v/>
      </c>
      <c r="E1013" s="6" t="str">
        <f>IF(C1013="","",PMT(INPUTS!$B$5,INPUTS!$B$6,-INPUTS!$B$3,0,0))</f>
        <v/>
      </c>
      <c r="F1013" s="6" t="str">
        <f>IF(C1013="","",IPMT(INPUTS!$B$5,C1013,INPUTS!$B$6,-INPUTS!$B$3,0,0))</f>
        <v/>
      </c>
      <c r="G1013" s="6" t="str">
        <f>IF(C1013="","",PPMT(INPUTS!$B$5,C1013,INPUTS!$B$6,-INPUTS!$B$3,0,0))</f>
        <v/>
      </c>
      <c r="H1013" s="6" t="str">
        <f t="shared" si="65"/>
        <v/>
      </c>
      <c r="I1013" s="6" t="str">
        <f t="shared" si="66"/>
        <v/>
      </c>
    </row>
    <row r="1014" spans="1:9" hidden="1" x14ac:dyDescent="0.3">
      <c r="A1014" s="16" t="str">
        <f t="shared" si="63"/>
        <v/>
      </c>
      <c r="D1014" s="14" t="str">
        <f t="shared" si="64"/>
        <v/>
      </c>
      <c r="E1014" s="6" t="str">
        <f>IF(C1014="","",PMT(INPUTS!$B$5,INPUTS!$B$6,-INPUTS!$B$3,0,0))</f>
        <v/>
      </c>
      <c r="F1014" s="6" t="str">
        <f>IF(C1014="","",IPMT(INPUTS!$B$5,C1014,INPUTS!$B$6,-INPUTS!$B$3,0,0))</f>
        <v/>
      </c>
      <c r="G1014" s="6" t="str">
        <f>IF(C1014="","",PPMT(INPUTS!$B$5,C1014,INPUTS!$B$6,-INPUTS!$B$3,0,0))</f>
        <v/>
      </c>
      <c r="H1014" s="6" t="str">
        <f t="shared" si="65"/>
        <v/>
      </c>
      <c r="I1014" s="6" t="str">
        <f t="shared" si="66"/>
        <v/>
      </c>
    </row>
    <row r="1015" spans="1:9" hidden="1" x14ac:dyDescent="0.3">
      <c r="A1015" s="16" t="str">
        <f t="shared" si="63"/>
        <v/>
      </c>
      <c r="D1015" s="14" t="str">
        <f t="shared" si="64"/>
        <v/>
      </c>
      <c r="E1015" s="6" t="str">
        <f>IF(C1015="","",PMT(INPUTS!$B$5,INPUTS!$B$6,-INPUTS!$B$3,0,0))</f>
        <v/>
      </c>
      <c r="F1015" s="6" t="str">
        <f>IF(C1015="","",IPMT(INPUTS!$B$5,C1015,INPUTS!$B$6,-INPUTS!$B$3,0,0))</f>
        <v/>
      </c>
      <c r="G1015" s="6" t="str">
        <f>IF(C1015="","",PPMT(INPUTS!$B$5,C1015,INPUTS!$B$6,-INPUTS!$B$3,0,0))</f>
        <v/>
      </c>
      <c r="H1015" s="6" t="str">
        <f t="shared" si="65"/>
        <v/>
      </c>
      <c r="I1015" s="6" t="str">
        <f t="shared" si="66"/>
        <v/>
      </c>
    </row>
    <row r="1016" spans="1:9" hidden="1" x14ac:dyDescent="0.3">
      <c r="A1016" s="16" t="str">
        <f t="shared" si="63"/>
        <v/>
      </c>
      <c r="D1016" s="14" t="str">
        <f t="shared" si="64"/>
        <v/>
      </c>
      <c r="E1016" s="6" t="str">
        <f>IF(C1016="","",PMT(INPUTS!$B$5,INPUTS!$B$6,-INPUTS!$B$3,0,0))</f>
        <v/>
      </c>
      <c r="F1016" s="6" t="str">
        <f>IF(C1016="","",IPMT(INPUTS!$B$5,C1016,INPUTS!$B$6,-INPUTS!$B$3,0,0))</f>
        <v/>
      </c>
      <c r="G1016" s="6" t="str">
        <f>IF(C1016="","",PPMT(INPUTS!$B$5,C1016,INPUTS!$B$6,-INPUTS!$B$3,0,0))</f>
        <v/>
      </c>
      <c r="H1016" s="6" t="str">
        <f t="shared" si="65"/>
        <v/>
      </c>
      <c r="I1016" s="6" t="str">
        <f t="shared" si="66"/>
        <v/>
      </c>
    </row>
    <row r="1017" spans="1:9" hidden="1" x14ac:dyDescent="0.3">
      <c r="A1017" s="16" t="str">
        <f t="shared" si="63"/>
        <v/>
      </c>
      <c r="D1017" s="14" t="str">
        <f t="shared" si="64"/>
        <v/>
      </c>
      <c r="E1017" s="6" t="str">
        <f>IF(C1017="","",PMT(INPUTS!$B$5,INPUTS!$B$6,-INPUTS!$B$3,0,0))</f>
        <v/>
      </c>
      <c r="F1017" s="6" t="str">
        <f>IF(C1017="","",IPMT(INPUTS!$B$5,C1017,INPUTS!$B$6,-INPUTS!$B$3,0,0))</f>
        <v/>
      </c>
      <c r="G1017" s="6" t="str">
        <f>IF(C1017="","",PPMT(INPUTS!$B$5,C1017,INPUTS!$B$6,-INPUTS!$B$3,0,0))</f>
        <v/>
      </c>
      <c r="H1017" s="6" t="str">
        <f t="shared" si="65"/>
        <v/>
      </c>
      <c r="I1017" s="6" t="str">
        <f t="shared" si="66"/>
        <v/>
      </c>
    </row>
  </sheetData>
  <autoFilter ref="A16:M1017" xr:uid="{F12F11FF-784E-48E3-8015-B43BB75BFDCC}">
    <filterColumn colId="3">
      <customFilters>
        <customFilter operator="notEqual" val=" "/>
      </customFilters>
    </filterColumn>
  </autoFilter>
  <mergeCells count="8">
    <mergeCell ref="E14:F14"/>
    <mergeCell ref="C1:I5"/>
    <mergeCell ref="E11:F11"/>
    <mergeCell ref="G11:H11"/>
    <mergeCell ref="E12:F12"/>
    <mergeCell ref="G12:H12"/>
    <mergeCell ref="E13:F13"/>
    <mergeCell ref="C7:I7"/>
  </mergeCells>
  <pageMargins left="0.7" right="0.7" top="0.75" bottom="0.75" header="0.3" footer="0.3"/>
  <pageSetup orientation="portrait" r:id="rId1"/>
  <headerFooter>
    <oddFooter>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106FC-A4AD-48A3-A1FD-E4B1555D23CB}">
  <sheetPr codeName="Sheet3" filterMode="1">
    <tabColor rgb="FF7030A0"/>
  </sheetPr>
  <dimension ref="A1:V1018"/>
  <sheetViews>
    <sheetView showGridLines="0" zoomScaleNormal="100" workbookViewId="0">
      <pane ySplit="17" topLeftCell="A18" activePane="bottomLeft" state="frozen"/>
      <selection pane="bottomLeft" activeCell="I21" sqref="I21"/>
    </sheetView>
  </sheetViews>
  <sheetFormatPr defaultRowHeight="14.4" x14ac:dyDescent="0.3"/>
  <cols>
    <col min="1" max="1" width="14.44140625" style="1" customWidth="1"/>
    <col min="2" max="2" width="11.77734375" customWidth="1"/>
    <col min="3" max="3" width="13.77734375" customWidth="1"/>
    <col min="4" max="5" width="12.44140625" bestFit="1" customWidth="1"/>
    <col min="6" max="6" width="15.5546875" bestFit="1" customWidth="1"/>
    <col min="22" max="22" width="9.5546875" bestFit="1" customWidth="1"/>
  </cols>
  <sheetData>
    <row r="1" spans="1:22" x14ac:dyDescent="0.3">
      <c r="A1" s="32" t="s">
        <v>31</v>
      </c>
      <c r="B1" s="32"/>
      <c r="C1" s="32"/>
      <c r="D1" s="32"/>
      <c r="E1" s="32"/>
      <c r="F1" s="32"/>
    </row>
    <row r="2" spans="1:22" x14ac:dyDescent="0.3">
      <c r="A2" s="32"/>
      <c r="B2" s="32"/>
      <c r="C2" s="32"/>
      <c r="D2" s="32"/>
      <c r="E2" s="32"/>
      <c r="F2" s="32"/>
      <c r="V2" s="14"/>
    </row>
    <row r="3" spans="1:22" x14ac:dyDescent="0.3">
      <c r="A3" s="32"/>
      <c r="B3" s="32"/>
      <c r="C3" s="32"/>
      <c r="D3" s="32"/>
      <c r="E3" s="32"/>
      <c r="F3" s="32"/>
      <c r="V3" s="14"/>
    </row>
    <row r="4" spans="1:22" x14ac:dyDescent="0.3">
      <c r="A4" s="32"/>
      <c r="B4" s="32"/>
      <c r="C4" s="32"/>
      <c r="D4" s="32"/>
      <c r="E4" s="32"/>
      <c r="F4" s="32"/>
    </row>
    <row r="5" spans="1:22" x14ac:dyDescent="0.3">
      <c r="A5" s="32"/>
      <c r="B5" s="32"/>
      <c r="C5" s="32"/>
      <c r="D5" s="32"/>
      <c r="E5" s="32"/>
      <c r="F5" s="32"/>
    </row>
    <row r="6" spans="1:22" x14ac:dyDescent="0.3">
      <c r="A6"/>
      <c r="B6" s="1"/>
    </row>
    <row r="7" spans="1:22" x14ac:dyDescent="0.3">
      <c r="A7" s="35" t="str">
        <f>"AMORTIZATION SCHEDULE SUMMARY: "&amp;INPUTS!$B$9&amp;" (ANNUAL)"</f>
        <v>AMORTIZATION SCHEDULE SUMMARY: SASUKE UCHIHA (ANNUAL)</v>
      </c>
      <c r="B7" s="35"/>
      <c r="C7" s="35"/>
      <c r="D7" s="35"/>
      <c r="E7" s="35"/>
      <c r="F7" s="35"/>
      <c r="G7" s="35"/>
    </row>
    <row r="8" spans="1:22" x14ac:dyDescent="0.3">
      <c r="A8" s="10" t="s">
        <v>11</v>
      </c>
      <c r="B8" s="27">
        <f>INPUTS!$B$3</f>
        <v>650000</v>
      </c>
      <c r="C8" s="16" t="str">
        <f>"amortized over"&amp;" "&amp;INPUTS!$B$6/12&amp;" years at "&amp;ROUND(INPUTS!$B$4*100,4)&amp;" %"</f>
        <v>amortized over 1 years at 126 %</v>
      </c>
      <c r="D8" s="1"/>
      <c r="E8" s="3"/>
      <c r="F8" s="3"/>
    </row>
    <row r="9" spans="1:22" x14ac:dyDescent="0.3">
      <c r="A9" s="10" t="s">
        <v>12</v>
      </c>
      <c r="B9" s="26" t="str">
        <f>Txt_Dates!B2&amp;"/"&amp;Txt_Dates!C2&amp;"/"&amp;Txt_Dates!D2&amp;" with first payment on "&amp;Txt_Dates!B3&amp;"/"&amp;Txt_Dates!C3&amp;"/"&amp;Txt_Dates!D3</f>
        <v>2/23/2024 with first payment on 3/23/2004</v>
      </c>
      <c r="C9" s="1"/>
      <c r="D9" s="1"/>
      <c r="E9" s="3"/>
      <c r="F9" s="3"/>
    </row>
    <row r="10" spans="1:22" x14ac:dyDescent="0.3">
      <c r="A10" s="10" t="s">
        <v>13</v>
      </c>
      <c r="B10" s="16" t="s">
        <v>14</v>
      </c>
      <c r="C10" s="3"/>
      <c r="D10" s="3"/>
      <c r="E10" s="3"/>
      <c r="F10" s="3"/>
    </row>
    <row r="11" spans="1:22" x14ac:dyDescent="0.3">
      <c r="A11" s="3" t="s">
        <v>15</v>
      </c>
      <c r="B11" s="33" t="s">
        <v>16</v>
      </c>
      <c r="C11" s="33"/>
      <c r="D11" s="33" t="s">
        <v>17</v>
      </c>
      <c r="E11" s="33"/>
      <c r="F11" s="3" t="s">
        <v>18</v>
      </c>
    </row>
    <row r="12" spans="1:22" x14ac:dyDescent="0.3">
      <c r="A12" s="23">
        <f>INPUTS!$B$4</f>
        <v>1.26</v>
      </c>
      <c r="B12" s="31">
        <f>D16</f>
        <v>522938.61595117243</v>
      </c>
      <c r="C12" s="31"/>
      <c r="D12" s="31">
        <f>INPUTS!$B$3</f>
        <v>650000</v>
      </c>
      <c r="E12" s="31"/>
      <c r="F12" s="24">
        <f>$B$12+$D$12</f>
        <v>1172938.6159511725</v>
      </c>
    </row>
    <row r="13" spans="1:22" x14ac:dyDescent="0.3">
      <c r="A13" s="11" t="s">
        <v>20</v>
      </c>
      <c r="B13" s="34" t="s">
        <v>21</v>
      </c>
      <c r="C13" s="34"/>
      <c r="D13" s="12"/>
      <c r="E13" s="12"/>
      <c r="F13" s="12"/>
    </row>
    <row r="14" spans="1:22" x14ac:dyDescent="0.3">
      <c r="A14" s="1">
        <f>INPUTS!$B$6</f>
        <v>12</v>
      </c>
      <c r="B14" s="31">
        <f>Amortization!$E$14</f>
        <v>97744.884662597702</v>
      </c>
      <c r="C14" s="31"/>
      <c r="D14" s="12"/>
      <c r="E14" s="12"/>
      <c r="F14" s="12"/>
    </row>
    <row r="15" spans="1:22" x14ac:dyDescent="0.3">
      <c r="A15"/>
      <c r="B15" s="1"/>
      <c r="C15" s="29"/>
      <c r="D15" s="29"/>
      <c r="E15" s="29"/>
    </row>
    <row r="16" spans="1:22" x14ac:dyDescent="0.3">
      <c r="B16" s="22" t="s">
        <v>26</v>
      </c>
      <c r="C16" s="28">
        <f>SUM(C18:C1018)</f>
        <v>1172938.6159511723</v>
      </c>
      <c r="D16" s="28">
        <f t="shared" ref="D16:E16" si="0">SUM(D18:D1018)</f>
        <v>522938.61595117243</v>
      </c>
      <c r="E16" s="28">
        <f t="shared" si="0"/>
        <v>650000.00000000012</v>
      </c>
    </row>
    <row r="17" spans="1:11" ht="28.8" x14ac:dyDescent="0.3">
      <c r="A17" s="3" t="str">
        <f>Amortization!C16</f>
        <v>Pmt No.</v>
      </c>
      <c r="B17" s="9" t="s">
        <v>23</v>
      </c>
      <c r="C17" s="9" t="s">
        <v>7</v>
      </c>
      <c r="D17" s="9" t="s">
        <v>8</v>
      </c>
      <c r="E17" s="9" t="s">
        <v>9</v>
      </c>
      <c r="K17" s="21"/>
    </row>
    <row r="18" spans="1:11" x14ac:dyDescent="0.3">
      <c r="A18" s="1" cm="1">
        <f t="array" ref="A18:A38">_xlfn.SEQUENCE(YEAR(MAX(Amortization!$D$17:$D$1017))-YEAR(MIN(Amortization!$D$17:$D$1017))+1,1,1,1)</f>
        <v>1</v>
      </c>
      <c r="B18" s="1">
        <f>YEAR(MIN(Amortization!$D$17:$D$1017))</f>
        <v>2004</v>
      </c>
      <c r="C18" s="17">
        <f>IF($A18="","",SUMIFS(Amortization!E$17:E$1017,Amortization!$A$17:$A$1017,$B18))</f>
        <v>977448.84662597685</v>
      </c>
      <c r="D18" s="17">
        <f>IF($A18="","",SUMIFS(Amortization!F$17:F$1017,Amortization!$A$17:$A$1017,$B18))</f>
        <v>495957.25735857314</v>
      </c>
      <c r="E18" s="17">
        <f>IF($A18="","",SUMIFS(Amortization!G$17:G$1017,Amortization!$A$17:$A$1017,$B18))</f>
        <v>481491.58926740399</v>
      </c>
    </row>
    <row r="19" spans="1:11" x14ac:dyDescent="0.3">
      <c r="A19" s="1">
        <v>2</v>
      </c>
      <c r="B19" s="1">
        <f t="shared" ref="B19:B82" si="1">IF(A19="","",B18+1)</f>
        <v>2005</v>
      </c>
      <c r="C19" s="17">
        <f>IF($A19="","",SUMIFS(Amortization!E$17:E$1017,Amortization!$A$17:$A$1017,$B19))</f>
        <v>195489.7693251954</v>
      </c>
      <c r="D19" s="17">
        <f>IF($A19="","",SUMIFS(Amortization!F$17:F$1017,Amortization!$A$17:$A$1017,$B19))</f>
        <v>26981.358592599296</v>
      </c>
      <c r="E19" s="17">
        <f>IF($A19="","",SUMIFS(Amortization!G$17:G$1017,Amortization!$A$17:$A$1017,$B19))</f>
        <v>168508.41073259612</v>
      </c>
    </row>
    <row r="20" spans="1:11" x14ac:dyDescent="0.3">
      <c r="A20" s="1">
        <v>3</v>
      </c>
      <c r="B20" s="1">
        <f t="shared" si="1"/>
        <v>2006</v>
      </c>
      <c r="C20" s="17">
        <f>IF($A20="","",SUMIFS(Amortization!E$17:E$1017,Amortization!$A$17:$A$1017,$B20))</f>
        <v>0</v>
      </c>
      <c r="D20" s="17">
        <f>IF($A20="","",SUMIFS(Amortization!F$17:F$1017,Amortization!$A$17:$A$1017,$B20))</f>
        <v>0</v>
      </c>
      <c r="E20" s="17">
        <f>IF($A20="","",SUMIFS(Amortization!G$17:G$1017,Amortization!$A$17:$A$1017,$B20))</f>
        <v>0</v>
      </c>
    </row>
    <row r="21" spans="1:11" x14ac:dyDescent="0.3">
      <c r="A21" s="1">
        <v>4</v>
      </c>
      <c r="B21" s="1">
        <f t="shared" si="1"/>
        <v>2007</v>
      </c>
      <c r="C21" s="17">
        <f>IF($A21="","",SUMIFS(Amortization!E$17:E$1017,Amortization!$A$17:$A$1017,$B21))</f>
        <v>0</v>
      </c>
      <c r="D21" s="17">
        <f>IF($A21="","",SUMIFS(Amortization!F$17:F$1017,Amortization!$A$17:$A$1017,$B21))</f>
        <v>0</v>
      </c>
      <c r="E21" s="17">
        <f>IF($A21="","",SUMIFS(Amortization!G$17:G$1017,Amortization!$A$17:$A$1017,$B21))</f>
        <v>0</v>
      </c>
    </row>
    <row r="22" spans="1:11" x14ac:dyDescent="0.3">
      <c r="A22" s="1">
        <v>5</v>
      </c>
      <c r="B22" s="1">
        <f t="shared" si="1"/>
        <v>2008</v>
      </c>
      <c r="C22" s="17">
        <f>IF($A22="","",SUMIFS(Amortization!E$17:E$1017,Amortization!$A$17:$A$1017,$B22))</f>
        <v>0</v>
      </c>
      <c r="D22" s="17">
        <f>IF($A22="","",SUMIFS(Amortization!F$17:F$1017,Amortization!$A$17:$A$1017,$B22))</f>
        <v>0</v>
      </c>
      <c r="E22" s="17">
        <f>IF($A22="","",SUMIFS(Amortization!G$17:G$1017,Amortization!$A$17:$A$1017,$B22))</f>
        <v>0</v>
      </c>
    </row>
    <row r="23" spans="1:11" x14ac:dyDescent="0.3">
      <c r="A23" s="1">
        <v>6</v>
      </c>
      <c r="B23" s="1">
        <f t="shared" si="1"/>
        <v>2009</v>
      </c>
      <c r="C23" s="17">
        <f>IF($A23="","",SUMIFS(Amortization!E$17:E$1017,Amortization!$A$17:$A$1017,$B23))</f>
        <v>0</v>
      </c>
      <c r="D23" s="17">
        <f>IF($A23="","",SUMIFS(Amortization!F$17:F$1017,Amortization!$A$17:$A$1017,$B23))</f>
        <v>0</v>
      </c>
      <c r="E23" s="17">
        <f>IF($A23="","",SUMIFS(Amortization!G$17:G$1017,Amortization!$A$17:$A$1017,$B23))</f>
        <v>0</v>
      </c>
    </row>
    <row r="24" spans="1:11" x14ac:dyDescent="0.3">
      <c r="A24" s="1">
        <v>7</v>
      </c>
      <c r="B24" s="1">
        <f t="shared" si="1"/>
        <v>2010</v>
      </c>
      <c r="C24" s="17">
        <f>IF($A24="","",SUMIFS(Amortization!E$17:E$1017,Amortization!$A$17:$A$1017,$B24))</f>
        <v>0</v>
      </c>
      <c r="D24" s="17">
        <f>IF($A24="","",SUMIFS(Amortization!F$17:F$1017,Amortization!$A$17:$A$1017,$B24))</f>
        <v>0</v>
      </c>
      <c r="E24" s="17">
        <f>IF($A24="","",SUMIFS(Amortization!G$17:G$1017,Amortization!$A$17:$A$1017,$B24))</f>
        <v>0</v>
      </c>
    </row>
    <row r="25" spans="1:11" x14ac:dyDescent="0.3">
      <c r="A25" s="1">
        <v>8</v>
      </c>
      <c r="B25" s="1">
        <f t="shared" si="1"/>
        <v>2011</v>
      </c>
      <c r="C25" s="17">
        <f>IF($A25="","",SUMIFS(Amortization!E$17:E$1017,Amortization!$A$17:$A$1017,$B25))</f>
        <v>0</v>
      </c>
      <c r="D25" s="17">
        <f>IF($A25="","",SUMIFS(Amortization!F$17:F$1017,Amortization!$A$17:$A$1017,$B25))</f>
        <v>0</v>
      </c>
      <c r="E25" s="17">
        <f>IF($A25="","",SUMIFS(Amortization!G$17:G$1017,Amortization!$A$17:$A$1017,$B25))</f>
        <v>0</v>
      </c>
    </row>
    <row r="26" spans="1:11" x14ac:dyDescent="0.3">
      <c r="A26" s="1">
        <v>9</v>
      </c>
      <c r="B26" s="1">
        <f t="shared" si="1"/>
        <v>2012</v>
      </c>
      <c r="C26" s="17">
        <f>IF($A26="","",SUMIFS(Amortization!E$17:E$1017,Amortization!$A$17:$A$1017,$B26))</f>
        <v>0</v>
      </c>
      <c r="D26" s="17">
        <f>IF($A26="","",SUMIFS(Amortization!F$17:F$1017,Amortization!$A$17:$A$1017,$B26))</f>
        <v>0</v>
      </c>
      <c r="E26" s="17">
        <f>IF($A26="","",SUMIFS(Amortization!G$17:G$1017,Amortization!$A$17:$A$1017,$B26))</f>
        <v>0</v>
      </c>
    </row>
    <row r="27" spans="1:11" x14ac:dyDescent="0.3">
      <c r="A27" s="1">
        <v>10</v>
      </c>
      <c r="B27" s="1">
        <f t="shared" si="1"/>
        <v>2013</v>
      </c>
      <c r="C27" s="17">
        <f>IF($A27="","",SUMIFS(Amortization!E$17:E$1017,Amortization!$A$17:$A$1017,$B27))</f>
        <v>0</v>
      </c>
      <c r="D27" s="17">
        <f>IF($A27="","",SUMIFS(Amortization!F$17:F$1017,Amortization!$A$17:$A$1017,$B27))</f>
        <v>0</v>
      </c>
      <c r="E27" s="17">
        <f>IF($A27="","",SUMIFS(Amortization!G$17:G$1017,Amortization!$A$17:$A$1017,$B27))</f>
        <v>0</v>
      </c>
    </row>
    <row r="28" spans="1:11" x14ac:dyDescent="0.3">
      <c r="A28" s="1">
        <v>11</v>
      </c>
      <c r="B28" s="1">
        <f t="shared" si="1"/>
        <v>2014</v>
      </c>
      <c r="C28" s="17">
        <f>IF($A28="","",SUMIFS(Amortization!E$17:E$1017,Amortization!$A$17:$A$1017,$B28))</f>
        <v>0</v>
      </c>
      <c r="D28" s="17">
        <f>IF($A28="","",SUMIFS(Amortization!F$17:F$1017,Amortization!$A$17:$A$1017,$B28))</f>
        <v>0</v>
      </c>
      <c r="E28" s="17">
        <f>IF($A28="","",SUMIFS(Amortization!G$17:G$1017,Amortization!$A$17:$A$1017,$B28))</f>
        <v>0</v>
      </c>
    </row>
    <row r="29" spans="1:11" x14ac:dyDescent="0.3">
      <c r="A29" s="1">
        <v>12</v>
      </c>
      <c r="B29" s="1">
        <f t="shared" si="1"/>
        <v>2015</v>
      </c>
      <c r="C29" s="17">
        <f>IF($A29="","",SUMIFS(Amortization!E$17:E$1017,Amortization!$A$17:$A$1017,$B29))</f>
        <v>0</v>
      </c>
      <c r="D29" s="17">
        <f>IF($A29="","",SUMIFS(Amortization!F$17:F$1017,Amortization!$A$17:$A$1017,$B29))</f>
        <v>0</v>
      </c>
      <c r="E29" s="17">
        <f>IF($A29="","",SUMIFS(Amortization!G$17:G$1017,Amortization!$A$17:$A$1017,$B29))</f>
        <v>0</v>
      </c>
    </row>
    <row r="30" spans="1:11" x14ac:dyDescent="0.3">
      <c r="A30" s="1">
        <v>13</v>
      </c>
      <c r="B30" s="1">
        <f t="shared" si="1"/>
        <v>2016</v>
      </c>
      <c r="C30" s="17">
        <f>IF($A30="","",SUMIFS(Amortization!E$17:E$1017,Amortization!$A$17:$A$1017,$B30))</f>
        <v>0</v>
      </c>
      <c r="D30" s="17">
        <f>IF($A30="","",SUMIFS(Amortization!F$17:F$1017,Amortization!$A$17:$A$1017,$B30))</f>
        <v>0</v>
      </c>
      <c r="E30" s="17">
        <f>IF($A30="","",SUMIFS(Amortization!G$17:G$1017,Amortization!$A$17:$A$1017,$B30))</f>
        <v>0</v>
      </c>
    </row>
    <row r="31" spans="1:11" x14ac:dyDescent="0.3">
      <c r="A31" s="1">
        <v>14</v>
      </c>
      <c r="B31" s="1">
        <f t="shared" si="1"/>
        <v>2017</v>
      </c>
      <c r="C31" s="17">
        <f>IF($A31="","",SUMIFS(Amortization!E$17:E$1017,Amortization!$A$17:$A$1017,$B31))</f>
        <v>0</v>
      </c>
      <c r="D31" s="17">
        <f>IF($A31="","",SUMIFS(Amortization!F$17:F$1017,Amortization!$A$17:$A$1017,$B31))</f>
        <v>0</v>
      </c>
      <c r="E31" s="17">
        <f>IF($A31="","",SUMIFS(Amortization!G$17:G$1017,Amortization!$A$17:$A$1017,$B31))</f>
        <v>0</v>
      </c>
    </row>
    <row r="32" spans="1:11" x14ac:dyDescent="0.3">
      <c r="A32" s="1">
        <v>15</v>
      </c>
      <c r="B32" s="1">
        <f t="shared" si="1"/>
        <v>2018</v>
      </c>
      <c r="C32" s="17">
        <f>IF($A32="","",SUMIFS(Amortization!E$17:E$1017,Amortization!$A$17:$A$1017,$B32))</f>
        <v>0</v>
      </c>
      <c r="D32" s="17">
        <f>IF($A32="","",SUMIFS(Amortization!F$17:F$1017,Amortization!$A$17:$A$1017,$B32))</f>
        <v>0</v>
      </c>
      <c r="E32" s="17">
        <f>IF($A32="","",SUMIFS(Amortization!G$17:G$1017,Amortization!$A$17:$A$1017,$B32))</f>
        <v>0</v>
      </c>
    </row>
    <row r="33" spans="1:5" x14ac:dyDescent="0.3">
      <c r="A33" s="1">
        <v>16</v>
      </c>
      <c r="B33" s="1">
        <f t="shared" si="1"/>
        <v>2019</v>
      </c>
      <c r="C33" s="17">
        <f>IF($A33="","",SUMIFS(Amortization!E$17:E$1017,Amortization!$A$17:$A$1017,$B33))</f>
        <v>0</v>
      </c>
      <c r="D33" s="17">
        <f>IF($A33="","",SUMIFS(Amortization!F$17:F$1017,Amortization!$A$17:$A$1017,$B33))</f>
        <v>0</v>
      </c>
      <c r="E33" s="17">
        <f>IF($A33="","",SUMIFS(Amortization!G$17:G$1017,Amortization!$A$17:$A$1017,$B33))</f>
        <v>0</v>
      </c>
    </row>
    <row r="34" spans="1:5" x14ac:dyDescent="0.3">
      <c r="A34" s="1">
        <v>17</v>
      </c>
      <c r="B34" s="1">
        <f t="shared" si="1"/>
        <v>2020</v>
      </c>
      <c r="C34" s="17">
        <f>IF($A34="","",SUMIFS(Amortization!E$17:E$1017,Amortization!$A$17:$A$1017,$B34))</f>
        <v>0</v>
      </c>
      <c r="D34" s="17">
        <f>IF($A34="","",SUMIFS(Amortization!F$17:F$1017,Amortization!$A$17:$A$1017,$B34))</f>
        <v>0</v>
      </c>
      <c r="E34" s="17">
        <f>IF($A34="","",SUMIFS(Amortization!G$17:G$1017,Amortization!$A$17:$A$1017,$B34))</f>
        <v>0</v>
      </c>
    </row>
    <row r="35" spans="1:5" x14ac:dyDescent="0.3">
      <c r="A35" s="1">
        <v>18</v>
      </c>
      <c r="B35" s="1">
        <f t="shared" si="1"/>
        <v>2021</v>
      </c>
      <c r="C35" s="17">
        <f>IF($A35="","",SUMIFS(Amortization!E$17:E$1017,Amortization!$A$17:$A$1017,$B35))</f>
        <v>0</v>
      </c>
      <c r="D35" s="17">
        <f>IF($A35="","",SUMIFS(Amortization!F$17:F$1017,Amortization!$A$17:$A$1017,$B35))</f>
        <v>0</v>
      </c>
      <c r="E35" s="17">
        <f>IF($A35="","",SUMIFS(Amortization!G$17:G$1017,Amortization!$A$17:$A$1017,$B35))</f>
        <v>0</v>
      </c>
    </row>
    <row r="36" spans="1:5" x14ac:dyDescent="0.3">
      <c r="A36" s="1">
        <v>19</v>
      </c>
      <c r="B36" s="1">
        <f t="shared" si="1"/>
        <v>2022</v>
      </c>
      <c r="C36" s="17">
        <f>IF($A36="","",SUMIFS(Amortization!E$17:E$1017,Amortization!$A$17:$A$1017,$B36))</f>
        <v>0</v>
      </c>
      <c r="D36" s="17">
        <f>IF($A36="","",SUMIFS(Amortization!F$17:F$1017,Amortization!$A$17:$A$1017,$B36))</f>
        <v>0</v>
      </c>
      <c r="E36" s="17">
        <f>IF($A36="","",SUMIFS(Amortization!G$17:G$1017,Amortization!$A$17:$A$1017,$B36))</f>
        <v>0</v>
      </c>
    </row>
    <row r="37" spans="1:5" x14ac:dyDescent="0.3">
      <c r="A37" s="1">
        <v>20</v>
      </c>
      <c r="B37" s="1">
        <f t="shared" si="1"/>
        <v>2023</v>
      </c>
      <c r="C37" s="17">
        <f>IF($A37="","",SUMIFS(Amortization!E$17:E$1017,Amortization!$A$17:$A$1017,$B37))</f>
        <v>0</v>
      </c>
      <c r="D37" s="17">
        <f>IF($A37="","",SUMIFS(Amortization!F$17:F$1017,Amortization!$A$17:$A$1017,$B37))</f>
        <v>0</v>
      </c>
      <c r="E37" s="17">
        <f>IF($A37="","",SUMIFS(Amortization!G$17:G$1017,Amortization!$A$17:$A$1017,$B37))</f>
        <v>0</v>
      </c>
    </row>
    <row r="38" spans="1:5" x14ac:dyDescent="0.3">
      <c r="A38" s="1">
        <v>21</v>
      </c>
      <c r="B38" s="1">
        <f t="shared" si="1"/>
        <v>2024</v>
      </c>
      <c r="C38" s="17">
        <f>IF($A38="","",SUMIFS(Amortization!E$17:E$1017,Amortization!$A$17:$A$1017,$B38))</f>
        <v>0</v>
      </c>
      <c r="D38" s="17">
        <f>IF($A38="","",SUMIFS(Amortization!F$17:F$1017,Amortization!$A$17:$A$1017,$B38))</f>
        <v>0</v>
      </c>
      <c r="E38" s="17">
        <f>IF($A38="","",SUMIFS(Amortization!G$17:G$1017,Amortization!$A$17:$A$1017,$B38))</f>
        <v>0</v>
      </c>
    </row>
    <row r="39" spans="1:5" hidden="1" x14ac:dyDescent="0.3">
      <c r="B39" s="1" t="str">
        <f t="shared" si="1"/>
        <v/>
      </c>
      <c r="C39" s="17" t="str">
        <f>IF($A39="","",SUMIFS(Amortization!E$17:E$1017,Amortization!$A$17:$A$1017,$B39))</f>
        <v/>
      </c>
      <c r="D39" s="17" t="str">
        <f>IF($A39="","",SUMIFS(Amortization!F$17:F$1017,Amortization!$A$17:$A$1017,$B39))</f>
        <v/>
      </c>
      <c r="E39" s="17" t="str">
        <f>IF($A39="","",SUMIFS(Amortization!G$17:G$1017,Amortization!$A$17:$A$1017,$B39))</f>
        <v/>
      </c>
    </row>
    <row r="40" spans="1:5" hidden="1" x14ac:dyDescent="0.3">
      <c r="B40" s="1" t="str">
        <f t="shared" si="1"/>
        <v/>
      </c>
      <c r="C40" s="17" t="str">
        <f>IF($A40="","",SUMIFS(Amortization!E$17:E$1017,Amortization!$A$17:$A$1017,$B40))</f>
        <v/>
      </c>
      <c r="D40" s="17" t="str">
        <f>IF($A40="","",SUMIFS(Amortization!F$17:F$1017,Amortization!$A$17:$A$1017,$B40))</f>
        <v/>
      </c>
      <c r="E40" s="17" t="str">
        <f>IF($A40="","",SUMIFS(Amortization!G$17:G$1017,Amortization!$A$17:$A$1017,$B40))</f>
        <v/>
      </c>
    </row>
    <row r="41" spans="1:5" hidden="1" x14ac:dyDescent="0.3">
      <c r="B41" s="1" t="str">
        <f t="shared" si="1"/>
        <v/>
      </c>
      <c r="C41" s="17" t="str">
        <f>IF($A41="","",SUMIFS(Amortization!E$17:E$1017,Amortization!$A$17:$A$1017,$B41))</f>
        <v/>
      </c>
      <c r="D41" s="17" t="str">
        <f>IF($A41="","",SUMIFS(Amortization!F$17:F$1017,Amortization!$A$17:$A$1017,$B41))</f>
        <v/>
      </c>
      <c r="E41" s="17" t="str">
        <f>IF($A41="","",SUMIFS(Amortization!G$17:G$1017,Amortization!$A$17:$A$1017,$B41))</f>
        <v/>
      </c>
    </row>
    <row r="42" spans="1:5" hidden="1" x14ac:dyDescent="0.3">
      <c r="B42" s="1" t="str">
        <f t="shared" si="1"/>
        <v/>
      </c>
      <c r="C42" s="17" t="str">
        <f>IF($A42="","",SUMIFS(Amortization!E$17:E$1017,Amortization!$A$17:$A$1017,$B42))</f>
        <v/>
      </c>
      <c r="D42" s="17" t="str">
        <f>IF($A42="","",SUMIFS(Amortization!F$17:F$1017,Amortization!$A$17:$A$1017,$B42))</f>
        <v/>
      </c>
      <c r="E42" s="17" t="str">
        <f>IF($A42="","",SUMIFS(Amortization!G$17:G$1017,Amortization!$A$17:$A$1017,$B42))</f>
        <v/>
      </c>
    </row>
    <row r="43" spans="1:5" hidden="1" x14ac:dyDescent="0.3">
      <c r="B43" s="1" t="str">
        <f t="shared" si="1"/>
        <v/>
      </c>
      <c r="C43" s="17" t="str">
        <f>IF($A43="","",SUMIFS(Amortization!E$17:E$1017,Amortization!$A$17:$A$1017,$B43))</f>
        <v/>
      </c>
      <c r="D43" s="17" t="str">
        <f>IF($A43="","",SUMIFS(Amortization!F$17:F$1017,Amortization!$A$17:$A$1017,$B43))</f>
        <v/>
      </c>
      <c r="E43" s="17" t="str">
        <f>IF($A43="","",SUMIFS(Amortization!G$17:G$1017,Amortization!$A$17:$A$1017,$B43))</f>
        <v/>
      </c>
    </row>
    <row r="44" spans="1:5" hidden="1" x14ac:dyDescent="0.3">
      <c r="B44" s="1" t="str">
        <f t="shared" si="1"/>
        <v/>
      </c>
      <c r="C44" s="17" t="str">
        <f>IF($A44="","",SUMIFS(Amortization!E$17:E$1017,Amortization!$A$17:$A$1017,$B44))</f>
        <v/>
      </c>
      <c r="D44" s="17" t="str">
        <f>IF($A44="","",SUMIFS(Amortization!F$17:F$1017,Amortization!$A$17:$A$1017,$B44))</f>
        <v/>
      </c>
      <c r="E44" s="17" t="str">
        <f>IF($A44="","",SUMIFS(Amortization!G$17:G$1017,Amortization!$A$17:$A$1017,$B44))</f>
        <v/>
      </c>
    </row>
    <row r="45" spans="1:5" hidden="1" x14ac:dyDescent="0.3">
      <c r="B45" s="1" t="str">
        <f t="shared" si="1"/>
        <v/>
      </c>
      <c r="C45" s="17" t="str">
        <f>IF($A45="","",SUMIFS(Amortization!E$17:E$1017,Amortization!$A$17:$A$1017,$B45))</f>
        <v/>
      </c>
      <c r="D45" s="17" t="str">
        <f>IF($A45="","",SUMIFS(Amortization!F$17:F$1017,Amortization!$A$17:$A$1017,$B45))</f>
        <v/>
      </c>
      <c r="E45" s="17" t="str">
        <f>IF($A45="","",SUMIFS(Amortization!G$17:G$1017,Amortization!$A$17:$A$1017,$B45))</f>
        <v/>
      </c>
    </row>
    <row r="46" spans="1:5" hidden="1" x14ac:dyDescent="0.3">
      <c r="B46" s="1" t="str">
        <f t="shared" si="1"/>
        <v/>
      </c>
      <c r="C46" s="17" t="str">
        <f>IF($A46="","",SUMIFS(Amortization!E$17:E$1017,Amortization!$A$17:$A$1017,$B46))</f>
        <v/>
      </c>
      <c r="D46" s="17" t="str">
        <f>IF($A46="","",SUMIFS(Amortization!F$17:F$1017,Amortization!$A$17:$A$1017,$B46))</f>
        <v/>
      </c>
      <c r="E46" s="17" t="str">
        <f>IF($A46="","",SUMIFS(Amortization!G$17:G$1017,Amortization!$A$17:$A$1017,$B46))</f>
        <v/>
      </c>
    </row>
    <row r="47" spans="1:5" hidden="1" x14ac:dyDescent="0.3">
      <c r="B47" s="1" t="str">
        <f t="shared" si="1"/>
        <v/>
      </c>
      <c r="C47" s="17" t="str">
        <f>IF($A47="","",SUMIFS(Amortization!E$17:E$1017,Amortization!$A$17:$A$1017,$B47))</f>
        <v/>
      </c>
      <c r="D47" s="17" t="str">
        <f>IF($A47="","",SUMIFS(Amortization!F$17:F$1017,Amortization!$A$17:$A$1017,$B47))</f>
        <v/>
      </c>
      <c r="E47" s="17" t="str">
        <f>IF($A47="","",SUMIFS(Amortization!G$17:G$1017,Amortization!$A$17:$A$1017,$B47))</f>
        <v/>
      </c>
    </row>
    <row r="48" spans="1:5" hidden="1" x14ac:dyDescent="0.3">
      <c r="B48" s="1" t="str">
        <f t="shared" si="1"/>
        <v/>
      </c>
      <c r="C48" s="17" t="str">
        <f>IF($A48="","",SUMIFS(Amortization!E$17:E$1017,Amortization!$A$17:$A$1017,$B48))</f>
        <v/>
      </c>
      <c r="D48" s="17" t="str">
        <f>IF($A48="","",SUMIFS(Amortization!F$17:F$1017,Amortization!$A$17:$A$1017,$B48))</f>
        <v/>
      </c>
      <c r="E48" s="17" t="str">
        <f>IF($A48="","",SUMIFS(Amortization!G$17:G$1017,Amortization!$A$17:$A$1017,$B48))</f>
        <v/>
      </c>
    </row>
    <row r="49" spans="2:5" hidden="1" x14ac:dyDescent="0.3">
      <c r="B49" s="1" t="str">
        <f t="shared" si="1"/>
        <v/>
      </c>
      <c r="C49" s="17" t="str">
        <f>IF($A49="","",SUMIFS(Amortization!E$17:E$1017,Amortization!$A$17:$A$1017,$B49))</f>
        <v/>
      </c>
      <c r="D49" s="17" t="str">
        <f>IF($A49="","",SUMIFS(Amortization!F$17:F$1017,Amortization!$A$17:$A$1017,$B49))</f>
        <v/>
      </c>
      <c r="E49" s="17" t="str">
        <f>IF($A49="","",SUMIFS(Amortization!G$17:G$1017,Amortization!$A$17:$A$1017,$B49))</f>
        <v/>
      </c>
    </row>
    <row r="50" spans="2:5" hidden="1" x14ac:dyDescent="0.3">
      <c r="B50" s="1" t="str">
        <f t="shared" si="1"/>
        <v/>
      </c>
      <c r="C50" s="17" t="str">
        <f>IF($A50="","",SUMIFS(Amortization!E$17:E$1017,Amortization!$A$17:$A$1017,$B50))</f>
        <v/>
      </c>
      <c r="D50" s="17" t="str">
        <f>IF($A50="","",SUMIFS(Amortization!F$17:F$1017,Amortization!$A$17:$A$1017,$B50))</f>
        <v/>
      </c>
      <c r="E50" s="17" t="str">
        <f>IF($A50="","",SUMIFS(Amortization!G$17:G$1017,Amortization!$A$17:$A$1017,$B50))</f>
        <v/>
      </c>
    </row>
    <row r="51" spans="2:5" hidden="1" x14ac:dyDescent="0.3">
      <c r="B51" s="1" t="str">
        <f t="shared" si="1"/>
        <v/>
      </c>
      <c r="C51" s="17" t="str">
        <f>IF($A51="","",SUMIFS(Amortization!E$17:E$1017,Amortization!$A$17:$A$1017,$B51))</f>
        <v/>
      </c>
      <c r="D51" s="17" t="str">
        <f>IF($A51="","",SUMIFS(Amortization!F$17:F$1017,Amortization!$A$17:$A$1017,$B51))</f>
        <v/>
      </c>
      <c r="E51" s="17" t="str">
        <f>IF($A51="","",SUMIFS(Amortization!G$17:G$1017,Amortization!$A$17:$A$1017,$B51))</f>
        <v/>
      </c>
    </row>
    <row r="52" spans="2:5" hidden="1" x14ac:dyDescent="0.3">
      <c r="B52" s="1" t="str">
        <f t="shared" si="1"/>
        <v/>
      </c>
      <c r="C52" s="17" t="str">
        <f>IF($A52="","",SUMIFS(Amortization!E$17:E$1017,Amortization!$A$17:$A$1017,$B52))</f>
        <v/>
      </c>
      <c r="D52" s="17" t="str">
        <f>IF($A52="","",SUMIFS(Amortization!F$17:F$1017,Amortization!$A$17:$A$1017,$B52))</f>
        <v/>
      </c>
      <c r="E52" s="17" t="str">
        <f>IF($A52="","",SUMIFS(Amortization!G$17:G$1017,Amortization!$A$17:$A$1017,$B52))</f>
        <v/>
      </c>
    </row>
    <row r="53" spans="2:5" hidden="1" x14ac:dyDescent="0.3">
      <c r="B53" s="1" t="str">
        <f t="shared" si="1"/>
        <v/>
      </c>
      <c r="C53" s="17" t="str">
        <f>IF($A53="","",SUMIFS(Amortization!E$17:E$1017,Amortization!$A$17:$A$1017,$B53))</f>
        <v/>
      </c>
      <c r="D53" s="17" t="str">
        <f>IF($A53="","",SUMIFS(Amortization!F$17:F$1017,Amortization!$A$17:$A$1017,$B53))</f>
        <v/>
      </c>
      <c r="E53" s="17" t="str">
        <f>IF($A53="","",SUMIFS(Amortization!G$17:G$1017,Amortization!$A$17:$A$1017,$B53))</f>
        <v/>
      </c>
    </row>
    <row r="54" spans="2:5" hidden="1" x14ac:dyDescent="0.3">
      <c r="B54" s="1" t="str">
        <f t="shared" si="1"/>
        <v/>
      </c>
      <c r="C54" s="17" t="str">
        <f>IF($A54="","",SUMIFS(Amortization!E$17:E$1017,Amortization!$A$17:$A$1017,$B54))</f>
        <v/>
      </c>
      <c r="D54" s="17" t="str">
        <f>IF($A54="","",SUMIFS(Amortization!F$17:F$1017,Amortization!$A$17:$A$1017,$B54))</f>
        <v/>
      </c>
      <c r="E54" s="17" t="str">
        <f>IF($A54="","",SUMIFS(Amortization!G$17:G$1017,Amortization!$A$17:$A$1017,$B54))</f>
        <v/>
      </c>
    </row>
    <row r="55" spans="2:5" hidden="1" x14ac:dyDescent="0.3">
      <c r="B55" s="1" t="str">
        <f t="shared" si="1"/>
        <v/>
      </c>
      <c r="C55" s="17" t="str">
        <f>IF($A55="","",SUMIFS(Amortization!E$17:E$1017,Amortization!$A$17:$A$1017,$B55))</f>
        <v/>
      </c>
      <c r="D55" s="17" t="str">
        <f>IF($A55="","",SUMIFS(Amortization!F$17:F$1017,Amortization!$A$17:$A$1017,$B55))</f>
        <v/>
      </c>
      <c r="E55" s="17" t="str">
        <f>IF($A55="","",SUMIFS(Amortization!G$17:G$1017,Amortization!$A$17:$A$1017,$B55))</f>
        <v/>
      </c>
    </row>
    <row r="56" spans="2:5" hidden="1" x14ac:dyDescent="0.3">
      <c r="B56" s="1" t="str">
        <f t="shared" si="1"/>
        <v/>
      </c>
      <c r="C56" s="17" t="str">
        <f>IF($A56="","",SUMIFS(Amortization!E$17:E$1017,Amortization!$A$17:$A$1017,$B56))</f>
        <v/>
      </c>
      <c r="D56" s="17" t="str">
        <f>IF($A56="","",SUMIFS(Amortization!F$17:F$1017,Amortization!$A$17:$A$1017,$B56))</f>
        <v/>
      </c>
      <c r="E56" s="17" t="str">
        <f>IF($A56="","",SUMIFS(Amortization!G$17:G$1017,Amortization!$A$17:$A$1017,$B56))</f>
        <v/>
      </c>
    </row>
    <row r="57" spans="2:5" hidden="1" x14ac:dyDescent="0.3">
      <c r="B57" s="1" t="str">
        <f t="shared" si="1"/>
        <v/>
      </c>
      <c r="C57" s="17" t="str">
        <f>IF($A57="","",SUMIFS(Amortization!E$17:E$1017,Amortization!$A$17:$A$1017,$B57))</f>
        <v/>
      </c>
      <c r="D57" s="17" t="str">
        <f>IF($A57="","",SUMIFS(Amortization!F$17:F$1017,Amortization!$A$17:$A$1017,$B57))</f>
        <v/>
      </c>
      <c r="E57" s="17" t="str">
        <f>IF($A57="","",SUMIFS(Amortization!G$17:G$1017,Amortization!$A$17:$A$1017,$B57))</f>
        <v/>
      </c>
    </row>
    <row r="58" spans="2:5" hidden="1" x14ac:dyDescent="0.3">
      <c r="B58" s="1" t="str">
        <f t="shared" si="1"/>
        <v/>
      </c>
      <c r="C58" s="17" t="str">
        <f>IF($A58="","",SUMIFS(Amortization!E$17:E$1017,Amortization!$A$17:$A$1017,$B58))</f>
        <v/>
      </c>
      <c r="D58" s="17" t="str">
        <f>IF($A58="","",SUMIFS(Amortization!F$17:F$1017,Amortization!$A$17:$A$1017,$B58))</f>
        <v/>
      </c>
      <c r="E58" s="17" t="str">
        <f>IF($A58="","",SUMIFS(Amortization!G$17:G$1017,Amortization!$A$17:$A$1017,$B58))</f>
        <v/>
      </c>
    </row>
    <row r="59" spans="2:5" hidden="1" x14ac:dyDescent="0.3">
      <c r="B59" s="1" t="str">
        <f t="shared" si="1"/>
        <v/>
      </c>
      <c r="C59" s="17" t="str">
        <f>IF($A59="","",SUMIFS(Amortization!E$17:E$1017,Amortization!$A$17:$A$1017,$B59))</f>
        <v/>
      </c>
      <c r="D59" s="17" t="str">
        <f>IF($A59="","",SUMIFS(Amortization!F$17:F$1017,Amortization!$A$17:$A$1017,$B59))</f>
        <v/>
      </c>
      <c r="E59" s="17" t="str">
        <f>IF($A59="","",SUMIFS(Amortization!G$17:G$1017,Amortization!$A$17:$A$1017,$B59))</f>
        <v/>
      </c>
    </row>
    <row r="60" spans="2:5" hidden="1" x14ac:dyDescent="0.3">
      <c r="B60" s="1" t="str">
        <f t="shared" si="1"/>
        <v/>
      </c>
      <c r="C60" s="17" t="str">
        <f>IF($A60="","",SUMIFS(Amortization!E$17:E$1017,Amortization!$A$17:$A$1017,$B60))</f>
        <v/>
      </c>
      <c r="D60" s="17" t="str">
        <f>IF($A60="","",SUMIFS(Amortization!F$17:F$1017,Amortization!$A$17:$A$1017,$B60))</f>
        <v/>
      </c>
      <c r="E60" s="17" t="str">
        <f>IF($A60="","",SUMIFS(Amortization!G$17:G$1017,Amortization!$A$17:$A$1017,$B60))</f>
        <v/>
      </c>
    </row>
    <row r="61" spans="2:5" hidden="1" x14ac:dyDescent="0.3">
      <c r="B61" s="1" t="str">
        <f t="shared" si="1"/>
        <v/>
      </c>
      <c r="C61" s="17" t="str">
        <f>IF($A61="","",SUMIFS(Amortization!E$17:E$1017,Amortization!$A$17:$A$1017,$B61))</f>
        <v/>
      </c>
      <c r="D61" s="17" t="str">
        <f>IF($A61="","",SUMIFS(Amortization!F$17:F$1017,Amortization!$A$17:$A$1017,$B61))</f>
        <v/>
      </c>
      <c r="E61" s="17" t="str">
        <f>IF($A61="","",SUMIFS(Amortization!G$17:G$1017,Amortization!$A$17:$A$1017,$B61))</f>
        <v/>
      </c>
    </row>
    <row r="62" spans="2:5" hidden="1" x14ac:dyDescent="0.3">
      <c r="B62" s="1" t="str">
        <f t="shared" si="1"/>
        <v/>
      </c>
      <c r="C62" s="17" t="str">
        <f>IF($A62="","",SUMIFS(Amortization!E$17:E$1017,Amortization!$A$17:$A$1017,$B62))</f>
        <v/>
      </c>
      <c r="D62" s="17" t="str">
        <f>IF($A62="","",SUMIFS(Amortization!F$17:F$1017,Amortization!$A$17:$A$1017,$B62))</f>
        <v/>
      </c>
      <c r="E62" s="17" t="str">
        <f>IF($A62="","",SUMIFS(Amortization!G$17:G$1017,Amortization!$A$17:$A$1017,$B62))</f>
        <v/>
      </c>
    </row>
    <row r="63" spans="2:5" hidden="1" x14ac:dyDescent="0.3">
      <c r="B63" s="1" t="str">
        <f t="shared" si="1"/>
        <v/>
      </c>
      <c r="C63" s="17" t="str">
        <f>IF($A63="","",SUMIFS(Amortization!E$17:E$1017,Amortization!$A$17:$A$1017,$B63))</f>
        <v/>
      </c>
      <c r="D63" s="17" t="str">
        <f>IF($A63="","",SUMIFS(Amortization!F$17:F$1017,Amortization!$A$17:$A$1017,$B63))</f>
        <v/>
      </c>
      <c r="E63" s="17" t="str">
        <f>IF($A63="","",SUMIFS(Amortization!G$17:G$1017,Amortization!$A$17:$A$1017,$B63))</f>
        <v/>
      </c>
    </row>
    <row r="64" spans="2:5" hidden="1" x14ac:dyDescent="0.3">
      <c r="B64" s="1" t="str">
        <f t="shared" si="1"/>
        <v/>
      </c>
      <c r="C64" s="17" t="str">
        <f>IF($A64="","",SUMIFS(Amortization!E$17:E$1017,Amortization!$A$17:$A$1017,$B64))</f>
        <v/>
      </c>
      <c r="D64" s="17" t="str">
        <f>IF($A64="","",SUMIFS(Amortization!F$17:F$1017,Amortization!$A$17:$A$1017,$B64))</f>
        <v/>
      </c>
      <c r="E64" s="17" t="str">
        <f>IF($A64="","",SUMIFS(Amortization!G$17:G$1017,Amortization!$A$17:$A$1017,$B64))</f>
        <v/>
      </c>
    </row>
    <row r="65" spans="2:5" hidden="1" x14ac:dyDescent="0.3">
      <c r="B65" s="1" t="str">
        <f t="shared" si="1"/>
        <v/>
      </c>
      <c r="C65" s="17" t="str">
        <f>IF($A65="","",SUMIFS(Amortization!E$17:E$1017,Amortization!$A$17:$A$1017,$B65))</f>
        <v/>
      </c>
      <c r="D65" s="17" t="str">
        <f>IF($A65="","",SUMIFS(Amortization!F$17:F$1017,Amortization!$A$17:$A$1017,$B65))</f>
        <v/>
      </c>
      <c r="E65" s="17" t="str">
        <f>IF($A65="","",SUMIFS(Amortization!G$17:G$1017,Amortization!$A$17:$A$1017,$B65))</f>
        <v/>
      </c>
    </row>
    <row r="66" spans="2:5" hidden="1" x14ac:dyDescent="0.3">
      <c r="B66" s="1" t="str">
        <f t="shared" si="1"/>
        <v/>
      </c>
      <c r="C66" s="17" t="str">
        <f>IF($A66="","",SUMIFS(Amortization!E$17:E$1017,Amortization!$A$17:$A$1017,$B66))</f>
        <v/>
      </c>
      <c r="D66" s="17" t="str">
        <f>IF($A66="","",SUMIFS(Amortization!F$17:F$1017,Amortization!$A$17:$A$1017,$B66))</f>
        <v/>
      </c>
      <c r="E66" s="17" t="str">
        <f>IF($A66="","",SUMIFS(Amortization!G$17:G$1017,Amortization!$A$17:$A$1017,$B66))</f>
        <v/>
      </c>
    </row>
    <row r="67" spans="2:5" hidden="1" x14ac:dyDescent="0.3">
      <c r="B67" s="1" t="str">
        <f t="shared" si="1"/>
        <v/>
      </c>
      <c r="C67" s="17" t="str">
        <f>IF($A67="","",SUMIFS(Amortization!E$17:E$1017,Amortization!$A$17:$A$1017,$B67))</f>
        <v/>
      </c>
      <c r="D67" s="17" t="str">
        <f>IF($A67="","",SUMIFS(Amortization!F$17:F$1017,Amortization!$A$17:$A$1017,$B67))</f>
        <v/>
      </c>
      <c r="E67" s="17" t="str">
        <f>IF($A67="","",SUMIFS(Amortization!G$17:G$1017,Amortization!$A$17:$A$1017,$B67))</f>
        <v/>
      </c>
    </row>
    <row r="68" spans="2:5" hidden="1" x14ac:dyDescent="0.3">
      <c r="B68" s="1" t="str">
        <f t="shared" si="1"/>
        <v/>
      </c>
      <c r="C68" s="17" t="str">
        <f>IF($A68="","",SUMIFS(Amortization!E$17:E$1017,Amortization!$A$17:$A$1017,$B68))</f>
        <v/>
      </c>
      <c r="D68" s="17" t="str">
        <f>IF($A68="","",SUMIFS(Amortization!F$17:F$1017,Amortization!$A$17:$A$1017,$B68))</f>
        <v/>
      </c>
      <c r="E68" s="17" t="str">
        <f>IF($A68="","",SUMIFS(Amortization!G$17:G$1017,Amortization!$A$17:$A$1017,$B68))</f>
        <v/>
      </c>
    </row>
    <row r="69" spans="2:5" hidden="1" x14ac:dyDescent="0.3">
      <c r="B69" s="1" t="str">
        <f t="shared" si="1"/>
        <v/>
      </c>
      <c r="C69" s="17" t="str">
        <f>IF($A69="","",SUMIFS(Amortization!E$17:E$1017,Amortization!$A$17:$A$1017,$B69))</f>
        <v/>
      </c>
      <c r="D69" s="17" t="str">
        <f>IF($A69="","",SUMIFS(Amortization!F$17:F$1017,Amortization!$A$17:$A$1017,$B69))</f>
        <v/>
      </c>
      <c r="E69" s="17" t="str">
        <f>IF($A69="","",SUMIFS(Amortization!G$17:G$1017,Amortization!$A$17:$A$1017,$B69))</f>
        <v/>
      </c>
    </row>
    <row r="70" spans="2:5" hidden="1" x14ac:dyDescent="0.3">
      <c r="B70" s="1" t="str">
        <f t="shared" si="1"/>
        <v/>
      </c>
      <c r="C70" s="17" t="str">
        <f>IF($A70="","",SUMIFS(Amortization!E$17:E$1017,Amortization!$A$17:$A$1017,$B70))</f>
        <v/>
      </c>
      <c r="D70" s="17" t="str">
        <f>IF($A70="","",SUMIFS(Amortization!F$17:F$1017,Amortization!$A$17:$A$1017,$B70))</f>
        <v/>
      </c>
      <c r="E70" s="17" t="str">
        <f>IF($A70="","",SUMIFS(Amortization!G$17:G$1017,Amortization!$A$17:$A$1017,$B70))</f>
        <v/>
      </c>
    </row>
    <row r="71" spans="2:5" hidden="1" x14ac:dyDescent="0.3">
      <c r="B71" s="1" t="str">
        <f t="shared" si="1"/>
        <v/>
      </c>
      <c r="C71" s="17" t="str">
        <f>IF($A71="","",SUMIFS(Amortization!E$17:E$1017,Amortization!$A$17:$A$1017,$B71))</f>
        <v/>
      </c>
      <c r="D71" s="17" t="str">
        <f>IF($A71="","",SUMIFS(Amortization!F$17:F$1017,Amortization!$A$17:$A$1017,$B71))</f>
        <v/>
      </c>
      <c r="E71" s="17" t="str">
        <f>IF($A71="","",SUMIFS(Amortization!G$17:G$1017,Amortization!$A$17:$A$1017,$B71))</f>
        <v/>
      </c>
    </row>
    <row r="72" spans="2:5" hidden="1" x14ac:dyDescent="0.3">
      <c r="B72" s="1" t="str">
        <f t="shared" si="1"/>
        <v/>
      </c>
      <c r="C72" s="17" t="str">
        <f>IF($A72="","",SUMIFS(Amortization!E$17:E$1017,Amortization!$A$17:$A$1017,$B72))</f>
        <v/>
      </c>
      <c r="D72" s="17" t="str">
        <f>IF($A72="","",SUMIFS(Amortization!F$17:F$1017,Amortization!$A$17:$A$1017,$B72))</f>
        <v/>
      </c>
      <c r="E72" s="17" t="str">
        <f>IF($A72="","",SUMIFS(Amortization!G$17:G$1017,Amortization!$A$17:$A$1017,$B72))</f>
        <v/>
      </c>
    </row>
    <row r="73" spans="2:5" hidden="1" x14ac:dyDescent="0.3">
      <c r="B73" s="1" t="str">
        <f t="shared" si="1"/>
        <v/>
      </c>
      <c r="C73" s="17" t="str">
        <f>IF($A73="","",SUMIFS(Amortization!E$17:E$1017,Amortization!$A$17:$A$1017,$B73))</f>
        <v/>
      </c>
      <c r="D73" s="17" t="str">
        <f>IF($A73="","",SUMIFS(Amortization!F$17:F$1017,Amortization!$A$17:$A$1017,$B73))</f>
        <v/>
      </c>
      <c r="E73" s="17" t="str">
        <f>IF($A73="","",SUMIFS(Amortization!G$17:G$1017,Amortization!$A$17:$A$1017,$B73))</f>
        <v/>
      </c>
    </row>
    <row r="74" spans="2:5" hidden="1" x14ac:dyDescent="0.3">
      <c r="B74" s="1" t="str">
        <f t="shared" si="1"/>
        <v/>
      </c>
      <c r="C74" s="17" t="str">
        <f>IF($A74="","",SUMIFS(Amortization!E$17:E$1017,Amortization!$A$17:$A$1017,$B74))</f>
        <v/>
      </c>
      <c r="D74" s="17" t="str">
        <f>IF($A74="","",SUMIFS(Amortization!F$17:F$1017,Amortization!$A$17:$A$1017,$B74))</f>
        <v/>
      </c>
      <c r="E74" s="17" t="str">
        <f>IF($A74="","",SUMIFS(Amortization!G$17:G$1017,Amortization!$A$17:$A$1017,$B74))</f>
        <v/>
      </c>
    </row>
    <row r="75" spans="2:5" hidden="1" x14ac:dyDescent="0.3">
      <c r="B75" s="1" t="str">
        <f t="shared" si="1"/>
        <v/>
      </c>
      <c r="C75" s="17" t="str">
        <f>IF($A75="","",SUMIFS(Amortization!E$17:E$1017,Amortization!$A$17:$A$1017,$B75))</f>
        <v/>
      </c>
      <c r="D75" s="17" t="str">
        <f>IF($A75="","",SUMIFS(Amortization!F$17:F$1017,Amortization!$A$17:$A$1017,$B75))</f>
        <v/>
      </c>
      <c r="E75" s="17" t="str">
        <f>IF($A75="","",SUMIFS(Amortization!G$17:G$1017,Amortization!$A$17:$A$1017,$B75))</f>
        <v/>
      </c>
    </row>
    <row r="76" spans="2:5" hidden="1" x14ac:dyDescent="0.3">
      <c r="B76" s="1" t="str">
        <f t="shared" si="1"/>
        <v/>
      </c>
      <c r="C76" s="17" t="str">
        <f>IF($A76="","",SUMIFS(Amortization!E$17:E$1017,Amortization!$A$17:$A$1017,$B76))</f>
        <v/>
      </c>
      <c r="D76" s="17" t="str">
        <f>IF($A76="","",SUMIFS(Amortization!F$17:F$1017,Amortization!$A$17:$A$1017,$B76))</f>
        <v/>
      </c>
      <c r="E76" s="17" t="str">
        <f>IF($A76="","",SUMIFS(Amortization!G$17:G$1017,Amortization!$A$17:$A$1017,$B76))</f>
        <v/>
      </c>
    </row>
    <row r="77" spans="2:5" hidden="1" x14ac:dyDescent="0.3">
      <c r="B77" s="1" t="str">
        <f t="shared" si="1"/>
        <v/>
      </c>
      <c r="C77" s="17" t="str">
        <f>IF($A77="","",SUMIFS(Amortization!E$17:E$1017,Amortization!$A$17:$A$1017,$B77))</f>
        <v/>
      </c>
      <c r="D77" s="17" t="str">
        <f>IF($A77="","",SUMIFS(Amortization!F$17:F$1017,Amortization!$A$17:$A$1017,$B77))</f>
        <v/>
      </c>
      <c r="E77" s="17" t="str">
        <f>IF($A77="","",SUMIFS(Amortization!G$17:G$1017,Amortization!$A$17:$A$1017,$B77))</f>
        <v/>
      </c>
    </row>
    <row r="78" spans="2:5" hidden="1" x14ac:dyDescent="0.3">
      <c r="B78" s="1" t="str">
        <f t="shared" si="1"/>
        <v/>
      </c>
      <c r="C78" s="17" t="str">
        <f>IF($A78="","",SUMIFS(Amortization!E$17:E$1017,Amortization!$A$17:$A$1017,$B78))</f>
        <v/>
      </c>
      <c r="D78" s="17" t="str">
        <f>IF($A78="","",SUMIFS(Amortization!F$17:F$1017,Amortization!$A$17:$A$1017,$B78))</f>
        <v/>
      </c>
      <c r="E78" s="17" t="str">
        <f>IF($A78="","",SUMIFS(Amortization!G$17:G$1017,Amortization!$A$17:$A$1017,$B78))</f>
        <v/>
      </c>
    </row>
    <row r="79" spans="2:5" hidden="1" x14ac:dyDescent="0.3">
      <c r="B79" s="1" t="str">
        <f t="shared" si="1"/>
        <v/>
      </c>
      <c r="C79" s="17" t="str">
        <f>IF($A79="","",SUMIFS(Amortization!E$17:E$1017,Amortization!$A$17:$A$1017,$B79))</f>
        <v/>
      </c>
      <c r="D79" s="17" t="str">
        <f>IF($A79="","",SUMIFS(Amortization!F$17:F$1017,Amortization!$A$17:$A$1017,$B79))</f>
        <v/>
      </c>
      <c r="E79" s="17" t="str">
        <f>IF($A79="","",SUMIFS(Amortization!G$17:G$1017,Amortization!$A$17:$A$1017,$B79))</f>
        <v/>
      </c>
    </row>
    <row r="80" spans="2:5" hidden="1" x14ac:dyDescent="0.3">
      <c r="B80" s="1" t="str">
        <f t="shared" si="1"/>
        <v/>
      </c>
      <c r="C80" s="17" t="str">
        <f>IF($A80="","",SUMIFS(Amortization!E$17:E$1017,Amortization!$A$17:$A$1017,$B80))</f>
        <v/>
      </c>
      <c r="D80" s="17" t="str">
        <f>IF($A80="","",SUMIFS(Amortization!F$17:F$1017,Amortization!$A$17:$A$1017,$B80))</f>
        <v/>
      </c>
      <c r="E80" s="17" t="str">
        <f>IF($A80="","",SUMIFS(Amortization!G$17:G$1017,Amortization!$A$17:$A$1017,$B80))</f>
        <v/>
      </c>
    </row>
    <row r="81" spans="2:5" hidden="1" x14ac:dyDescent="0.3">
      <c r="B81" s="1" t="str">
        <f t="shared" si="1"/>
        <v/>
      </c>
      <c r="C81" s="17" t="str">
        <f>IF($A81="","",SUMIFS(Amortization!E$17:E$1017,Amortization!$A$17:$A$1017,$B81))</f>
        <v/>
      </c>
      <c r="D81" s="17" t="str">
        <f>IF($A81="","",SUMIFS(Amortization!F$17:F$1017,Amortization!$A$17:$A$1017,$B81))</f>
        <v/>
      </c>
      <c r="E81" s="17" t="str">
        <f>IF($A81="","",SUMIFS(Amortization!G$17:G$1017,Amortization!$A$17:$A$1017,$B81))</f>
        <v/>
      </c>
    </row>
    <row r="82" spans="2:5" hidden="1" x14ac:dyDescent="0.3">
      <c r="B82" s="1" t="str">
        <f t="shared" si="1"/>
        <v/>
      </c>
      <c r="C82" s="17" t="str">
        <f>IF($A82="","",SUMIFS(Amortization!E$17:E$1017,Amortization!$A$17:$A$1017,$B82))</f>
        <v/>
      </c>
      <c r="D82" s="17" t="str">
        <f>IF($A82="","",SUMIFS(Amortization!F$17:F$1017,Amortization!$A$17:$A$1017,$B82))</f>
        <v/>
      </c>
      <c r="E82" s="17" t="str">
        <f>IF($A82="","",SUMIFS(Amortization!G$17:G$1017,Amortization!$A$17:$A$1017,$B82))</f>
        <v/>
      </c>
    </row>
    <row r="83" spans="2:5" hidden="1" x14ac:dyDescent="0.3">
      <c r="B83" s="1" t="str">
        <f t="shared" ref="B83:B146" si="2">IF(A83="","",B82+1)</f>
        <v/>
      </c>
      <c r="C83" s="17" t="str">
        <f>IF($A83="","",SUMIFS(Amortization!E$17:E$1017,Amortization!$A$17:$A$1017,$B83))</f>
        <v/>
      </c>
      <c r="D83" s="17" t="str">
        <f>IF($A83="","",SUMIFS(Amortization!F$17:F$1017,Amortization!$A$17:$A$1017,$B83))</f>
        <v/>
      </c>
      <c r="E83" s="17" t="str">
        <f>IF($A83="","",SUMIFS(Amortization!G$17:G$1017,Amortization!$A$17:$A$1017,$B83))</f>
        <v/>
      </c>
    </row>
    <row r="84" spans="2:5" hidden="1" x14ac:dyDescent="0.3">
      <c r="B84" s="1" t="str">
        <f t="shared" si="2"/>
        <v/>
      </c>
      <c r="C84" s="17" t="str">
        <f>IF($A84="","",SUMIFS(Amortization!E$17:E$1017,Amortization!$A$17:$A$1017,$B84))</f>
        <v/>
      </c>
      <c r="D84" s="17" t="str">
        <f>IF($A84="","",SUMIFS(Amortization!F$17:F$1017,Amortization!$A$17:$A$1017,$B84))</f>
        <v/>
      </c>
      <c r="E84" s="17" t="str">
        <f>IF($A84="","",SUMIFS(Amortization!G$17:G$1017,Amortization!$A$17:$A$1017,$B84))</f>
        <v/>
      </c>
    </row>
    <row r="85" spans="2:5" hidden="1" x14ac:dyDescent="0.3">
      <c r="B85" s="1" t="str">
        <f t="shared" si="2"/>
        <v/>
      </c>
      <c r="C85" s="17" t="str">
        <f>IF($A85="","",SUMIFS(Amortization!E$17:E$1017,Amortization!$A$17:$A$1017,$B85))</f>
        <v/>
      </c>
      <c r="D85" s="17" t="str">
        <f>IF($A85="","",SUMIFS(Amortization!F$17:F$1017,Amortization!$A$17:$A$1017,$B85))</f>
        <v/>
      </c>
      <c r="E85" s="17" t="str">
        <f>IF($A85="","",SUMIFS(Amortization!G$17:G$1017,Amortization!$A$17:$A$1017,$B85))</f>
        <v/>
      </c>
    </row>
    <row r="86" spans="2:5" hidden="1" x14ac:dyDescent="0.3">
      <c r="B86" s="1" t="str">
        <f t="shared" si="2"/>
        <v/>
      </c>
      <c r="C86" s="17" t="str">
        <f>IF($A86="","",SUMIFS(Amortization!E$17:E$1017,Amortization!$A$17:$A$1017,$B86))</f>
        <v/>
      </c>
      <c r="D86" s="17" t="str">
        <f>IF($A86="","",SUMIFS(Amortization!F$17:F$1017,Amortization!$A$17:$A$1017,$B86))</f>
        <v/>
      </c>
      <c r="E86" s="17" t="str">
        <f>IF($A86="","",SUMIFS(Amortization!G$17:G$1017,Amortization!$A$17:$A$1017,$B86))</f>
        <v/>
      </c>
    </row>
    <row r="87" spans="2:5" hidden="1" x14ac:dyDescent="0.3">
      <c r="B87" s="1" t="str">
        <f t="shared" si="2"/>
        <v/>
      </c>
      <c r="C87" s="17" t="str">
        <f>IF($A87="","",SUMIFS(Amortization!E$17:E$1017,Amortization!$A$17:$A$1017,$B87))</f>
        <v/>
      </c>
      <c r="D87" s="17" t="str">
        <f>IF($A87="","",SUMIFS(Amortization!F$17:F$1017,Amortization!$A$17:$A$1017,$B87))</f>
        <v/>
      </c>
      <c r="E87" s="17" t="str">
        <f>IF($A87="","",SUMIFS(Amortization!G$17:G$1017,Amortization!$A$17:$A$1017,$B87))</f>
        <v/>
      </c>
    </row>
    <row r="88" spans="2:5" hidden="1" x14ac:dyDescent="0.3">
      <c r="B88" s="1" t="str">
        <f t="shared" si="2"/>
        <v/>
      </c>
      <c r="C88" s="17" t="str">
        <f>IF($A88="","",SUMIFS(Amortization!E$17:E$1017,Amortization!$A$17:$A$1017,$B88))</f>
        <v/>
      </c>
      <c r="D88" s="17" t="str">
        <f>IF($A88="","",SUMIFS(Amortization!F$17:F$1017,Amortization!$A$17:$A$1017,$B88))</f>
        <v/>
      </c>
      <c r="E88" s="17" t="str">
        <f>IF($A88="","",SUMIFS(Amortization!G$17:G$1017,Amortization!$A$17:$A$1017,$B88))</f>
        <v/>
      </c>
    </row>
    <row r="89" spans="2:5" hidden="1" x14ac:dyDescent="0.3">
      <c r="B89" s="1" t="str">
        <f t="shared" si="2"/>
        <v/>
      </c>
      <c r="C89" s="17" t="str">
        <f>IF($A89="","",SUMIFS(Amortization!E$17:E$1017,Amortization!$A$17:$A$1017,$B89))</f>
        <v/>
      </c>
      <c r="D89" s="17" t="str">
        <f>IF($A89="","",SUMIFS(Amortization!F$17:F$1017,Amortization!$A$17:$A$1017,$B89))</f>
        <v/>
      </c>
      <c r="E89" s="17" t="str">
        <f>IF($A89="","",SUMIFS(Amortization!G$17:G$1017,Amortization!$A$17:$A$1017,$B89))</f>
        <v/>
      </c>
    </row>
    <row r="90" spans="2:5" hidden="1" x14ac:dyDescent="0.3">
      <c r="B90" s="1" t="str">
        <f t="shared" si="2"/>
        <v/>
      </c>
      <c r="C90" s="17" t="str">
        <f>IF($A90="","",SUMIFS(Amortization!E$17:E$1017,Amortization!$A$17:$A$1017,$B90))</f>
        <v/>
      </c>
      <c r="D90" s="17" t="str">
        <f>IF($A90="","",SUMIFS(Amortization!F$17:F$1017,Amortization!$A$17:$A$1017,$B90))</f>
        <v/>
      </c>
      <c r="E90" s="17" t="str">
        <f>IF($A90="","",SUMIFS(Amortization!G$17:G$1017,Amortization!$A$17:$A$1017,$B90))</f>
        <v/>
      </c>
    </row>
    <row r="91" spans="2:5" hidden="1" x14ac:dyDescent="0.3">
      <c r="B91" s="1" t="str">
        <f t="shared" si="2"/>
        <v/>
      </c>
      <c r="C91" s="17" t="str">
        <f>IF($A91="","",SUMIFS(Amortization!E$17:E$1017,Amortization!$A$17:$A$1017,$B91))</f>
        <v/>
      </c>
      <c r="D91" s="17" t="str">
        <f>IF($A91="","",SUMIFS(Amortization!F$17:F$1017,Amortization!$A$17:$A$1017,$B91))</f>
        <v/>
      </c>
      <c r="E91" s="17" t="str">
        <f>IF($A91="","",SUMIFS(Amortization!G$17:G$1017,Amortization!$A$17:$A$1017,$B91))</f>
        <v/>
      </c>
    </row>
    <row r="92" spans="2:5" hidden="1" x14ac:dyDescent="0.3">
      <c r="B92" s="1" t="str">
        <f t="shared" si="2"/>
        <v/>
      </c>
      <c r="C92" s="17" t="str">
        <f>IF($A92="","",SUMIFS(Amortization!E$17:E$1017,Amortization!$A$17:$A$1017,$B92))</f>
        <v/>
      </c>
      <c r="D92" s="17" t="str">
        <f>IF($A92="","",SUMIFS(Amortization!F$17:F$1017,Amortization!$A$17:$A$1017,$B92))</f>
        <v/>
      </c>
      <c r="E92" s="17" t="str">
        <f>IF($A92="","",SUMIFS(Amortization!G$17:G$1017,Amortization!$A$17:$A$1017,$B92))</f>
        <v/>
      </c>
    </row>
    <row r="93" spans="2:5" hidden="1" x14ac:dyDescent="0.3">
      <c r="B93" s="1" t="str">
        <f t="shared" si="2"/>
        <v/>
      </c>
      <c r="C93" s="17" t="str">
        <f>IF($A93="","",SUMIFS(Amortization!E$17:E$1017,Amortization!$A$17:$A$1017,$B93))</f>
        <v/>
      </c>
      <c r="D93" s="17" t="str">
        <f>IF($A93="","",SUMIFS(Amortization!F$17:F$1017,Amortization!$A$17:$A$1017,$B93))</f>
        <v/>
      </c>
      <c r="E93" s="17" t="str">
        <f>IF($A93="","",SUMIFS(Amortization!G$17:G$1017,Amortization!$A$17:$A$1017,$B93))</f>
        <v/>
      </c>
    </row>
    <row r="94" spans="2:5" hidden="1" x14ac:dyDescent="0.3">
      <c r="B94" s="1" t="str">
        <f t="shared" si="2"/>
        <v/>
      </c>
      <c r="C94" s="17" t="str">
        <f>IF($A94="","",SUMIFS(Amortization!E$17:E$1017,Amortization!$A$17:$A$1017,$B94))</f>
        <v/>
      </c>
      <c r="D94" s="17" t="str">
        <f>IF($A94="","",SUMIFS(Amortization!F$17:F$1017,Amortization!$A$17:$A$1017,$B94))</f>
        <v/>
      </c>
      <c r="E94" s="17" t="str">
        <f>IF($A94="","",SUMIFS(Amortization!G$17:G$1017,Amortization!$A$17:$A$1017,$B94))</f>
        <v/>
      </c>
    </row>
    <row r="95" spans="2:5" hidden="1" x14ac:dyDescent="0.3">
      <c r="B95" s="1" t="str">
        <f t="shared" si="2"/>
        <v/>
      </c>
      <c r="C95" s="17" t="str">
        <f>IF($A95="","",SUMIFS(Amortization!E$17:E$1017,Amortization!$A$17:$A$1017,$B95))</f>
        <v/>
      </c>
      <c r="D95" s="17" t="str">
        <f>IF($A95="","",SUMIFS(Amortization!F$17:F$1017,Amortization!$A$17:$A$1017,$B95))</f>
        <v/>
      </c>
      <c r="E95" s="17" t="str">
        <f>IF($A95="","",SUMIFS(Amortization!G$17:G$1017,Amortization!$A$17:$A$1017,$B95))</f>
        <v/>
      </c>
    </row>
    <row r="96" spans="2:5" hidden="1" x14ac:dyDescent="0.3">
      <c r="B96" s="1" t="str">
        <f t="shared" si="2"/>
        <v/>
      </c>
      <c r="C96" s="17" t="str">
        <f>IF($A96="","",SUMIFS(Amortization!E$17:E$1017,Amortization!$A$17:$A$1017,$B96))</f>
        <v/>
      </c>
      <c r="D96" s="17" t="str">
        <f>IF($A96="","",SUMIFS(Amortization!F$17:F$1017,Amortization!$A$17:$A$1017,$B96))</f>
        <v/>
      </c>
      <c r="E96" s="17" t="str">
        <f>IF($A96="","",SUMIFS(Amortization!G$17:G$1017,Amortization!$A$17:$A$1017,$B96))</f>
        <v/>
      </c>
    </row>
    <row r="97" spans="2:5" hidden="1" x14ac:dyDescent="0.3">
      <c r="B97" s="1" t="str">
        <f t="shared" si="2"/>
        <v/>
      </c>
      <c r="C97" s="17" t="str">
        <f>IF($A97="","",SUMIFS(Amortization!E$17:E$1017,Amortization!$A$17:$A$1017,$B97))</f>
        <v/>
      </c>
      <c r="D97" s="17" t="str">
        <f>IF($A97="","",SUMIFS(Amortization!F$17:F$1017,Amortization!$A$17:$A$1017,$B97))</f>
        <v/>
      </c>
      <c r="E97" s="17" t="str">
        <f>IF($A97="","",SUMIFS(Amortization!G$17:G$1017,Amortization!$A$17:$A$1017,$B97))</f>
        <v/>
      </c>
    </row>
    <row r="98" spans="2:5" hidden="1" x14ac:dyDescent="0.3">
      <c r="B98" s="1" t="str">
        <f t="shared" si="2"/>
        <v/>
      </c>
      <c r="C98" s="17" t="str">
        <f>IF($A98="","",SUMIFS(Amortization!E$17:E$1017,Amortization!$A$17:$A$1017,$B98))</f>
        <v/>
      </c>
      <c r="D98" s="17" t="str">
        <f>IF($A98="","",SUMIFS(Amortization!F$17:F$1017,Amortization!$A$17:$A$1017,$B98))</f>
        <v/>
      </c>
      <c r="E98" s="17" t="str">
        <f>IF($A98="","",SUMIFS(Amortization!G$17:G$1017,Amortization!$A$17:$A$1017,$B98))</f>
        <v/>
      </c>
    </row>
    <row r="99" spans="2:5" hidden="1" x14ac:dyDescent="0.3">
      <c r="B99" s="1" t="str">
        <f t="shared" si="2"/>
        <v/>
      </c>
      <c r="C99" s="17" t="str">
        <f>IF($A99="","",SUMIFS(Amortization!E$17:E$1017,Amortization!$A$17:$A$1017,$B99))</f>
        <v/>
      </c>
      <c r="D99" s="17" t="str">
        <f>IF($A99="","",SUMIFS(Amortization!F$17:F$1017,Amortization!$A$17:$A$1017,$B99))</f>
        <v/>
      </c>
      <c r="E99" s="17" t="str">
        <f>IF($A99="","",SUMIFS(Amortization!G$17:G$1017,Amortization!$A$17:$A$1017,$B99))</f>
        <v/>
      </c>
    </row>
    <row r="100" spans="2:5" hidden="1" x14ac:dyDescent="0.3">
      <c r="B100" s="1" t="str">
        <f t="shared" si="2"/>
        <v/>
      </c>
      <c r="C100" s="17" t="str">
        <f>IF($A100="","",SUMIFS(Amortization!E$17:E$1017,Amortization!$A$17:$A$1017,$B100))</f>
        <v/>
      </c>
      <c r="D100" s="17" t="str">
        <f>IF($A100="","",SUMIFS(Amortization!F$17:F$1017,Amortization!$A$17:$A$1017,$B100))</f>
        <v/>
      </c>
      <c r="E100" s="17" t="str">
        <f>IF($A100="","",SUMIFS(Amortization!G$17:G$1017,Amortization!$A$17:$A$1017,$B100))</f>
        <v/>
      </c>
    </row>
    <row r="101" spans="2:5" hidden="1" x14ac:dyDescent="0.3">
      <c r="B101" s="1" t="str">
        <f t="shared" si="2"/>
        <v/>
      </c>
      <c r="C101" s="17" t="str">
        <f>IF($A101="","",SUMIFS(Amortization!E$17:E$1017,Amortization!$A$17:$A$1017,$B101))</f>
        <v/>
      </c>
      <c r="D101" s="17" t="str">
        <f>IF($A101="","",SUMIFS(Amortization!F$17:F$1017,Amortization!$A$17:$A$1017,$B101))</f>
        <v/>
      </c>
      <c r="E101" s="17" t="str">
        <f>IF($A101="","",SUMIFS(Amortization!G$17:G$1017,Amortization!$A$17:$A$1017,$B101))</f>
        <v/>
      </c>
    </row>
    <row r="102" spans="2:5" hidden="1" x14ac:dyDescent="0.3">
      <c r="B102" s="1" t="str">
        <f t="shared" si="2"/>
        <v/>
      </c>
      <c r="C102" s="17" t="str">
        <f>IF($A102="","",SUMIFS(Amortization!E$17:E$1017,Amortization!$A$17:$A$1017,$B102))</f>
        <v/>
      </c>
      <c r="D102" s="17" t="str">
        <f>IF($A102="","",SUMIFS(Amortization!F$17:F$1017,Amortization!$A$17:$A$1017,$B102))</f>
        <v/>
      </c>
      <c r="E102" s="17" t="str">
        <f>IF($A102="","",SUMIFS(Amortization!G$17:G$1017,Amortization!$A$17:$A$1017,$B102))</f>
        <v/>
      </c>
    </row>
    <row r="103" spans="2:5" hidden="1" x14ac:dyDescent="0.3">
      <c r="B103" s="1" t="str">
        <f t="shared" si="2"/>
        <v/>
      </c>
      <c r="C103" s="17" t="str">
        <f>IF($A103="","",SUMIFS(Amortization!E$17:E$1017,Amortization!$A$17:$A$1017,$B103))</f>
        <v/>
      </c>
      <c r="D103" s="17" t="str">
        <f>IF($A103="","",SUMIFS(Amortization!F$17:F$1017,Amortization!$A$17:$A$1017,$B103))</f>
        <v/>
      </c>
      <c r="E103" s="17" t="str">
        <f>IF($A103="","",SUMIFS(Amortization!G$17:G$1017,Amortization!$A$17:$A$1017,$B103))</f>
        <v/>
      </c>
    </row>
    <row r="104" spans="2:5" hidden="1" x14ac:dyDescent="0.3">
      <c r="B104" s="1" t="str">
        <f t="shared" si="2"/>
        <v/>
      </c>
      <c r="C104" s="17" t="str">
        <f>IF($A104="","",SUMIFS(Amortization!E$17:E$1017,Amortization!$A$17:$A$1017,$B104))</f>
        <v/>
      </c>
      <c r="D104" s="17" t="str">
        <f>IF($A104="","",SUMIFS(Amortization!F$17:F$1017,Amortization!$A$17:$A$1017,$B104))</f>
        <v/>
      </c>
      <c r="E104" s="17" t="str">
        <f>IF($A104="","",SUMIFS(Amortization!G$17:G$1017,Amortization!$A$17:$A$1017,$B104))</f>
        <v/>
      </c>
    </row>
    <row r="105" spans="2:5" hidden="1" x14ac:dyDescent="0.3">
      <c r="B105" s="1" t="str">
        <f t="shared" si="2"/>
        <v/>
      </c>
      <c r="C105" s="17" t="str">
        <f>IF($A105="","",SUMIFS(Amortization!E$17:E$1017,Amortization!$A$17:$A$1017,$B105))</f>
        <v/>
      </c>
      <c r="D105" s="17" t="str">
        <f>IF($A105="","",SUMIFS(Amortization!F$17:F$1017,Amortization!$A$17:$A$1017,$B105))</f>
        <v/>
      </c>
      <c r="E105" s="17" t="str">
        <f>IF($A105="","",SUMIFS(Amortization!G$17:G$1017,Amortization!$A$17:$A$1017,$B105))</f>
        <v/>
      </c>
    </row>
    <row r="106" spans="2:5" hidden="1" x14ac:dyDescent="0.3">
      <c r="B106" s="1" t="str">
        <f t="shared" si="2"/>
        <v/>
      </c>
      <c r="C106" s="17" t="str">
        <f>IF($A106="","",SUMIFS(Amortization!E$17:E$1017,Amortization!$A$17:$A$1017,$B106))</f>
        <v/>
      </c>
      <c r="D106" s="17" t="str">
        <f>IF($A106="","",SUMIFS(Amortization!F$17:F$1017,Amortization!$A$17:$A$1017,$B106))</f>
        <v/>
      </c>
      <c r="E106" s="17" t="str">
        <f>IF($A106="","",SUMIFS(Amortization!G$17:G$1017,Amortization!$A$17:$A$1017,$B106))</f>
        <v/>
      </c>
    </row>
    <row r="107" spans="2:5" hidden="1" x14ac:dyDescent="0.3">
      <c r="B107" s="1" t="str">
        <f t="shared" si="2"/>
        <v/>
      </c>
      <c r="C107" s="17" t="str">
        <f>IF($A107="","",SUMIFS(Amortization!E$17:E$1017,Amortization!$A$17:$A$1017,$B107))</f>
        <v/>
      </c>
      <c r="D107" s="17" t="str">
        <f>IF($A107="","",SUMIFS(Amortization!F$17:F$1017,Amortization!$A$17:$A$1017,$B107))</f>
        <v/>
      </c>
      <c r="E107" s="17" t="str">
        <f>IF($A107="","",SUMIFS(Amortization!G$17:G$1017,Amortization!$A$17:$A$1017,$B107))</f>
        <v/>
      </c>
    </row>
    <row r="108" spans="2:5" hidden="1" x14ac:dyDescent="0.3">
      <c r="B108" s="1" t="str">
        <f t="shared" si="2"/>
        <v/>
      </c>
      <c r="C108" s="17" t="str">
        <f>IF($A108="","",SUMIFS(Amortization!E$17:E$1017,Amortization!$A$17:$A$1017,$B108))</f>
        <v/>
      </c>
      <c r="D108" s="17" t="str">
        <f>IF($A108="","",SUMIFS(Amortization!F$17:F$1017,Amortization!$A$17:$A$1017,$B108))</f>
        <v/>
      </c>
      <c r="E108" s="17" t="str">
        <f>IF($A108="","",SUMIFS(Amortization!G$17:G$1017,Amortization!$A$17:$A$1017,$B108))</f>
        <v/>
      </c>
    </row>
    <row r="109" spans="2:5" hidden="1" x14ac:dyDescent="0.3">
      <c r="B109" s="1" t="str">
        <f t="shared" si="2"/>
        <v/>
      </c>
      <c r="C109" s="17" t="str">
        <f>IF($A109="","",SUMIFS(Amortization!E$17:E$1017,Amortization!$A$17:$A$1017,$B109))</f>
        <v/>
      </c>
      <c r="D109" s="17" t="str">
        <f>IF($A109="","",SUMIFS(Amortization!F$17:F$1017,Amortization!$A$17:$A$1017,$B109))</f>
        <v/>
      </c>
      <c r="E109" s="17" t="str">
        <f>IF($A109="","",SUMIFS(Amortization!G$17:G$1017,Amortization!$A$17:$A$1017,$B109))</f>
        <v/>
      </c>
    </row>
    <row r="110" spans="2:5" hidden="1" x14ac:dyDescent="0.3">
      <c r="B110" s="1" t="str">
        <f t="shared" si="2"/>
        <v/>
      </c>
      <c r="C110" s="17" t="str">
        <f>IF($A110="","",SUMIFS(Amortization!E$17:E$1017,Amortization!$A$17:$A$1017,$B110))</f>
        <v/>
      </c>
      <c r="D110" s="17" t="str">
        <f>IF($A110="","",SUMIFS(Amortization!F$17:F$1017,Amortization!$A$17:$A$1017,$B110))</f>
        <v/>
      </c>
      <c r="E110" s="17" t="str">
        <f>IF($A110="","",SUMIFS(Amortization!G$17:G$1017,Amortization!$A$17:$A$1017,$B110))</f>
        <v/>
      </c>
    </row>
    <row r="111" spans="2:5" hidden="1" x14ac:dyDescent="0.3">
      <c r="B111" s="1" t="str">
        <f t="shared" si="2"/>
        <v/>
      </c>
      <c r="C111" s="17" t="str">
        <f>IF($A111="","",SUMIFS(Amortization!E$17:E$1017,Amortization!$A$17:$A$1017,$B111))</f>
        <v/>
      </c>
      <c r="D111" s="17" t="str">
        <f>IF($A111="","",SUMIFS(Amortization!F$17:F$1017,Amortization!$A$17:$A$1017,$B111))</f>
        <v/>
      </c>
      <c r="E111" s="17" t="str">
        <f>IF($A111="","",SUMIFS(Amortization!G$17:G$1017,Amortization!$A$17:$A$1017,$B111))</f>
        <v/>
      </c>
    </row>
    <row r="112" spans="2:5" hidden="1" x14ac:dyDescent="0.3">
      <c r="B112" s="1" t="str">
        <f t="shared" si="2"/>
        <v/>
      </c>
      <c r="C112" s="17" t="str">
        <f>IF($A112="","",SUMIFS(Amortization!E$17:E$1017,Amortization!$A$17:$A$1017,$B112))</f>
        <v/>
      </c>
      <c r="D112" s="17" t="str">
        <f>IF($A112="","",SUMIFS(Amortization!F$17:F$1017,Amortization!$A$17:$A$1017,$B112))</f>
        <v/>
      </c>
      <c r="E112" s="17" t="str">
        <f>IF($A112="","",SUMIFS(Amortization!G$17:G$1017,Amortization!$A$17:$A$1017,$B112))</f>
        <v/>
      </c>
    </row>
    <row r="113" spans="2:5" hidden="1" x14ac:dyDescent="0.3">
      <c r="B113" s="1" t="str">
        <f t="shared" si="2"/>
        <v/>
      </c>
      <c r="C113" s="17" t="str">
        <f>IF($A113="","",SUMIFS(Amortization!E$17:E$1017,Amortization!$A$17:$A$1017,$B113))</f>
        <v/>
      </c>
      <c r="D113" s="17" t="str">
        <f>IF($A113="","",SUMIFS(Amortization!F$17:F$1017,Amortization!$A$17:$A$1017,$B113))</f>
        <v/>
      </c>
      <c r="E113" s="17" t="str">
        <f>IF($A113="","",SUMIFS(Amortization!G$17:G$1017,Amortization!$A$17:$A$1017,$B113))</f>
        <v/>
      </c>
    </row>
    <row r="114" spans="2:5" hidden="1" x14ac:dyDescent="0.3">
      <c r="B114" s="1" t="str">
        <f t="shared" si="2"/>
        <v/>
      </c>
      <c r="C114" s="17" t="str">
        <f>IF($A114="","",SUMIFS(Amortization!E$17:E$1017,Amortization!$A$17:$A$1017,$B114))</f>
        <v/>
      </c>
      <c r="D114" s="17" t="str">
        <f>IF($A114="","",SUMIFS(Amortization!F$17:F$1017,Amortization!$A$17:$A$1017,$B114))</f>
        <v/>
      </c>
      <c r="E114" s="17" t="str">
        <f>IF($A114="","",SUMIFS(Amortization!G$17:G$1017,Amortization!$A$17:$A$1017,$B114))</f>
        <v/>
      </c>
    </row>
    <row r="115" spans="2:5" hidden="1" x14ac:dyDescent="0.3">
      <c r="B115" s="1" t="str">
        <f t="shared" si="2"/>
        <v/>
      </c>
      <c r="C115" s="17" t="str">
        <f>IF($A115="","",SUMIFS(Amortization!E$17:E$1017,Amortization!$A$17:$A$1017,$B115))</f>
        <v/>
      </c>
      <c r="D115" s="17" t="str">
        <f>IF($A115="","",SUMIFS(Amortization!F$17:F$1017,Amortization!$A$17:$A$1017,$B115))</f>
        <v/>
      </c>
      <c r="E115" s="17" t="str">
        <f>IF($A115="","",SUMIFS(Amortization!G$17:G$1017,Amortization!$A$17:$A$1017,$B115))</f>
        <v/>
      </c>
    </row>
    <row r="116" spans="2:5" hidden="1" x14ac:dyDescent="0.3">
      <c r="B116" s="1" t="str">
        <f t="shared" si="2"/>
        <v/>
      </c>
      <c r="C116" s="17" t="str">
        <f>IF($A116="","",SUMIFS(Amortization!E$17:E$1017,Amortization!$A$17:$A$1017,$B116))</f>
        <v/>
      </c>
      <c r="D116" s="17" t="str">
        <f>IF($A116="","",SUMIFS(Amortization!F$17:F$1017,Amortization!$A$17:$A$1017,$B116))</f>
        <v/>
      </c>
      <c r="E116" s="17" t="str">
        <f>IF($A116="","",SUMIFS(Amortization!G$17:G$1017,Amortization!$A$17:$A$1017,$B116))</f>
        <v/>
      </c>
    </row>
    <row r="117" spans="2:5" hidden="1" x14ac:dyDescent="0.3">
      <c r="B117" s="1" t="str">
        <f t="shared" si="2"/>
        <v/>
      </c>
      <c r="C117" s="17" t="str">
        <f>IF($A117="","",SUMIFS(Amortization!E$17:E$1017,Amortization!$A$17:$A$1017,$B117))</f>
        <v/>
      </c>
      <c r="D117" s="17" t="str">
        <f>IF($A117="","",SUMIFS(Amortization!F$17:F$1017,Amortization!$A$17:$A$1017,$B117))</f>
        <v/>
      </c>
      <c r="E117" s="17" t="str">
        <f>IF($A117="","",SUMIFS(Amortization!G$17:G$1017,Amortization!$A$17:$A$1017,$B117))</f>
        <v/>
      </c>
    </row>
    <row r="118" spans="2:5" hidden="1" x14ac:dyDescent="0.3">
      <c r="B118" s="1" t="str">
        <f t="shared" si="2"/>
        <v/>
      </c>
      <c r="C118" s="17" t="str">
        <f>IF($A118="","",SUMIFS(Amortization!E$17:E$1017,Amortization!$A$17:$A$1017,$B118))</f>
        <v/>
      </c>
      <c r="D118" s="17" t="str">
        <f>IF($A118="","",SUMIFS(Amortization!F$17:F$1017,Amortization!$A$17:$A$1017,$B118))</f>
        <v/>
      </c>
      <c r="E118" s="17" t="str">
        <f>IF($A118="","",SUMIFS(Amortization!G$17:G$1017,Amortization!$A$17:$A$1017,$B118))</f>
        <v/>
      </c>
    </row>
    <row r="119" spans="2:5" hidden="1" x14ac:dyDescent="0.3">
      <c r="B119" s="1" t="str">
        <f t="shared" si="2"/>
        <v/>
      </c>
      <c r="C119" s="17" t="str">
        <f>IF($A119="","",SUMIFS(Amortization!E$17:E$1017,Amortization!$A$17:$A$1017,$B119))</f>
        <v/>
      </c>
      <c r="D119" s="17" t="str">
        <f>IF($A119="","",SUMIFS(Amortization!F$17:F$1017,Amortization!$A$17:$A$1017,$B119))</f>
        <v/>
      </c>
      <c r="E119" s="17" t="str">
        <f>IF($A119="","",SUMIFS(Amortization!G$17:G$1017,Amortization!$A$17:$A$1017,$B119))</f>
        <v/>
      </c>
    </row>
    <row r="120" spans="2:5" hidden="1" x14ac:dyDescent="0.3">
      <c r="B120" s="1" t="str">
        <f t="shared" si="2"/>
        <v/>
      </c>
      <c r="C120" s="17" t="str">
        <f>IF($A120="","",SUMIFS(Amortization!E$17:E$1017,Amortization!$A$17:$A$1017,$B120))</f>
        <v/>
      </c>
      <c r="D120" s="17" t="str">
        <f>IF($A120="","",SUMIFS(Amortization!F$17:F$1017,Amortization!$A$17:$A$1017,$B120))</f>
        <v/>
      </c>
      <c r="E120" s="17" t="str">
        <f>IF($A120="","",SUMIFS(Amortization!G$17:G$1017,Amortization!$A$17:$A$1017,$B120))</f>
        <v/>
      </c>
    </row>
    <row r="121" spans="2:5" hidden="1" x14ac:dyDescent="0.3">
      <c r="B121" s="1" t="str">
        <f t="shared" si="2"/>
        <v/>
      </c>
      <c r="C121" s="17" t="str">
        <f>IF($A121="","",SUMIFS(Amortization!E$17:E$1017,Amortization!$A$17:$A$1017,$B121))</f>
        <v/>
      </c>
      <c r="D121" s="17" t="str">
        <f>IF($A121="","",SUMIFS(Amortization!F$17:F$1017,Amortization!$A$17:$A$1017,$B121))</f>
        <v/>
      </c>
      <c r="E121" s="17" t="str">
        <f>IF($A121="","",SUMIFS(Amortization!G$17:G$1017,Amortization!$A$17:$A$1017,$B121))</f>
        <v/>
      </c>
    </row>
    <row r="122" spans="2:5" hidden="1" x14ac:dyDescent="0.3">
      <c r="B122" s="1" t="str">
        <f t="shared" si="2"/>
        <v/>
      </c>
      <c r="C122" s="17" t="str">
        <f>IF($A122="","",SUMIFS(Amortization!E$17:E$1017,Amortization!$A$17:$A$1017,$B122))</f>
        <v/>
      </c>
      <c r="D122" s="17" t="str">
        <f>IF($A122="","",SUMIFS(Amortization!F$17:F$1017,Amortization!$A$17:$A$1017,$B122))</f>
        <v/>
      </c>
      <c r="E122" s="17" t="str">
        <f>IF($A122="","",SUMIFS(Amortization!G$17:G$1017,Amortization!$A$17:$A$1017,$B122))</f>
        <v/>
      </c>
    </row>
    <row r="123" spans="2:5" hidden="1" x14ac:dyDescent="0.3">
      <c r="B123" s="1" t="str">
        <f t="shared" si="2"/>
        <v/>
      </c>
      <c r="C123" s="17" t="str">
        <f>IF($A123="","",SUMIFS(Amortization!E$17:E$1017,Amortization!$A$17:$A$1017,$B123))</f>
        <v/>
      </c>
      <c r="D123" s="17" t="str">
        <f>IF($A123="","",SUMIFS(Amortization!F$17:F$1017,Amortization!$A$17:$A$1017,$B123))</f>
        <v/>
      </c>
      <c r="E123" s="17" t="str">
        <f>IF($A123="","",SUMIFS(Amortization!G$17:G$1017,Amortization!$A$17:$A$1017,$B123))</f>
        <v/>
      </c>
    </row>
    <row r="124" spans="2:5" hidden="1" x14ac:dyDescent="0.3">
      <c r="B124" s="1" t="str">
        <f t="shared" si="2"/>
        <v/>
      </c>
      <c r="C124" s="17" t="str">
        <f>IF($A124="","",SUMIFS(Amortization!E$17:E$1017,Amortization!$A$17:$A$1017,$B124))</f>
        <v/>
      </c>
      <c r="D124" s="17" t="str">
        <f>IF($A124="","",SUMIFS(Amortization!F$17:F$1017,Amortization!$A$17:$A$1017,$B124))</f>
        <v/>
      </c>
      <c r="E124" s="17" t="str">
        <f>IF($A124="","",SUMIFS(Amortization!G$17:G$1017,Amortization!$A$17:$A$1017,$B124))</f>
        <v/>
      </c>
    </row>
    <row r="125" spans="2:5" hidden="1" x14ac:dyDescent="0.3">
      <c r="B125" s="1" t="str">
        <f t="shared" si="2"/>
        <v/>
      </c>
      <c r="C125" s="17" t="str">
        <f>IF($A125="","",SUMIFS(Amortization!E$17:E$1017,Amortization!$A$17:$A$1017,$B125))</f>
        <v/>
      </c>
      <c r="D125" s="17" t="str">
        <f>IF($A125="","",SUMIFS(Amortization!F$17:F$1017,Amortization!$A$17:$A$1017,$B125))</f>
        <v/>
      </c>
      <c r="E125" s="17" t="str">
        <f>IF($A125="","",SUMIFS(Amortization!G$17:G$1017,Amortization!$A$17:$A$1017,$B125))</f>
        <v/>
      </c>
    </row>
    <row r="126" spans="2:5" hidden="1" x14ac:dyDescent="0.3">
      <c r="B126" s="1" t="str">
        <f t="shared" si="2"/>
        <v/>
      </c>
      <c r="C126" s="17" t="str">
        <f>IF($A126="","",SUMIFS(Amortization!E$17:E$1017,Amortization!$A$17:$A$1017,$B126))</f>
        <v/>
      </c>
      <c r="D126" s="17" t="str">
        <f>IF($A126="","",SUMIFS(Amortization!F$17:F$1017,Amortization!$A$17:$A$1017,$B126))</f>
        <v/>
      </c>
      <c r="E126" s="17" t="str">
        <f>IF($A126="","",SUMIFS(Amortization!G$17:G$1017,Amortization!$A$17:$A$1017,$B126))</f>
        <v/>
      </c>
    </row>
    <row r="127" spans="2:5" hidden="1" x14ac:dyDescent="0.3">
      <c r="B127" s="1" t="str">
        <f t="shared" si="2"/>
        <v/>
      </c>
      <c r="C127" s="17" t="str">
        <f>IF($A127="","",SUMIFS(Amortization!E$17:E$1017,Amortization!$A$17:$A$1017,$B127))</f>
        <v/>
      </c>
      <c r="D127" s="17" t="str">
        <f>IF($A127="","",SUMIFS(Amortization!F$17:F$1017,Amortization!$A$17:$A$1017,$B127))</f>
        <v/>
      </c>
      <c r="E127" s="17" t="str">
        <f>IF($A127="","",SUMIFS(Amortization!G$17:G$1017,Amortization!$A$17:$A$1017,$B127))</f>
        <v/>
      </c>
    </row>
    <row r="128" spans="2:5" hidden="1" x14ac:dyDescent="0.3">
      <c r="B128" s="1" t="str">
        <f t="shared" si="2"/>
        <v/>
      </c>
      <c r="C128" s="17" t="str">
        <f>IF($A128="","",SUMIFS(Amortization!E$17:E$1017,Amortization!$A$17:$A$1017,$B128))</f>
        <v/>
      </c>
      <c r="D128" s="17" t="str">
        <f>IF($A128="","",SUMIFS(Amortization!F$17:F$1017,Amortization!$A$17:$A$1017,$B128))</f>
        <v/>
      </c>
      <c r="E128" s="17" t="str">
        <f>IF($A128="","",SUMIFS(Amortization!G$17:G$1017,Amortization!$A$17:$A$1017,$B128))</f>
        <v/>
      </c>
    </row>
    <row r="129" spans="2:5" hidden="1" x14ac:dyDescent="0.3">
      <c r="B129" s="1" t="str">
        <f t="shared" si="2"/>
        <v/>
      </c>
      <c r="C129" s="17" t="str">
        <f>IF($A129="","",SUMIFS(Amortization!E$17:E$1017,Amortization!$A$17:$A$1017,$B129))</f>
        <v/>
      </c>
      <c r="D129" s="17" t="str">
        <f>IF($A129="","",SUMIFS(Amortization!F$17:F$1017,Amortization!$A$17:$A$1017,$B129))</f>
        <v/>
      </c>
      <c r="E129" s="17" t="str">
        <f>IF($A129="","",SUMIFS(Amortization!G$17:G$1017,Amortization!$A$17:$A$1017,$B129))</f>
        <v/>
      </c>
    </row>
    <row r="130" spans="2:5" hidden="1" x14ac:dyDescent="0.3">
      <c r="B130" s="1" t="str">
        <f t="shared" si="2"/>
        <v/>
      </c>
      <c r="C130" s="17" t="str">
        <f>IF($A130="","",SUMIFS(Amortization!E$17:E$1017,Amortization!$A$17:$A$1017,$B130))</f>
        <v/>
      </c>
      <c r="D130" s="17" t="str">
        <f>IF($A130="","",SUMIFS(Amortization!F$17:F$1017,Amortization!$A$17:$A$1017,$B130))</f>
        <v/>
      </c>
      <c r="E130" s="17" t="str">
        <f>IF($A130="","",SUMIFS(Amortization!G$17:G$1017,Amortization!$A$17:$A$1017,$B130))</f>
        <v/>
      </c>
    </row>
    <row r="131" spans="2:5" hidden="1" x14ac:dyDescent="0.3">
      <c r="B131" s="1" t="str">
        <f t="shared" si="2"/>
        <v/>
      </c>
      <c r="C131" s="17" t="str">
        <f>IF($A131="","",SUMIFS(Amortization!E$17:E$1017,Amortization!$A$17:$A$1017,$B131))</f>
        <v/>
      </c>
      <c r="D131" s="17" t="str">
        <f>IF($A131="","",SUMIFS(Amortization!F$17:F$1017,Amortization!$A$17:$A$1017,$B131))</f>
        <v/>
      </c>
      <c r="E131" s="17" t="str">
        <f>IF($A131="","",SUMIFS(Amortization!G$17:G$1017,Amortization!$A$17:$A$1017,$B131))</f>
        <v/>
      </c>
    </row>
    <row r="132" spans="2:5" hidden="1" x14ac:dyDescent="0.3">
      <c r="B132" s="1" t="str">
        <f t="shared" si="2"/>
        <v/>
      </c>
      <c r="C132" s="17" t="str">
        <f>IF($A132="","",SUMIFS(Amortization!E$17:E$1017,Amortization!$A$17:$A$1017,$B132))</f>
        <v/>
      </c>
      <c r="D132" s="17" t="str">
        <f>IF($A132="","",SUMIFS(Amortization!F$17:F$1017,Amortization!$A$17:$A$1017,$B132))</f>
        <v/>
      </c>
      <c r="E132" s="17" t="str">
        <f>IF($A132="","",SUMIFS(Amortization!G$17:G$1017,Amortization!$A$17:$A$1017,$B132))</f>
        <v/>
      </c>
    </row>
    <row r="133" spans="2:5" hidden="1" x14ac:dyDescent="0.3">
      <c r="B133" s="1" t="str">
        <f t="shared" si="2"/>
        <v/>
      </c>
      <c r="C133" s="17" t="str">
        <f>IF($A133="","",SUMIFS(Amortization!E$17:E$1017,Amortization!$A$17:$A$1017,$B133))</f>
        <v/>
      </c>
      <c r="D133" s="17" t="str">
        <f>IF($A133="","",SUMIFS(Amortization!F$17:F$1017,Amortization!$A$17:$A$1017,$B133))</f>
        <v/>
      </c>
      <c r="E133" s="17" t="str">
        <f>IF($A133="","",SUMIFS(Amortization!G$17:G$1017,Amortization!$A$17:$A$1017,$B133))</f>
        <v/>
      </c>
    </row>
    <row r="134" spans="2:5" hidden="1" x14ac:dyDescent="0.3">
      <c r="B134" s="1" t="str">
        <f t="shared" si="2"/>
        <v/>
      </c>
      <c r="C134" s="17" t="str">
        <f>IF($A134="","",SUMIFS(Amortization!E$17:E$1017,Amortization!$A$17:$A$1017,$B134))</f>
        <v/>
      </c>
      <c r="D134" s="17" t="str">
        <f>IF($A134="","",SUMIFS(Amortization!F$17:F$1017,Amortization!$A$17:$A$1017,$B134))</f>
        <v/>
      </c>
      <c r="E134" s="17" t="str">
        <f>IF($A134="","",SUMIFS(Amortization!G$17:G$1017,Amortization!$A$17:$A$1017,$B134))</f>
        <v/>
      </c>
    </row>
    <row r="135" spans="2:5" hidden="1" x14ac:dyDescent="0.3">
      <c r="B135" s="1" t="str">
        <f t="shared" si="2"/>
        <v/>
      </c>
      <c r="C135" s="17" t="str">
        <f>IF($A135="","",SUMIFS(Amortization!E$17:E$1017,Amortization!$A$17:$A$1017,$B135))</f>
        <v/>
      </c>
      <c r="D135" s="17" t="str">
        <f>IF($A135="","",SUMIFS(Amortization!F$17:F$1017,Amortization!$A$17:$A$1017,$B135))</f>
        <v/>
      </c>
      <c r="E135" s="17" t="str">
        <f>IF($A135="","",SUMIFS(Amortization!G$17:G$1017,Amortization!$A$17:$A$1017,$B135))</f>
        <v/>
      </c>
    </row>
    <row r="136" spans="2:5" hidden="1" x14ac:dyDescent="0.3">
      <c r="B136" s="1" t="str">
        <f t="shared" si="2"/>
        <v/>
      </c>
      <c r="C136" s="17" t="str">
        <f>IF($A136="","",SUMIFS(Amortization!E$17:E$1017,Amortization!$A$17:$A$1017,$B136))</f>
        <v/>
      </c>
      <c r="D136" s="17" t="str">
        <f>IF($A136="","",SUMIFS(Amortization!F$17:F$1017,Amortization!$A$17:$A$1017,$B136))</f>
        <v/>
      </c>
      <c r="E136" s="17" t="str">
        <f>IF($A136="","",SUMIFS(Amortization!G$17:G$1017,Amortization!$A$17:$A$1017,$B136))</f>
        <v/>
      </c>
    </row>
    <row r="137" spans="2:5" hidden="1" x14ac:dyDescent="0.3">
      <c r="B137" s="1" t="str">
        <f t="shared" si="2"/>
        <v/>
      </c>
      <c r="C137" s="17" t="str">
        <f>IF($A137="","",SUMIFS(Amortization!E$17:E$1017,Amortization!$A$17:$A$1017,$B137))</f>
        <v/>
      </c>
      <c r="D137" s="17" t="str">
        <f>IF($A137="","",SUMIFS(Amortization!F$17:F$1017,Amortization!$A$17:$A$1017,$B137))</f>
        <v/>
      </c>
      <c r="E137" s="17" t="str">
        <f>IF($A137="","",SUMIFS(Amortization!G$17:G$1017,Amortization!$A$17:$A$1017,$B137))</f>
        <v/>
      </c>
    </row>
    <row r="138" spans="2:5" hidden="1" x14ac:dyDescent="0.3">
      <c r="B138" s="1" t="str">
        <f t="shared" si="2"/>
        <v/>
      </c>
      <c r="C138" s="17" t="str">
        <f>IF($A138="","",SUMIFS(Amortization!E$17:E$1017,Amortization!$A$17:$A$1017,$B138))</f>
        <v/>
      </c>
      <c r="D138" s="17" t="str">
        <f>IF($A138="","",SUMIFS(Amortization!F$17:F$1017,Amortization!$A$17:$A$1017,$B138))</f>
        <v/>
      </c>
      <c r="E138" s="17" t="str">
        <f>IF($A138="","",SUMIFS(Amortization!G$17:G$1017,Amortization!$A$17:$A$1017,$B138))</f>
        <v/>
      </c>
    </row>
    <row r="139" spans="2:5" hidden="1" x14ac:dyDescent="0.3">
      <c r="B139" s="1" t="str">
        <f t="shared" si="2"/>
        <v/>
      </c>
      <c r="C139" s="17" t="str">
        <f>IF($A139="","",SUMIFS(Amortization!E$17:E$1017,Amortization!$A$17:$A$1017,$B139))</f>
        <v/>
      </c>
      <c r="D139" s="17" t="str">
        <f>IF($A139="","",SUMIFS(Amortization!F$17:F$1017,Amortization!$A$17:$A$1017,$B139))</f>
        <v/>
      </c>
      <c r="E139" s="17" t="str">
        <f>IF($A139="","",SUMIFS(Amortization!G$17:G$1017,Amortization!$A$17:$A$1017,$B139))</f>
        <v/>
      </c>
    </row>
    <row r="140" spans="2:5" hidden="1" x14ac:dyDescent="0.3">
      <c r="B140" s="1" t="str">
        <f t="shared" si="2"/>
        <v/>
      </c>
      <c r="C140" s="17" t="str">
        <f>IF($A140="","",SUMIFS(Amortization!E$17:E$1017,Amortization!$A$17:$A$1017,$B140))</f>
        <v/>
      </c>
      <c r="D140" s="17" t="str">
        <f>IF($A140="","",SUMIFS(Amortization!F$17:F$1017,Amortization!$A$17:$A$1017,$B140))</f>
        <v/>
      </c>
      <c r="E140" s="17" t="str">
        <f>IF($A140="","",SUMIFS(Amortization!G$17:G$1017,Amortization!$A$17:$A$1017,$B140))</f>
        <v/>
      </c>
    </row>
    <row r="141" spans="2:5" hidden="1" x14ac:dyDescent="0.3">
      <c r="B141" s="1" t="str">
        <f t="shared" si="2"/>
        <v/>
      </c>
      <c r="C141" s="17" t="str">
        <f>IF($A141="","",SUMIFS(Amortization!E$17:E$1017,Amortization!$A$17:$A$1017,$B141))</f>
        <v/>
      </c>
      <c r="D141" s="17" t="str">
        <f>IF($A141="","",SUMIFS(Amortization!F$17:F$1017,Amortization!$A$17:$A$1017,$B141))</f>
        <v/>
      </c>
      <c r="E141" s="17" t="str">
        <f>IF($A141="","",SUMIFS(Amortization!G$17:G$1017,Amortization!$A$17:$A$1017,$B141))</f>
        <v/>
      </c>
    </row>
    <row r="142" spans="2:5" hidden="1" x14ac:dyDescent="0.3">
      <c r="B142" s="1" t="str">
        <f t="shared" si="2"/>
        <v/>
      </c>
      <c r="C142" s="17" t="str">
        <f>IF($A142="","",SUMIFS(Amortization!E$17:E$1017,Amortization!$A$17:$A$1017,$B142))</f>
        <v/>
      </c>
      <c r="D142" s="17" t="str">
        <f>IF($A142="","",SUMIFS(Amortization!F$17:F$1017,Amortization!$A$17:$A$1017,$B142))</f>
        <v/>
      </c>
      <c r="E142" s="17" t="str">
        <f>IF($A142="","",SUMIFS(Amortization!G$17:G$1017,Amortization!$A$17:$A$1017,$B142))</f>
        <v/>
      </c>
    </row>
    <row r="143" spans="2:5" hidden="1" x14ac:dyDescent="0.3">
      <c r="B143" s="1" t="str">
        <f t="shared" si="2"/>
        <v/>
      </c>
      <c r="C143" s="17" t="str">
        <f>IF($A143="","",SUMIFS(Amortization!E$17:E$1017,Amortization!$A$17:$A$1017,$B143))</f>
        <v/>
      </c>
      <c r="D143" s="17" t="str">
        <f>IF($A143="","",SUMIFS(Amortization!F$17:F$1017,Amortization!$A$17:$A$1017,$B143))</f>
        <v/>
      </c>
      <c r="E143" s="17" t="str">
        <f>IF($A143="","",SUMIFS(Amortization!G$17:G$1017,Amortization!$A$17:$A$1017,$B143))</f>
        <v/>
      </c>
    </row>
    <row r="144" spans="2:5" hidden="1" x14ac:dyDescent="0.3">
      <c r="B144" s="1" t="str">
        <f t="shared" si="2"/>
        <v/>
      </c>
      <c r="C144" s="17" t="str">
        <f>IF($A144="","",SUMIFS(Amortization!E$17:E$1017,Amortization!$A$17:$A$1017,$B144))</f>
        <v/>
      </c>
      <c r="D144" s="17" t="str">
        <f>IF($A144="","",SUMIFS(Amortization!F$17:F$1017,Amortization!$A$17:$A$1017,$B144))</f>
        <v/>
      </c>
      <c r="E144" s="17" t="str">
        <f>IF($A144="","",SUMIFS(Amortization!G$17:G$1017,Amortization!$A$17:$A$1017,$B144))</f>
        <v/>
      </c>
    </row>
    <row r="145" spans="2:5" hidden="1" x14ac:dyDescent="0.3">
      <c r="B145" s="1" t="str">
        <f t="shared" si="2"/>
        <v/>
      </c>
      <c r="C145" s="17" t="str">
        <f>IF($A145="","",SUMIFS(Amortization!E$17:E$1017,Amortization!$A$17:$A$1017,$B145))</f>
        <v/>
      </c>
      <c r="D145" s="17" t="str">
        <f>IF($A145="","",SUMIFS(Amortization!F$17:F$1017,Amortization!$A$17:$A$1017,$B145))</f>
        <v/>
      </c>
      <c r="E145" s="17" t="str">
        <f>IF($A145="","",SUMIFS(Amortization!G$17:G$1017,Amortization!$A$17:$A$1017,$B145))</f>
        <v/>
      </c>
    </row>
    <row r="146" spans="2:5" hidden="1" x14ac:dyDescent="0.3">
      <c r="B146" s="1" t="str">
        <f t="shared" si="2"/>
        <v/>
      </c>
      <c r="C146" s="17" t="str">
        <f>IF($A146="","",SUMIFS(Amortization!E$17:E$1017,Amortization!$A$17:$A$1017,$B146))</f>
        <v/>
      </c>
      <c r="D146" s="17" t="str">
        <f>IF($A146="","",SUMIFS(Amortization!F$17:F$1017,Amortization!$A$17:$A$1017,$B146))</f>
        <v/>
      </c>
      <c r="E146" s="17" t="str">
        <f>IF($A146="","",SUMIFS(Amortization!G$17:G$1017,Amortization!$A$17:$A$1017,$B146))</f>
        <v/>
      </c>
    </row>
    <row r="147" spans="2:5" hidden="1" x14ac:dyDescent="0.3">
      <c r="B147" s="1" t="str">
        <f t="shared" ref="B147:B210" si="3">IF(A147="","",B146+1)</f>
        <v/>
      </c>
      <c r="C147" s="17" t="str">
        <f>IF($A147="","",SUMIFS(Amortization!E$17:E$1017,Amortization!$A$17:$A$1017,$B147))</f>
        <v/>
      </c>
      <c r="D147" s="17" t="str">
        <f>IF($A147="","",SUMIFS(Amortization!F$17:F$1017,Amortization!$A$17:$A$1017,$B147))</f>
        <v/>
      </c>
      <c r="E147" s="17" t="str">
        <f>IF($A147="","",SUMIFS(Amortization!G$17:G$1017,Amortization!$A$17:$A$1017,$B147))</f>
        <v/>
      </c>
    </row>
    <row r="148" spans="2:5" hidden="1" x14ac:dyDescent="0.3">
      <c r="B148" s="1" t="str">
        <f t="shared" si="3"/>
        <v/>
      </c>
      <c r="C148" s="17" t="str">
        <f>IF($A148="","",SUMIFS(Amortization!E$17:E$1017,Amortization!$A$17:$A$1017,$B148))</f>
        <v/>
      </c>
      <c r="D148" s="17" t="str">
        <f>IF($A148="","",SUMIFS(Amortization!F$17:F$1017,Amortization!$A$17:$A$1017,$B148))</f>
        <v/>
      </c>
      <c r="E148" s="17" t="str">
        <f>IF($A148="","",SUMIFS(Amortization!G$17:G$1017,Amortization!$A$17:$A$1017,$B148))</f>
        <v/>
      </c>
    </row>
    <row r="149" spans="2:5" hidden="1" x14ac:dyDescent="0.3">
      <c r="B149" s="1" t="str">
        <f t="shared" si="3"/>
        <v/>
      </c>
      <c r="C149" s="17" t="str">
        <f>IF($A149="","",SUMIFS(Amortization!E$17:E$1017,Amortization!$A$17:$A$1017,$B149))</f>
        <v/>
      </c>
      <c r="D149" s="17" t="str">
        <f>IF($A149="","",SUMIFS(Amortization!F$17:F$1017,Amortization!$A$17:$A$1017,$B149))</f>
        <v/>
      </c>
      <c r="E149" s="17" t="str">
        <f>IF($A149="","",SUMIFS(Amortization!G$17:G$1017,Amortization!$A$17:$A$1017,$B149))</f>
        <v/>
      </c>
    </row>
    <row r="150" spans="2:5" hidden="1" x14ac:dyDescent="0.3">
      <c r="B150" s="1" t="str">
        <f t="shared" si="3"/>
        <v/>
      </c>
      <c r="C150" s="17" t="str">
        <f>IF($A150="","",SUMIFS(Amortization!E$17:E$1017,Amortization!$A$17:$A$1017,$B150))</f>
        <v/>
      </c>
      <c r="D150" s="17" t="str">
        <f>IF($A150="","",SUMIFS(Amortization!F$17:F$1017,Amortization!$A$17:$A$1017,$B150))</f>
        <v/>
      </c>
      <c r="E150" s="17" t="str">
        <f>IF($A150="","",SUMIFS(Amortization!G$17:G$1017,Amortization!$A$17:$A$1017,$B150))</f>
        <v/>
      </c>
    </row>
    <row r="151" spans="2:5" hidden="1" x14ac:dyDescent="0.3">
      <c r="B151" s="1" t="str">
        <f t="shared" si="3"/>
        <v/>
      </c>
      <c r="C151" s="17" t="str">
        <f>IF($A151="","",SUMIFS(Amortization!E$17:E$1017,Amortization!$A$17:$A$1017,$B151))</f>
        <v/>
      </c>
      <c r="D151" s="17" t="str">
        <f>IF($A151="","",SUMIFS(Amortization!F$17:F$1017,Amortization!$A$17:$A$1017,$B151))</f>
        <v/>
      </c>
      <c r="E151" s="17" t="str">
        <f>IF($A151="","",SUMIFS(Amortization!G$17:G$1017,Amortization!$A$17:$A$1017,$B151))</f>
        <v/>
      </c>
    </row>
    <row r="152" spans="2:5" hidden="1" x14ac:dyDescent="0.3">
      <c r="B152" s="1" t="str">
        <f t="shared" si="3"/>
        <v/>
      </c>
      <c r="C152" s="17" t="str">
        <f>IF($A152="","",SUMIFS(Amortization!E$17:E$1017,Amortization!$A$17:$A$1017,$B152))</f>
        <v/>
      </c>
      <c r="D152" s="17" t="str">
        <f>IF($A152="","",SUMIFS(Amortization!F$17:F$1017,Amortization!$A$17:$A$1017,$B152))</f>
        <v/>
      </c>
      <c r="E152" s="17" t="str">
        <f>IF($A152="","",SUMIFS(Amortization!G$17:G$1017,Amortization!$A$17:$A$1017,$B152))</f>
        <v/>
      </c>
    </row>
    <row r="153" spans="2:5" hidden="1" x14ac:dyDescent="0.3">
      <c r="B153" s="1" t="str">
        <f t="shared" si="3"/>
        <v/>
      </c>
      <c r="C153" s="17" t="str">
        <f>IF($A153="","",SUMIFS(Amortization!E$17:E$1017,Amortization!$A$17:$A$1017,$B153))</f>
        <v/>
      </c>
      <c r="D153" s="17" t="str">
        <f>IF($A153="","",SUMIFS(Amortization!F$17:F$1017,Amortization!$A$17:$A$1017,$B153))</f>
        <v/>
      </c>
      <c r="E153" s="17" t="str">
        <f>IF($A153="","",SUMIFS(Amortization!G$17:G$1017,Amortization!$A$17:$A$1017,$B153))</f>
        <v/>
      </c>
    </row>
    <row r="154" spans="2:5" hidden="1" x14ac:dyDescent="0.3">
      <c r="B154" s="1" t="str">
        <f t="shared" si="3"/>
        <v/>
      </c>
      <c r="C154" s="17" t="str">
        <f>IF($A154="","",SUMIFS(Amortization!E$17:E$1017,Amortization!$A$17:$A$1017,$B154))</f>
        <v/>
      </c>
      <c r="D154" s="17" t="str">
        <f>IF($A154="","",SUMIFS(Amortization!F$17:F$1017,Amortization!$A$17:$A$1017,$B154))</f>
        <v/>
      </c>
      <c r="E154" s="17" t="str">
        <f>IF($A154="","",SUMIFS(Amortization!G$17:G$1017,Amortization!$A$17:$A$1017,$B154))</f>
        <v/>
      </c>
    </row>
    <row r="155" spans="2:5" hidden="1" x14ac:dyDescent="0.3">
      <c r="B155" s="1" t="str">
        <f t="shared" si="3"/>
        <v/>
      </c>
      <c r="C155" s="17" t="str">
        <f>IF($A155="","",SUMIFS(Amortization!E$17:E$1017,Amortization!$A$17:$A$1017,$B155))</f>
        <v/>
      </c>
      <c r="D155" s="17" t="str">
        <f>IF($A155="","",SUMIFS(Amortization!F$17:F$1017,Amortization!$A$17:$A$1017,$B155))</f>
        <v/>
      </c>
      <c r="E155" s="17" t="str">
        <f>IF($A155="","",SUMIFS(Amortization!G$17:G$1017,Amortization!$A$17:$A$1017,$B155))</f>
        <v/>
      </c>
    </row>
    <row r="156" spans="2:5" hidden="1" x14ac:dyDescent="0.3">
      <c r="B156" s="1" t="str">
        <f t="shared" si="3"/>
        <v/>
      </c>
      <c r="C156" s="17" t="str">
        <f>IF($A156="","",SUMIFS(Amortization!E$17:E$1017,Amortization!$A$17:$A$1017,$B156))</f>
        <v/>
      </c>
      <c r="D156" s="17" t="str">
        <f>IF($A156="","",SUMIFS(Amortization!F$17:F$1017,Amortization!$A$17:$A$1017,$B156))</f>
        <v/>
      </c>
      <c r="E156" s="17" t="str">
        <f>IF($A156="","",SUMIFS(Amortization!G$17:G$1017,Amortization!$A$17:$A$1017,$B156))</f>
        <v/>
      </c>
    </row>
    <row r="157" spans="2:5" hidden="1" x14ac:dyDescent="0.3">
      <c r="B157" s="1" t="str">
        <f t="shared" si="3"/>
        <v/>
      </c>
      <c r="C157" s="17" t="str">
        <f>IF($A157="","",SUMIFS(Amortization!E$17:E$1017,Amortization!$A$17:$A$1017,$B157))</f>
        <v/>
      </c>
      <c r="D157" s="17" t="str">
        <f>IF($A157="","",SUMIFS(Amortization!F$17:F$1017,Amortization!$A$17:$A$1017,$B157))</f>
        <v/>
      </c>
      <c r="E157" s="17" t="str">
        <f>IF($A157="","",SUMIFS(Amortization!G$17:G$1017,Amortization!$A$17:$A$1017,$B157))</f>
        <v/>
      </c>
    </row>
    <row r="158" spans="2:5" hidden="1" x14ac:dyDescent="0.3">
      <c r="B158" s="1" t="str">
        <f t="shared" si="3"/>
        <v/>
      </c>
      <c r="C158" s="17" t="str">
        <f>IF($A158="","",SUMIFS(Amortization!E$17:E$1017,Amortization!$A$17:$A$1017,$B158))</f>
        <v/>
      </c>
      <c r="D158" s="17" t="str">
        <f>IF($A158="","",SUMIFS(Amortization!F$17:F$1017,Amortization!$A$17:$A$1017,$B158))</f>
        <v/>
      </c>
      <c r="E158" s="17" t="str">
        <f>IF($A158="","",SUMIFS(Amortization!G$17:G$1017,Amortization!$A$17:$A$1017,$B158))</f>
        <v/>
      </c>
    </row>
    <row r="159" spans="2:5" hidden="1" x14ac:dyDescent="0.3">
      <c r="B159" s="1" t="str">
        <f t="shared" si="3"/>
        <v/>
      </c>
      <c r="C159" s="17" t="str">
        <f>IF($A159="","",SUMIFS(Amortization!E$17:E$1017,Amortization!$A$17:$A$1017,$B159))</f>
        <v/>
      </c>
      <c r="D159" s="17" t="str">
        <f>IF($A159="","",SUMIFS(Amortization!F$17:F$1017,Amortization!$A$17:$A$1017,$B159))</f>
        <v/>
      </c>
      <c r="E159" s="17" t="str">
        <f>IF($A159="","",SUMIFS(Amortization!G$17:G$1017,Amortization!$A$17:$A$1017,$B159))</f>
        <v/>
      </c>
    </row>
    <row r="160" spans="2:5" hidden="1" x14ac:dyDescent="0.3">
      <c r="B160" s="1" t="str">
        <f t="shared" si="3"/>
        <v/>
      </c>
      <c r="C160" s="17" t="str">
        <f>IF($A160="","",SUMIFS(Amortization!E$17:E$1017,Amortization!$A$17:$A$1017,$B160))</f>
        <v/>
      </c>
      <c r="D160" s="17" t="str">
        <f>IF($A160="","",SUMIFS(Amortization!F$17:F$1017,Amortization!$A$17:$A$1017,$B160))</f>
        <v/>
      </c>
      <c r="E160" s="17" t="str">
        <f>IF($A160="","",SUMIFS(Amortization!G$17:G$1017,Amortization!$A$17:$A$1017,$B160))</f>
        <v/>
      </c>
    </row>
    <row r="161" spans="2:5" hidden="1" x14ac:dyDescent="0.3">
      <c r="B161" s="1" t="str">
        <f t="shared" si="3"/>
        <v/>
      </c>
      <c r="C161" s="17" t="str">
        <f>IF($A161="","",SUMIFS(Amortization!E$17:E$1017,Amortization!$A$17:$A$1017,$B161))</f>
        <v/>
      </c>
      <c r="D161" s="17" t="str">
        <f>IF($A161="","",SUMIFS(Amortization!F$17:F$1017,Amortization!$A$17:$A$1017,$B161))</f>
        <v/>
      </c>
      <c r="E161" s="17" t="str">
        <f>IF($A161="","",SUMIFS(Amortization!G$17:G$1017,Amortization!$A$17:$A$1017,$B161))</f>
        <v/>
      </c>
    </row>
    <row r="162" spans="2:5" hidden="1" x14ac:dyDescent="0.3">
      <c r="B162" s="1" t="str">
        <f t="shared" si="3"/>
        <v/>
      </c>
      <c r="C162" s="17" t="str">
        <f>IF($A162="","",SUMIFS(Amortization!E$17:E$1017,Amortization!$A$17:$A$1017,$B162))</f>
        <v/>
      </c>
      <c r="D162" s="17" t="str">
        <f>IF($A162="","",SUMIFS(Amortization!F$17:F$1017,Amortization!$A$17:$A$1017,$B162))</f>
        <v/>
      </c>
      <c r="E162" s="17" t="str">
        <f>IF($A162="","",SUMIFS(Amortization!G$17:G$1017,Amortization!$A$17:$A$1017,$B162))</f>
        <v/>
      </c>
    </row>
    <row r="163" spans="2:5" hidden="1" x14ac:dyDescent="0.3">
      <c r="B163" s="1" t="str">
        <f t="shared" si="3"/>
        <v/>
      </c>
      <c r="C163" s="17" t="str">
        <f>IF($A163="","",SUMIFS(Amortization!E$17:E$1017,Amortization!$A$17:$A$1017,$B163))</f>
        <v/>
      </c>
      <c r="D163" s="17" t="str">
        <f>IF($A163="","",SUMIFS(Amortization!F$17:F$1017,Amortization!$A$17:$A$1017,$B163))</f>
        <v/>
      </c>
      <c r="E163" s="17" t="str">
        <f>IF($A163="","",SUMIFS(Amortization!G$17:G$1017,Amortization!$A$17:$A$1017,$B163))</f>
        <v/>
      </c>
    </row>
    <row r="164" spans="2:5" hidden="1" x14ac:dyDescent="0.3">
      <c r="B164" s="1" t="str">
        <f t="shared" si="3"/>
        <v/>
      </c>
      <c r="C164" s="17" t="str">
        <f>IF($A164="","",SUMIFS(Amortization!E$17:E$1017,Amortization!$A$17:$A$1017,$B164))</f>
        <v/>
      </c>
      <c r="D164" s="17" t="str">
        <f>IF($A164="","",SUMIFS(Amortization!F$17:F$1017,Amortization!$A$17:$A$1017,$B164))</f>
        <v/>
      </c>
      <c r="E164" s="17" t="str">
        <f>IF($A164="","",SUMIFS(Amortization!G$17:G$1017,Amortization!$A$17:$A$1017,$B164))</f>
        <v/>
      </c>
    </row>
    <row r="165" spans="2:5" hidden="1" x14ac:dyDescent="0.3">
      <c r="B165" s="1" t="str">
        <f t="shared" si="3"/>
        <v/>
      </c>
      <c r="C165" s="17" t="str">
        <f>IF($A165="","",SUMIFS(Amortization!E$17:E$1017,Amortization!$A$17:$A$1017,$B165))</f>
        <v/>
      </c>
      <c r="D165" s="17" t="str">
        <f>IF($A165="","",SUMIFS(Amortization!F$17:F$1017,Amortization!$A$17:$A$1017,$B165))</f>
        <v/>
      </c>
      <c r="E165" s="17" t="str">
        <f>IF($A165="","",SUMIFS(Amortization!G$17:G$1017,Amortization!$A$17:$A$1017,$B165))</f>
        <v/>
      </c>
    </row>
    <row r="166" spans="2:5" hidden="1" x14ac:dyDescent="0.3">
      <c r="B166" s="1" t="str">
        <f t="shared" si="3"/>
        <v/>
      </c>
      <c r="C166" s="17" t="str">
        <f>IF($A166="","",SUMIFS(Amortization!E$17:E$1017,Amortization!$A$17:$A$1017,$B166))</f>
        <v/>
      </c>
      <c r="D166" s="17" t="str">
        <f>IF($A166="","",SUMIFS(Amortization!F$17:F$1017,Amortization!$A$17:$A$1017,$B166))</f>
        <v/>
      </c>
      <c r="E166" s="17" t="str">
        <f>IF($A166="","",SUMIFS(Amortization!G$17:G$1017,Amortization!$A$17:$A$1017,$B166))</f>
        <v/>
      </c>
    </row>
    <row r="167" spans="2:5" hidden="1" x14ac:dyDescent="0.3">
      <c r="B167" s="1" t="str">
        <f t="shared" si="3"/>
        <v/>
      </c>
      <c r="C167" s="17" t="str">
        <f>IF($A167="","",SUMIFS(Amortization!E$17:E$1017,Amortization!$A$17:$A$1017,$B167))</f>
        <v/>
      </c>
      <c r="D167" s="17" t="str">
        <f>IF($A167="","",SUMIFS(Amortization!F$17:F$1017,Amortization!$A$17:$A$1017,$B167))</f>
        <v/>
      </c>
      <c r="E167" s="17" t="str">
        <f>IF($A167="","",SUMIFS(Amortization!G$17:G$1017,Amortization!$A$17:$A$1017,$B167))</f>
        <v/>
      </c>
    </row>
    <row r="168" spans="2:5" hidden="1" x14ac:dyDescent="0.3">
      <c r="B168" s="1" t="str">
        <f t="shared" si="3"/>
        <v/>
      </c>
      <c r="C168" s="17" t="str">
        <f>IF($A168="","",SUMIFS(Amortization!E$17:E$1017,Amortization!$A$17:$A$1017,$B168))</f>
        <v/>
      </c>
      <c r="D168" s="17" t="str">
        <f>IF($A168="","",SUMIFS(Amortization!F$17:F$1017,Amortization!$A$17:$A$1017,$B168))</f>
        <v/>
      </c>
      <c r="E168" s="17" t="str">
        <f>IF($A168="","",SUMIFS(Amortization!G$17:G$1017,Amortization!$A$17:$A$1017,$B168))</f>
        <v/>
      </c>
    </row>
    <row r="169" spans="2:5" hidden="1" x14ac:dyDescent="0.3">
      <c r="B169" s="1" t="str">
        <f t="shared" si="3"/>
        <v/>
      </c>
      <c r="C169" s="17" t="str">
        <f>IF($A169="","",SUMIFS(Amortization!E$17:E$1017,Amortization!$A$17:$A$1017,$B169))</f>
        <v/>
      </c>
      <c r="D169" s="17" t="str">
        <f>IF($A169="","",SUMIFS(Amortization!F$17:F$1017,Amortization!$A$17:$A$1017,$B169))</f>
        <v/>
      </c>
      <c r="E169" s="17" t="str">
        <f>IF($A169="","",SUMIFS(Amortization!G$17:G$1017,Amortization!$A$17:$A$1017,$B169))</f>
        <v/>
      </c>
    </row>
    <row r="170" spans="2:5" hidden="1" x14ac:dyDescent="0.3">
      <c r="B170" s="1" t="str">
        <f t="shared" si="3"/>
        <v/>
      </c>
      <c r="C170" s="17" t="str">
        <f>IF($A170="","",SUMIFS(Amortization!E$17:E$1017,Amortization!$A$17:$A$1017,$B170))</f>
        <v/>
      </c>
      <c r="D170" s="17" t="str">
        <f>IF($A170="","",SUMIFS(Amortization!F$17:F$1017,Amortization!$A$17:$A$1017,$B170))</f>
        <v/>
      </c>
      <c r="E170" s="17" t="str">
        <f>IF($A170="","",SUMIFS(Amortization!G$17:G$1017,Amortization!$A$17:$A$1017,$B170))</f>
        <v/>
      </c>
    </row>
    <row r="171" spans="2:5" hidden="1" x14ac:dyDescent="0.3">
      <c r="B171" s="1" t="str">
        <f t="shared" si="3"/>
        <v/>
      </c>
      <c r="C171" s="17" t="str">
        <f>IF($A171="","",SUMIFS(Amortization!E$17:E$1017,Amortization!$A$17:$A$1017,$B171))</f>
        <v/>
      </c>
      <c r="D171" s="17" t="str">
        <f>IF($A171="","",SUMIFS(Amortization!F$17:F$1017,Amortization!$A$17:$A$1017,$B171))</f>
        <v/>
      </c>
      <c r="E171" s="17" t="str">
        <f>IF($A171="","",SUMIFS(Amortization!G$17:G$1017,Amortization!$A$17:$A$1017,$B171))</f>
        <v/>
      </c>
    </row>
    <row r="172" spans="2:5" hidden="1" x14ac:dyDescent="0.3">
      <c r="B172" s="1" t="str">
        <f t="shared" si="3"/>
        <v/>
      </c>
      <c r="C172" s="17" t="str">
        <f>IF($A172="","",SUMIFS(Amortization!E$17:E$1017,Amortization!$A$17:$A$1017,$B172))</f>
        <v/>
      </c>
      <c r="D172" s="17" t="str">
        <f>IF($A172="","",SUMIFS(Amortization!F$17:F$1017,Amortization!$A$17:$A$1017,$B172))</f>
        <v/>
      </c>
      <c r="E172" s="17" t="str">
        <f>IF($A172="","",SUMIFS(Amortization!G$17:G$1017,Amortization!$A$17:$A$1017,$B172))</f>
        <v/>
      </c>
    </row>
    <row r="173" spans="2:5" hidden="1" x14ac:dyDescent="0.3">
      <c r="B173" s="1" t="str">
        <f t="shared" si="3"/>
        <v/>
      </c>
      <c r="C173" s="17" t="str">
        <f>IF($A173="","",SUMIFS(Amortization!E$17:E$1017,Amortization!$A$17:$A$1017,$B173))</f>
        <v/>
      </c>
      <c r="D173" s="17" t="str">
        <f>IF($A173="","",SUMIFS(Amortization!F$17:F$1017,Amortization!$A$17:$A$1017,$B173))</f>
        <v/>
      </c>
      <c r="E173" s="17" t="str">
        <f>IF($A173="","",SUMIFS(Amortization!G$17:G$1017,Amortization!$A$17:$A$1017,$B173))</f>
        <v/>
      </c>
    </row>
    <row r="174" spans="2:5" hidden="1" x14ac:dyDescent="0.3">
      <c r="B174" s="1" t="str">
        <f t="shared" si="3"/>
        <v/>
      </c>
      <c r="C174" s="17" t="str">
        <f>IF($A174="","",SUMIFS(Amortization!E$17:E$1017,Amortization!$A$17:$A$1017,$B174))</f>
        <v/>
      </c>
      <c r="D174" s="17" t="str">
        <f>IF($A174="","",SUMIFS(Amortization!F$17:F$1017,Amortization!$A$17:$A$1017,$B174))</f>
        <v/>
      </c>
      <c r="E174" s="17" t="str">
        <f>IF($A174="","",SUMIFS(Amortization!G$17:G$1017,Amortization!$A$17:$A$1017,$B174))</f>
        <v/>
      </c>
    </row>
    <row r="175" spans="2:5" hidden="1" x14ac:dyDescent="0.3">
      <c r="B175" s="1" t="str">
        <f t="shared" si="3"/>
        <v/>
      </c>
      <c r="C175" s="17" t="str">
        <f>IF($A175="","",SUMIFS(Amortization!E$17:E$1017,Amortization!$A$17:$A$1017,$B175))</f>
        <v/>
      </c>
      <c r="D175" s="17" t="str">
        <f>IF($A175="","",SUMIFS(Amortization!F$17:F$1017,Amortization!$A$17:$A$1017,$B175))</f>
        <v/>
      </c>
      <c r="E175" s="17" t="str">
        <f>IF($A175="","",SUMIFS(Amortization!G$17:G$1017,Amortization!$A$17:$A$1017,$B175))</f>
        <v/>
      </c>
    </row>
    <row r="176" spans="2:5" hidden="1" x14ac:dyDescent="0.3">
      <c r="B176" s="1" t="str">
        <f t="shared" si="3"/>
        <v/>
      </c>
      <c r="C176" s="17" t="str">
        <f>IF($A176="","",SUMIFS(Amortization!E$17:E$1017,Amortization!$A$17:$A$1017,$B176))</f>
        <v/>
      </c>
      <c r="D176" s="17" t="str">
        <f>IF($A176="","",SUMIFS(Amortization!F$17:F$1017,Amortization!$A$17:$A$1017,$B176))</f>
        <v/>
      </c>
      <c r="E176" s="17" t="str">
        <f>IF($A176="","",SUMIFS(Amortization!G$17:G$1017,Amortization!$A$17:$A$1017,$B176))</f>
        <v/>
      </c>
    </row>
    <row r="177" spans="2:5" hidden="1" x14ac:dyDescent="0.3">
      <c r="B177" s="1" t="str">
        <f t="shared" si="3"/>
        <v/>
      </c>
      <c r="C177" s="17" t="str">
        <f>IF($A177="","",SUMIFS(Amortization!E$17:E$1017,Amortization!$A$17:$A$1017,$B177))</f>
        <v/>
      </c>
      <c r="D177" s="17" t="str">
        <f>IF($A177="","",SUMIFS(Amortization!F$17:F$1017,Amortization!$A$17:$A$1017,$B177))</f>
        <v/>
      </c>
      <c r="E177" s="17" t="str">
        <f>IF($A177="","",SUMIFS(Amortization!G$17:G$1017,Amortization!$A$17:$A$1017,$B177))</f>
        <v/>
      </c>
    </row>
    <row r="178" spans="2:5" hidden="1" x14ac:dyDescent="0.3">
      <c r="B178" s="1" t="str">
        <f t="shared" si="3"/>
        <v/>
      </c>
      <c r="C178" s="17" t="str">
        <f>IF($A178="","",SUMIFS(Amortization!E$17:E$1017,Amortization!$A$17:$A$1017,$B178))</f>
        <v/>
      </c>
      <c r="D178" s="17" t="str">
        <f>IF($A178="","",SUMIFS(Amortization!F$17:F$1017,Amortization!$A$17:$A$1017,$B178))</f>
        <v/>
      </c>
      <c r="E178" s="17" t="str">
        <f>IF($A178="","",SUMIFS(Amortization!G$17:G$1017,Amortization!$A$17:$A$1017,$B178))</f>
        <v/>
      </c>
    </row>
    <row r="179" spans="2:5" hidden="1" x14ac:dyDescent="0.3">
      <c r="B179" s="1" t="str">
        <f t="shared" si="3"/>
        <v/>
      </c>
      <c r="C179" s="17" t="str">
        <f>IF($A179="","",SUMIFS(Amortization!E$17:E$1017,Amortization!$A$17:$A$1017,$B179))</f>
        <v/>
      </c>
      <c r="D179" s="17" t="str">
        <f>IF($A179="","",SUMIFS(Amortization!F$17:F$1017,Amortization!$A$17:$A$1017,$B179))</f>
        <v/>
      </c>
      <c r="E179" s="17" t="str">
        <f>IF($A179="","",SUMIFS(Amortization!G$17:G$1017,Amortization!$A$17:$A$1017,$B179))</f>
        <v/>
      </c>
    </row>
    <row r="180" spans="2:5" hidden="1" x14ac:dyDescent="0.3">
      <c r="B180" s="1" t="str">
        <f t="shared" si="3"/>
        <v/>
      </c>
      <c r="C180" s="17" t="str">
        <f>IF($A180="","",SUMIFS(Amortization!E$17:E$1017,Amortization!$A$17:$A$1017,$B180))</f>
        <v/>
      </c>
      <c r="D180" s="17" t="str">
        <f>IF($A180="","",SUMIFS(Amortization!F$17:F$1017,Amortization!$A$17:$A$1017,$B180))</f>
        <v/>
      </c>
      <c r="E180" s="17" t="str">
        <f>IF($A180="","",SUMIFS(Amortization!G$17:G$1017,Amortization!$A$17:$A$1017,$B180))</f>
        <v/>
      </c>
    </row>
    <row r="181" spans="2:5" hidden="1" x14ac:dyDescent="0.3">
      <c r="B181" s="1" t="str">
        <f t="shared" si="3"/>
        <v/>
      </c>
      <c r="C181" s="17" t="str">
        <f>IF($A181="","",SUMIFS(Amortization!E$17:E$1017,Amortization!$A$17:$A$1017,$B181))</f>
        <v/>
      </c>
      <c r="D181" s="17" t="str">
        <f>IF($A181="","",SUMIFS(Amortization!F$17:F$1017,Amortization!$A$17:$A$1017,$B181))</f>
        <v/>
      </c>
      <c r="E181" s="17" t="str">
        <f>IF($A181="","",SUMIFS(Amortization!G$17:G$1017,Amortization!$A$17:$A$1017,$B181))</f>
        <v/>
      </c>
    </row>
    <row r="182" spans="2:5" hidden="1" x14ac:dyDescent="0.3">
      <c r="B182" s="1" t="str">
        <f t="shared" si="3"/>
        <v/>
      </c>
      <c r="C182" s="17" t="str">
        <f>IF($A182="","",SUMIFS(Amortization!E$17:E$1017,Amortization!$A$17:$A$1017,$B182))</f>
        <v/>
      </c>
      <c r="D182" s="17" t="str">
        <f>IF($A182="","",SUMIFS(Amortization!F$17:F$1017,Amortization!$A$17:$A$1017,$B182))</f>
        <v/>
      </c>
      <c r="E182" s="17" t="str">
        <f>IF($A182="","",SUMIFS(Amortization!G$17:G$1017,Amortization!$A$17:$A$1017,$B182))</f>
        <v/>
      </c>
    </row>
    <row r="183" spans="2:5" hidden="1" x14ac:dyDescent="0.3">
      <c r="B183" s="1" t="str">
        <f t="shared" si="3"/>
        <v/>
      </c>
      <c r="C183" s="17" t="str">
        <f>IF($A183="","",SUMIFS(Amortization!E$17:E$1017,Amortization!$A$17:$A$1017,$B183))</f>
        <v/>
      </c>
      <c r="D183" s="17" t="str">
        <f>IF($A183="","",SUMIFS(Amortization!F$17:F$1017,Amortization!$A$17:$A$1017,$B183))</f>
        <v/>
      </c>
      <c r="E183" s="17" t="str">
        <f>IF($A183="","",SUMIFS(Amortization!G$17:G$1017,Amortization!$A$17:$A$1017,$B183))</f>
        <v/>
      </c>
    </row>
    <row r="184" spans="2:5" hidden="1" x14ac:dyDescent="0.3">
      <c r="B184" s="1" t="str">
        <f t="shared" si="3"/>
        <v/>
      </c>
      <c r="C184" s="17" t="str">
        <f>IF($A184="","",SUMIFS(Amortization!E$17:E$1017,Amortization!$A$17:$A$1017,$B184))</f>
        <v/>
      </c>
      <c r="D184" s="17" t="str">
        <f>IF($A184="","",SUMIFS(Amortization!F$17:F$1017,Amortization!$A$17:$A$1017,$B184))</f>
        <v/>
      </c>
      <c r="E184" s="17" t="str">
        <f>IF($A184="","",SUMIFS(Amortization!G$17:G$1017,Amortization!$A$17:$A$1017,$B184))</f>
        <v/>
      </c>
    </row>
    <row r="185" spans="2:5" hidden="1" x14ac:dyDescent="0.3">
      <c r="B185" s="1" t="str">
        <f t="shared" si="3"/>
        <v/>
      </c>
      <c r="C185" s="17" t="str">
        <f>IF($A185="","",SUMIFS(Amortization!E$17:E$1017,Amortization!$A$17:$A$1017,$B185))</f>
        <v/>
      </c>
      <c r="D185" s="17" t="str">
        <f>IF($A185="","",SUMIFS(Amortization!F$17:F$1017,Amortization!$A$17:$A$1017,$B185))</f>
        <v/>
      </c>
      <c r="E185" s="17" t="str">
        <f>IF($A185="","",SUMIFS(Amortization!G$17:G$1017,Amortization!$A$17:$A$1017,$B185))</f>
        <v/>
      </c>
    </row>
    <row r="186" spans="2:5" hidden="1" x14ac:dyDescent="0.3">
      <c r="B186" s="1" t="str">
        <f t="shared" si="3"/>
        <v/>
      </c>
      <c r="C186" s="17" t="str">
        <f>IF($A186="","",SUMIFS(Amortization!E$17:E$1017,Amortization!$A$17:$A$1017,$B186))</f>
        <v/>
      </c>
      <c r="D186" s="17" t="str">
        <f>IF($A186="","",SUMIFS(Amortization!F$17:F$1017,Amortization!$A$17:$A$1017,$B186))</f>
        <v/>
      </c>
      <c r="E186" s="17" t="str">
        <f>IF($A186="","",SUMIFS(Amortization!G$17:G$1017,Amortization!$A$17:$A$1017,$B186))</f>
        <v/>
      </c>
    </row>
    <row r="187" spans="2:5" hidden="1" x14ac:dyDescent="0.3">
      <c r="B187" s="1" t="str">
        <f t="shared" si="3"/>
        <v/>
      </c>
      <c r="C187" s="17" t="str">
        <f>IF($A187="","",SUMIFS(Amortization!E$17:E$1017,Amortization!$A$17:$A$1017,$B187))</f>
        <v/>
      </c>
      <c r="D187" s="17" t="str">
        <f>IF($A187="","",SUMIFS(Amortization!F$17:F$1017,Amortization!$A$17:$A$1017,$B187))</f>
        <v/>
      </c>
      <c r="E187" s="17" t="str">
        <f>IF($A187="","",SUMIFS(Amortization!G$17:G$1017,Amortization!$A$17:$A$1017,$B187))</f>
        <v/>
      </c>
    </row>
    <row r="188" spans="2:5" hidden="1" x14ac:dyDescent="0.3">
      <c r="B188" s="1" t="str">
        <f t="shared" si="3"/>
        <v/>
      </c>
      <c r="C188" s="17" t="str">
        <f>IF($A188="","",SUMIFS(Amortization!E$17:E$1017,Amortization!$A$17:$A$1017,$B188))</f>
        <v/>
      </c>
      <c r="D188" s="17" t="str">
        <f>IF($A188="","",SUMIFS(Amortization!F$17:F$1017,Amortization!$A$17:$A$1017,$B188))</f>
        <v/>
      </c>
      <c r="E188" s="17" t="str">
        <f>IF($A188="","",SUMIFS(Amortization!G$17:G$1017,Amortization!$A$17:$A$1017,$B188))</f>
        <v/>
      </c>
    </row>
    <row r="189" spans="2:5" hidden="1" x14ac:dyDescent="0.3">
      <c r="B189" s="1" t="str">
        <f t="shared" si="3"/>
        <v/>
      </c>
      <c r="C189" s="17" t="str">
        <f>IF($A189="","",SUMIFS(Amortization!E$17:E$1017,Amortization!$A$17:$A$1017,$B189))</f>
        <v/>
      </c>
      <c r="D189" s="17" t="str">
        <f>IF($A189="","",SUMIFS(Amortization!F$17:F$1017,Amortization!$A$17:$A$1017,$B189))</f>
        <v/>
      </c>
      <c r="E189" s="17" t="str">
        <f>IF($A189="","",SUMIFS(Amortization!G$17:G$1017,Amortization!$A$17:$A$1017,$B189))</f>
        <v/>
      </c>
    </row>
    <row r="190" spans="2:5" hidden="1" x14ac:dyDescent="0.3">
      <c r="B190" s="1" t="str">
        <f t="shared" si="3"/>
        <v/>
      </c>
      <c r="C190" s="17" t="str">
        <f>IF($A190="","",SUMIFS(Amortization!E$17:E$1017,Amortization!$A$17:$A$1017,$B190))</f>
        <v/>
      </c>
      <c r="D190" s="17" t="str">
        <f>IF($A190="","",SUMIFS(Amortization!F$17:F$1017,Amortization!$A$17:$A$1017,$B190))</f>
        <v/>
      </c>
      <c r="E190" s="17" t="str">
        <f>IF($A190="","",SUMIFS(Amortization!G$17:G$1017,Amortization!$A$17:$A$1017,$B190))</f>
        <v/>
      </c>
    </row>
    <row r="191" spans="2:5" hidden="1" x14ac:dyDescent="0.3">
      <c r="B191" s="1" t="str">
        <f t="shared" si="3"/>
        <v/>
      </c>
      <c r="C191" s="17" t="str">
        <f>IF($A191="","",SUMIFS(Amortization!E$17:E$1017,Amortization!$A$17:$A$1017,$B191))</f>
        <v/>
      </c>
      <c r="D191" s="17" t="str">
        <f>IF($A191="","",SUMIFS(Amortization!F$17:F$1017,Amortization!$A$17:$A$1017,$B191))</f>
        <v/>
      </c>
      <c r="E191" s="17" t="str">
        <f>IF($A191="","",SUMIFS(Amortization!G$17:G$1017,Amortization!$A$17:$A$1017,$B191))</f>
        <v/>
      </c>
    </row>
    <row r="192" spans="2:5" hidden="1" x14ac:dyDescent="0.3">
      <c r="B192" s="1" t="str">
        <f t="shared" si="3"/>
        <v/>
      </c>
      <c r="C192" s="17" t="str">
        <f>IF($A192="","",SUMIFS(Amortization!E$17:E$1017,Amortization!$A$17:$A$1017,$B192))</f>
        <v/>
      </c>
      <c r="D192" s="17" t="str">
        <f>IF($A192="","",SUMIFS(Amortization!F$17:F$1017,Amortization!$A$17:$A$1017,$B192))</f>
        <v/>
      </c>
      <c r="E192" s="17" t="str">
        <f>IF($A192="","",SUMIFS(Amortization!G$17:G$1017,Amortization!$A$17:$A$1017,$B192))</f>
        <v/>
      </c>
    </row>
    <row r="193" spans="2:5" hidden="1" x14ac:dyDescent="0.3">
      <c r="B193" s="1" t="str">
        <f t="shared" si="3"/>
        <v/>
      </c>
      <c r="C193" s="17" t="str">
        <f>IF($A193="","",SUMIFS(Amortization!E$17:E$1017,Amortization!$A$17:$A$1017,$B193))</f>
        <v/>
      </c>
      <c r="D193" s="17" t="str">
        <f>IF($A193="","",SUMIFS(Amortization!F$17:F$1017,Amortization!$A$17:$A$1017,$B193))</f>
        <v/>
      </c>
      <c r="E193" s="17" t="str">
        <f>IF($A193="","",SUMIFS(Amortization!G$17:G$1017,Amortization!$A$17:$A$1017,$B193))</f>
        <v/>
      </c>
    </row>
    <row r="194" spans="2:5" hidden="1" x14ac:dyDescent="0.3">
      <c r="B194" s="1" t="str">
        <f t="shared" si="3"/>
        <v/>
      </c>
      <c r="C194" s="17" t="str">
        <f>IF($A194="","",SUMIFS(Amortization!E$17:E$1017,Amortization!$A$17:$A$1017,$B194))</f>
        <v/>
      </c>
      <c r="D194" s="17" t="str">
        <f>IF($A194="","",SUMIFS(Amortization!F$17:F$1017,Amortization!$A$17:$A$1017,$B194))</f>
        <v/>
      </c>
      <c r="E194" s="17" t="str">
        <f>IF($A194="","",SUMIFS(Amortization!G$17:G$1017,Amortization!$A$17:$A$1017,$B194))</f>
        <v/>
      </c>
    </row>
    <row r="195" spans="2:5" hidden="1" x14ac:dyDescent="0.3">
      <c r="B195" s="1" t="str">
        <f t="shared" si="3"/>
        <v/>
      </c>
      <c r="C195" s="17" t="str">
        <f>IF($A195="","",SUMIFS(Amortization!E$17:E$1017,Amortization!$A$17:$A$1017,$B195))</f>
        <v/>
      </c>
      <c r="D195" s="17" t="str">
        <f>IF($A195="","",SUMIFS(Amortization!F$17:F$1017,Amortization!$A$17:$A$1017,$B195))</f>
        <v/>
      </c>
      <c r="E195" s="17" t="str">
        <f>IF($A195="","",SUMIFS(Amortization!G$17:G$1017,Amortization!$A$17:$A$1017,$B195))</f>
        <v/>
      </c>
    </row>
    <row r="196" spans="2:5" hidden="1" x14ac:dyDescent="0.3">
      <c r="B196" s="1" t="str">
        <f t="shared" si="3"/>
        <v/>
      </c>
      <c r="C196" s="17" t="str">
        <f>IF($A196="","",SUMIFS(Amortization!E$17:E$1017,Amortization!$A$17:$A$1017,$B196))</f>
        <v/>
      </c>
      <c r="D196" s="17" t="str">
        <f>IF($A196="","",SUMIFS(Amortization!F$17:F$1017,Amortization!$A$17:$A$1017,$B196))</f>
        <v/>
      </c>
      <c r="E196" s="17" t="str">
        <f>IF($A196="","",SUMIFS(Amortization!G$17:G$1017,Amortization!$A$17:$A$1017,$B196))</f>
        <v/>
      </c>
    </row>
    <row r="197" spans="2:5" hidden="1" x14ac:dyDescent="0.3">
      <c r="B197" s="1" t="str">
        <f t="shared" si="3"/>
        <v/>
      </c>
      <c r="C197" s="17" t="str">
        <f>IF($A197="","",SUMIFS(Amortization!E$17:E$1017,Amortization!$A$17:$A$1017,$B197))</f>
        <v/>
      </c>
      <c r="D197" s="17" t="str">
        <f>IF($A197="","",SUMIFS(Amortization!F$17:F$1017,Amortization!$A$17:$A$1017,$B197))</f>
        <v/>
      </c>
      <c r="E197" s="17" t="str">
        <f>IF($A197="","",SUMIFS(Amortization!G$17:G$1017,Amortization!$A$17:$A$1017,$B197))</f>
        <v/>
      </c>
    </row>
    <row r="198" spans="2:5" hidden="1" x14ac:dyDescent="0.3">
      <c r="B198" s="1" t="str">
        <f t="shared" si="3"/>
        <v/>
      </c>
      <c r="C198" s="17" t="str">
        <f>IF($A198="","",SUMIFS(Amortization!E$17:E$1017,Amortization!$A$17:$A$1017,$B198))</f>
        <v/>
      </c>
      <c r="D198" s="17" t="str">
        <f>IF($A198="","",SUMIFS(Amortization!F$17:F$1017,Amortization!$A$17:$A$1017,$B198))</f>
        <v/>
      </c>
      <c r="E198" s="17" t="str">
        <f>IF($A198="","",SUMIFS(Amortization!G$17:G$1017,Amortization!$A$17:$A$1017,$B198))</f>
        <v/>
      </c>
    </row>
    <row r="199" spans="2:5" hidden="1" x14ac:dyDescent="0.3">
      <c r="B199" s="1" t="str">
        <f t="shared" si="3"/>
        <v/>
      </c>
      <c r="C199" s="17" t="str">
        <f>IF($A199="","",SUMIFS(Amortization!E$17:E$1017,Amortization!$A$17:$A$1017,$B199))</f>
        <v/>
      </c>
      <c r="D199" s="17" t="str">
        <f>IF($A199="","",SUMIFS(Amortization!F$17:F$1017,Amortization!$A$17:$A$1017,$B199))</f>
        <v/>
      </c>
      <c r="E199" s="17" t="str">
        <f>IF($A199="","",SUMIFS(Amortization!G$17:G$1017,Amortization!$A$17:$A$1017,$B199))</f>
        <v/>
      </c>
    </row>
    <row r="200" spans="2:5" hidden="1" x14ac:dyDescent="0.3">
      <c r="B200" s="1" t="str">
        <f t="shared" si="3"/>
        <v/>
      </c>
      <c r="C200" s="17" t="str">
        <f>IF($A200="","",SUMIFS(Amortization!E$17:E$1017,Amortization!$A$17:$A$1017,$B200))</f>
        <v/>
      </c>
      <c r="D200" s="17" t="str">
        <f>IF($A200="","",SUMIFS(Amortization!F$17:F$1017,Amortization!$A$17:$A$1017,$B200))</f>
        <v/>
      </c>
      <c r="E200" s="17" t="str">
        <f>IF($A200="","",SUMIFS(Amortization!G$17:G$1017,Amortization!$A$17:$A$1017,$B200))</f>
        <v/>
      </c>
    </row>
    <row r="201" spans="2:5" hidden="1" x14ac:dyDescent="0.3">
      <c r="B201" s="1" t="str">
        <f t="shared" si="3"/>
        <v/>
      </c>
      <c r="C201" s="17" t="str">
        <f>IF($A201="","",SUMIFS(Amortization!E$17:E$1017,Amortization!$A$17:$A$1017,$B201))</f>
        <v/>
      </c>
      <c r="D201" s="17" t="str">
        <f>IF($A201="","",SUMIFS(Amortization!F$17:F$1017,Amortization!$A$17:$A$1017,$B201))</f>
        <v/>
      </c>
      <c r="E201" s="17" t="str">
        <f>IF($A201="","",SUMIFS(Amortization!G$17:G$1017,Amortization!$A$17:$A$1017,$B201))</f>
        <v/>
      </c>
    </row>
    <row r="202" spans="2:5" hidden="1" x14ac:dyDescent="0.3">
      <c r="B202" s="1" t="str">
        <f t="shared" si="3"/>
        <v/>
      </c>
      <c r="C202" s="17" t="str">
        <f>IF($A202="","",SUMIFS(Amortization!E$17:E$1017,Amortization!$A$17:$A$1017,$B202))</f>
        <v/>
      </c>
      <c r="D202" s="17" t="str">
        <f>IF($A202="","",SUMIFS(Amortization!F$17:F$1017,Amortization!$A$17:$A$1017,$B202))</f>
        <v/>
      </c>
      <c r="E202" s="17" t="str">
        <f>IF($A202="","",SUMIFS(Amortization!G$17:G$1017,Amortization!$A$17:$A$1017,$B202))</f>
        <v/>
      </c>
    </row>
    <row r="203" spans="2:5" hidden="1" x14ac:dyDescent="0.3">
      <c r="B203" s="1" t="str">
        <f t="shared" si="3"/>
        <v/>
      </c>
      <c r="C203" s="17" t="str">
        <f>IF($A203="","",SUMIFS(Amortization!E$17:E$1017,Amortization!$A$17:$A$1017,$B203))</f>
        <v/>
      </c>
      <c r="D203" s="17" t="str">
        <f>IF($A203="","",SUMIFS(Amortization!F$17:F$1017,Amortization!$A$17:$A$1017,$B203))</f>
        <v/>
      </c>
      <c r="E203" s="17" t="str">
        <f>IF($A203="","",SUMIFS(Amortization!G$17:G$1017,Amortization!$A$17:$A$1017,$B203))</f>
        <v/>
      </c>
    </row>
    <row r="204" spans="2:5" hidden="1" x14ac:dyDescent="0.3">
      <c r="B204" s="1" t="str">
        <f t="shared" si="3"/>
        <v/>
      </c>
      <c r="C204" s="17" t="str">
        <f>IF($A204="","",SUMIFS(Amortization!E$17:E$1017,Amortization!$A$17:$A$1017,$B204))</f>
        <v/>
      </c>
      <c r="D204" s="17" t="str">
        <f>IF($A204="","",SUMIFS(Amortization!F$17:F$1017,Amortization!$A$17:$A$1017,$B204))</f>
        <v/>
      </c>
      <c r="E204" s="17" t="str">
        <f>IF($A204="","",SUMIFS(Amortization!G$17:G$1017,Amortization!$A$17:$A$1017,$B204))</f>
        <v/>
      </c>
    </row>
    <row r="205" spans="2:5" hidden="1" x14ac:dyDescent="0.3">
      <c r="B205" s="1" t="str">
        <f t="shared" si="3"/>
        <v/>
      </c>
      <c r="C205" s="17" t="str">
        <f>IF($A205="","",SUMIFS(Amortization!E$17:E$1017,Amortization!$A$17:$A$1017,$B205))</f>
        <v/>
      </c>
      <c r="D205" s="17" t="str">
        <f>IF($A205="","",SUMIFS(Amortization!F$17:F$1017,Amortization!$A$17:$A$1017,$B205))</f>
        <v/>
      </c>
      <c r="E205" s="17" t="str">
        <f>IF($A205="","",SUMIFS(Amortization!G$17:G$1017,Amortization!$A$17:$A$1017,$B205))</f>
        <v/>
      </c>
    </row>
    <row r="206" spans="2:5" hidden="1" x14ac:dyDescent="0.3">
      <c r="B206" s="1" t="str">
        <f t="shared" si="3"/>
        <v/>
      </c>
      <c r="C206" s="17" t="str">
        <f>IF($A206="","",SUMIFS(Amortization!E$17:E$1017,Amortization!$A$17:$A$1017,$B206))</f>
        <v/>
      </c>
      <c r="D206" s="17" t="str">
        <f>IF($A206="","",SUMIFS(Amortization!F$17:F$1017,Amortization!$A$17:$A$1017,$B206))</f>
        <v/>
      </c>
      <c r="E206" s="17" t="str">
        <f>IF($A206="","",SUMIFS(Amortization!G$17:G$1017,Amortization!$A$17:$A$1017,$B206))</f>
        <v/>
      </c>
    </row>
    <row r="207" spans="2:5" hidden="1" x14ac:dyDescent="0.3">
      <c r="B207" s="1" t="str">
        <f t="shared" si="3"/>
        <v/>
      </c>
      <c r="C207" s="17" t="str">
        <f>IF($A207="","",SUMIFS(Amortization!E$17:E$1017,Amortization!$A$17:$A$1017,$B207))</f>
        <v/>
      </c>
      <c r="D207" s="17" t="str">
        <f>IF($A207="","",SUMIFS(Amortization!F$17:F$1017,Amortization!$A$17:$A$1017,$B207))</f>
        <v/>
      </c>
      <c r="E207" s="17" t="str">
        <f>IF($A207="","",SUMIFS(Amortization!G$17:G$1017,Amortization!$A$17:$A$1017,$B207))</f>
        <v/>
      </c>
    </row>
    <row r="208" spans="2:5" hidden="1" x14ac:dyDescent="0.3">
      <c r="B208" s="1" t="str">
        <f t="shared" si="3"/>
        <v/>
      </c>
      <c r="C208" s="17" t="str">
        <f>IF($A208="","",SUMIFS(Amortization!E$17:E$1017,Amortization!$A$17:$A$1017,$B208))</f>
        <v/>
      </c>
      <c r="D208" s="17" t="str">
        <f>IF($A208="","",SUMIFS(Amortization!F$17:F$1017,Amortization!$A$17:$A$1017,$B208))</f>
        <v/>
      </c>
      <c r="E208" s="17" t="str">
        <f>IF($A208="","",SUMIFS(Amortization!G$17:G$1017,Amortization!$A$17:$A$1017,$B208))</f>
        <v/>
      </c>
    </row>
    <row r="209" spans="2:5" hidden="1" x14ac:dyDescent="0.3">
      <c r="B209" s="1" t="str">
        <f t="shared" si="3"/>
        <v/>
      </c>
      <c r="C209" s="17" t="str">
        <f>IF($A209="","",SUMIFS(Amortization!E$17:E$1017,Amortization!$A$17:$A$1017,$B209))</f>
        <v/>
      </c>
      <c r="D209" s="17" t="str">
        <f>IF($A209="","",SUMIFS(Amortization!F$17:F$1017,Amortization!$A$17:$A$1017,$B209))</f>
        <v/>
      </c>
      <c r="E209" s="17" t="str">
        <f>IF($A209="","",SUMIFS(Amortization!G$17:G$1017,Amortization!$A$17:$A$1017,$B209))</f>
        <v/>
      </c>
    </row>
    <row r="210" spans="2:5" hidden="1" x14ac:dyDescent="0.3">
      <c r="B210" s="1" t="str">
        <f t="shared" si="3"/>
        <v/>
      </c>
      <c r="C210" s="17" t="str">
        <f>IF($A210="","",SUMIFS(Amortization!E$17:E$1017,Amortization!$A$17:$A$1017,$B210))</f>
        <v/>
      </c>
      <c r="D210" s="17" t="str">
        <f>IF($A210="","",SUMIFS(Amortization!F$17:F$1017,Amortization!$A$17:$A$1017,$B210))</f>
        <v/>
      </c>
      <c r="E210" s="17" t="str">
        <f>IF($A210="","",SUMIFS(Amortization!G$17:G$1017,Amortization!$A$17:$A$1017,$B210))</f>
        <v/>
      </c>
    </row>
    <row r="211" spans="2:5" hidden="1" x14ac:dyDescent="0.3">
      <c r="B211" s="1" t="str">
        <f t="shared" ref="B211:B274" si="4">IF(A211="","",B210+1)</f>
        <v/>
      </c>
      <c r="C211" s="17" t="str">
        <f>IF($A211="","",SUMIFS(Amortization!E$17:E$1017,Amortization!$A$17:$A$1017,$B211))</f>
        <v/>
      </c>
      <c r="D211" s="17" t="str">
        <f>IF($A211="","",SUMIFS(Amortization!F$17:F$1017,Amortization!$A$17:$A$1017,$B211))</f>
        <v/>
      </c>
      <c r="E211" s="17" t="str">
        <f>IF($A211="","",SUMIFS(Amortization!G$17:G$1017,Amortization!$A$17:$A$1017,$B211))</f>
        <v/>
      </c>
    </row>
    <row r="212" spans="2:5" hidden="1" x14ac:dyDescent="0.3">
      <c r="B212" s="1" t="str">
        <f t="shared" si="4"/>
        <v/>
      </c>
      <c r="C212" s="17" t="str">
        <f>IF($A212="","",SUMIFS(Amortization!E$17:E$1017,Amortization!$A$17:$A$1017,$B212))</f>
        <v/>
      </c>
      <c r="D212" s="17" t="str">
        <f>IF($A212="","",SUMIFS(Amortization!F$17:F$1017,Amortization!$A$17:$A$1017,$B212))</f>
        <v/>
      </c>
      <c r="E212" s="17" t="str">
        <f>IF($A212="","",SUMIFS(Amortization!G$17:G$1017,Amortization!$A$17:$A$1017,$B212))</f>
        <v/>
      </c>
    </row>
    <row r="213" spans="2:5" hidden="1" x14ac:dyDescent="0.3">
      <c r="B213" s="1" t="str">
        <f t="shared" si="4"/>
        <v/>
      </c>
      <c r="C213" s="17" t="str">
        <f>IF($A213="","",SUMIFS(Amortization!E$17:E$1017,Amortization!$A$17:$A$1017,$B213))</f>
        <v/>
      </c>
      <c r="D213" s="17" t="str">
        <f>IF($A213="","",SUMIFS(Amortization!F$17:F$1017,Amortization!$A$17:$A$1017,$B213))</f>
        <v/>
      </c>
      <c r="E213" s="17" t="str">
        <f>IF($A213="","",SUMIFS(Amortization!G$17:G$1017,Amortization!$A$17:$A$1017,$B213))</f>
        <v/>
      </c>
    </row>
    <row r="214" spans="2:5" hidden="1" x14ac:dyDescent="0.3">
      <c r="B214" s="1" t="str">
        <f t="shared" si="4"/>
        <v/>
      </c>
      <c r="C214" s="17" t="str">
        <f>IF($A214="","",SUMIFS(Amortization!E$17:E$1017,Amortization!$A$17:$A$1017,$B214))</f>
        <v/>
      </c>
      <c r="D214" s="17" t="str">
        <f>IF($A214="","",SUMIFS(Amortization!F$17:F$1017,Amortization!$A$17:$A$1017,$B214))</f>
        <v/>
      </c>
      <c r="E214" s="17" t="str">
        <f>IF($A214="","",SUMIFS(Amortization!G$17:G$1017,Amortization!$A$17:$A$1017,$B214))</f>
        <v/>
      </c>
    </row>
    <row r="215" spans="2:5" hidden="1" x14ac:dyDescent="0.3">
      <c r="B215" s="1" t="str">
        <f t="shared" si="4"/>
        <v/>
      </c>
      <c r="C215" s="17" t="str">
        <f>IF($A215="","",SUMIFS(Amortization!E$17:E$1017,Amortization!$A$17:$A$1017,$B215))</f>
        <v/>
      </c>
      <c r="D215" s="17" t="str">
        <f>IF($A215="","",SUMIFS(Amortization!F$17:F$1017,Amortization!$A$17:$A$1017,$B215))</f>
        <v/>
      </c>
      <c r="E215" s="17" t="str">
        <f>IF($A215="","",SUMIFS(Amortization!G$17:G$1017,Amortization!$A$17:$A$1017,$B215))</f>
        <v/>
      </c>
    </row>
    <row r="216" spans="2:5" hidden="1" x14ac:dyDescent="0.3">
      <c r="B216" s="1" t="str">
        <f t="shared" si="4"/>
        <v/>
      </c>
      <c r="C216" s="17" t="str">
        <f>IF($A216="","",SUMIFS(Amortization!E$17:E$1017,Amortization!$A$17:$A$1017,$B216))</f>
        <v/>
      </c>
      <c r="D216" s="17" t="str">
        <f>IF($A216="","",SUMIFS(Amortization!F$17:F$1017,Amortization!$A$17:$A$1017,$B216))</f>
        <v/>
      </c>
      <c r="E216" s="17" t="str">
        <f>IF($A216="","",SUMIFS(Amortization!G$17:G$1017,Amortization!$A$17:$A$1017,$B216))</f>
        <v/>
      </c>
    </row>
    <row r="217" spans="2:5" hidden="1" x14ac:dyDescent="0.3">
      <c r="B217" s="1" t="str">
        <f t="shared" si="4"/>
        <v/>
      </c>
      <c r="C217" s="17" t="str">
        <f>IF($A217="","",SUMIFS(Amortization!E$17:E$1017,Amortization!$A$17:$A$1017,$B217))</f>
        <v/>
      </c>
      <c r="D217" s="17" t="str">
        <f>IF($A217="","",SUMIFS(Amortization!F$17:F$1017,Amortization!$A$17:$A$1017,$B217))</f>
        <v/>
      </c>
      <c r="E217" s="17" t="str">
        <f>IF($A217="","",SUMIFS(Amortization!G$17:G$1017,Amortization!$A$17:$A$1017,$B217))</f>
        <v/>
      </c>
    </row>
    <row r="218" spans="2:5" hidden="1" x14ac:dyDescent="0.3">
      <c r="B218" s="1" t="str">
        <f t="shared" si="4"/>
        <v/>
      </c>
      <c r="C218" s="17" t="str">
        <f>IF($A218="","",SUMIFS(Amortization!E$17:E$1017,Amortization!$A$17:$A$1017,$B218))</f>
        <v/>
      </c>
      <c r="D218" s="17" t="str">
        <f>IF($A218="","",SUMIFS(Amortization!F$17:F$1017,Amortization!$A$17:$A$1017,$B218))</f>
        <v/>
      </c>
      <c r="E218" s="17" t="str">
        <f>IF($A218="","",SUMIFS(Amortization!G$17:G$1017,Amortization!$A$17:$A$1017,$B218))</f>
        <v/>
      </c>
    </row>
    <row r="219" spans="2:5" hidden="1" x14ac:dyDescent="0.3">
      <c r="B219" s="1" t="str">
        <f t="shared" si="4"/>
        <v/>
      </c>
      <c r="C219" s="17" t="str">
        <f>IF($A219="","",SUMIFS(Amortization!E$17:E$1017,Amortization!$A$17:$A$1017,$B219))</f>
        <v/>
      </c>
      <c r="D219" s="17" t="str">
        <f>IF($A219="","",SUMIFS(Amortization!F$17:F$1017,Amortization!$A$17:$A$1017,$B219))</f>
        <v/>
      </c>
      <c r="E219" s="17" t="str">
        <f>IF($A219="","",SUMIFS(Amortization!G$17:G$1017,Amortization!$A$17:$A$1017,$B219))</f>
        <v/>
      </c>
    </row>
    <row r="220" spans="2:5" hidden="1" x14ac:dyDescent="0.3">
      <c r="B220" s="1" t="str">
        <f t="shared" si="4"/>
        <v/>
      </c>
      <c r="C220" s="17" t="str">
        <f>IF($A220="","",SUMIFS(Amortization!E$17:E$1017,Amortization!$A$17:$A$1017,$B220))</f>
        <v/>
      </c>
      <c r="D220" s="17" t="str">
        <f>IF($A220="","",SUMIFS(Amortization!F$17:F$1017,Amortization!$A$17:$A$1017,$B220))</f>
        <v/>
      </c>
      <c r="E220" s="17" t="str">
        <f>IF($A220="","",SUMIFS(Amortization!G$17:G$1017,Amortization!$A$17:$A$1017,$B220))</f>
        <v/>
      </c>
    </row>
    <row r="221" spans="2:5" hidden="1" x14ac:dyDescent="0.3">
      <c r="B221" s="1" t="str">
        <f t="shared" si="4"/>
        <v/>
      </c>
      <c r="C221" s="17" t="str">
        <f>IF($A221="","",SUMIFS(Amortization!E$17:E$1017,Amortization!$A$17:$A$1017,$B221))</f>
        <v/>
      </c>
      <c r="D221" s="17" t="str">
        <f>IF($A221="","",SUMIFS(Amortization!F$17:F$1017,Amortization!$A$17:$A$1017,$B221))</f>
        <v/>
      </c>
      <c r="E221" s="17" t="str">
        <f>IF($A221="","",SUMIFS(Amortization!G$17:G$1017,Amortization!$A$17:$A$1017,$B221))</f>
        <v/>
      </c>
    </row>
    <row r="222" spans="2:5" hidden="1" x14ac:dyDescent="0.3">
      <c r="B222" s="1" t="str">
        <f t="shared" si="4"/>
        <v/>
      </c>
      <c r="C222" s="17" t="str">
        <f>IF($A222="","",SUMIFS(Amortization!E$17:E$1017,Amortization!$A$17:$A$1017,$B222))</f>
        <v/>
      </c>
      <c r="D222" s="17" t="str">
        <f>IF($A222="","",SUMIFS(Amortization!F$17:F$1017,Amortization!$A$17:$A$1017,$B222))</f>
        <v/>
      </c>
      <c r="E222" s="17" t="str">
        <f>IF($A222="","",SUMIFS(Amortization!G$17:G$1017,Amortization!$A$17:$A$1017,$B222))</f>
        <v/>
      </c>
    </row>
    <row r="223" spans="2:5" hidden="1" x14ac:dyDescent="0.3">
      <c r="B223" s="1" t="str">
        <f t="shared" si="4"/>
        <v/>
      </c>
      <c r="C223" s="17" t="str">
        <f>IF($A223="","",SUMIFS(Amortization!E$17:E$1017,Amortization!$A$17:$A$1017,$B223))</f>
        <v/>
      </c>
      <c r="D223" s="17" t="str">
        <f>IF($A223="","",SUMIFS(Amortization!F$17:F$1017,Amortization!$A$17:$A$1017,$B223))</f>
        <v/>
      </c>
      <c r="E223" s="17" t="str">
        <f>IF($A223="","",SUMIFS(Amortization!G$17:G$1017,Amortization!$A$17:$A$1017,$B223))</f>
        <v/>
      </c>
    </row>
    <row r="224" spans="2:5" hidden="1" x14ac:dyDescent="0.3">
      <c r="B224" s="1" t="str">
        <f t="shared" si="4"/>
        <v/>
      </c>
      <c r="C224" s="17" t="str">
        <f>IF($A224="","",SUMIFS(Amortization!E$17:E$1017,Amortization!$A$17:$A$1017,$B224))</f>
        <v/>
      </c>
      <c r="D224" s="17" t="str">
        <f>IF($A224="","",SUMIFS(Amortization!F$17:F$1017,Amortization!$A$17:$A$1017,$B224))</f>
        <v/>
      </c>
      <c r="E224" s="17" t="str">
        <f>IF($A224="","",SUMIFS(Amortization!G$17:G$1017,Amortization!$A$17:$A$1017,$B224))</f>
        <v/>
      </c>
    </row>
    <row r="225" spans="2:5" hidden="1" x14ac:dyDescent="0.3">
      <c r="B225" s="1" t="str">
        <f t="shared" si="4"/>
        <v/>
      </c>
      <c r="C225" s="17" t="str">
        <f>IF($A225="","",SUMIFS(Amortization!E$17:E$1017,Amortization!$A$17:$A$1017,$B225))</f>
        <v/>
      </c>
      <c r="D225" s="17" t="str">
        <f>IF($A225="","",SUMIFS(Amortization!F$17:F$1017,Amortization!$A$17:$A$1017,$B225))</f>
        <v/>
      </c>
      <c r="E225" s="17" t="str">
        <f>IF($A225="","",SUMIFS(Amortization!G$17:G$1017,Amortization!$A$17:$A$1017,$B225))</f>
        <v/>
      </c>
    </row>
    <row r="226" spans="2:5" hidden="1" x14ac:dyDescent="0.3">
      <c r="B226" s="1" t="str">
        <f t="shared" si="4"/>
        <v/>
      </c>
      <c r="C226" s="17" t="str">
        <f>IF($A226="","",SUMIFS(Amortization!E$17:E$1017,Amortization!$A$17:$A$1017,$B226))</f>
        <v/>
      </c>
      <c r="D226" s="17" t="str">
        <f>IF($A226="","",SUMIFS(Amortization!F$17:F$1017,Amortization!$A$17:$A$1017,$B226))</f>
        <v/>
      </c>
      <c r="E226" s="17" t="str">
        <f>IF($A226="","",SUMIFS(Amortization!G$17:G$1017,Amortization!$A$17:$A$1017,$B226))</f>
        <v/>
      </c>
    </row>
    <row r="227" spans="2:5" hidden="1" x14ac:dyDescent="0.3">
      <c r="B227" s="1" t="str">
        <f t="shared" si="4"/>
        <v/>
      </c>
      <c r="C227" s="17" t="str">
        <f>IF($A227="","",SUMIFS(Amortization!E$17:E$1017,Amortization!$A$17:$A$1017,$B227))</f>
        <v/>
      </c>
      <c r="D227" s="17" t="str">
        <f>IF($A227="","",SUMIFS(Amortization!F$17:F$1017,Amortization!$A$17:$A$1017,$B227))</f>
        <v/>
      </c>
      <c r="E227" s="17" t="str">
        <f>IF($A227="","",SUMIFS(Amortization!G$17:G$1017,Amortization!$A$17:$A$1017,$B227))</f>
        <v/>
      </c>
    </row>
    <row r="228" spans="2:5" hidden="1" x14ac:dyDescent="0.3">
      <c r="B228" s="1" t="str">
        <f t="shared" si="4"/>
        <v/>
      </c>
      <c r="C228" s="17" t="str">
        <f>IF($A228="","",SUMIFS(Amortization!E$17:E$1017,Amortization!$A$17:$A$1017,$B228))</f>
        <v/>
      </c>
      <c r="D228" s="17" t="str">
        <f>IF($A228="","",SUMIFS(Amortization!F$17:F$1017,Amortization!$A$17:$A$1017,$B228))</f>
        <v/>
      </c>
      <c r="E228" s="17" t="str">
        <f>IF($A228="","",SUMIFS(Amortization!G$17:G$1017,Amortization!$A$17:$A$1017,$B228))</f>
        <v/>
      </c>
    </row>
    <row r="229" spans="2:5" hidden="1" x14ac:dyDescent="0.3">
      <c r="B229" s="1" t="str">
        <f t="shared" si="4"/>
        <v/>
      </c>
      <c r="C229" s="17" t="str">
        <f>IF($A229="","",SUMIFS(Amortization!E$17:E$1017,Amortization!$A$17:$A$1017,$B229))</f>
        <v/>
      </c>
      <c r="D229" s="17" t="str">
        <f>IF($A229="","",SUMIFS(Amortization!F$17:F$1017,Amortization!$A$17:$A$1017,$B229))</f>
        <v/>
      </c>
      <c r="E229" s="17" t="str">
        <f>IF($A229="","",SUMIFS(Amortization!G$17:G$1017,Amortization!$A$17:$A$1017,$B229))</f>
        <v/>
      </c>
    </row>
    <row r="230" spans="2:5" hidden="1" x14ac:dyDescent="0.3">
      <c r="B230" s="1" t="str">
        <f t="shared" si="4"/>
        <v/>
      </c>
      <c r="C230" s="17" t="str">
        <f>IF($A230="","",SUMIFS(Amortization!E$17:E$1017,Amortization!$A$17:$A$1017,$B230))</f>
        <v/>
      </c>
      <c r="D230" s="17" t="str">
        <f>IF($A230="","",SUMIFS(Amortization!F$17:F$1017,Amortization!$A$17:$A$1017,$B230))</f>
        <v/>
      </c>
      <c r="E230" s="17" t="str">
        <f>IF($A230="","",SUMIFS(Amortization!G$17:G$1017,Amortization!$A$17:$A$1017,$B230))</f>
        <v/>
      </c>
    </row>
    <row r="231" spans="2:5" hidden="1" x14ac:dyDescent="0.3">
      <c r="B231" s="1" t="str">
        <f t="shared" si="4"/>
        <v/>
      </c>
      <c r="C231" s="17" t="str">
        <f>IF($A231="","",SUMIFS(Amortization!E$17:E$1017,Amortization!$A$17:$A$1017,$B231))</f>
        <v/>
      </c>
      <c r="D231" s="17" t="str">
        <f>IF($A231="","",SUMIFS(Amortization!F$17:F$1017,Amortization!$A$17:$A$1017,$B231))</f>
        <v/>
      </c>
      <c r="E231" s="17" t="str">
        <f>IF($A231="","",SUMIFS(Amortization!G$17:G$1017,Amortization!$A$17:$A$1017,$B231))</f>
        <v/>
      </c>
    </row>
    <row r="232" spans="2:5" hidden="1" x14ac:dyDescent="0.3">
      <c r="B232" s="1" t="str">
        <f t="shared" si="4"/>
        <v/>
      </c>
      <c r="C232" s="17" t="str">
        <f>IF($A232="","",SUMIFS(Amortization!E$17:E$1017,Amortization!$A$17:$A$1017,$B232))</f>
        <v/>
      </c>
      <c r="D232" s="17" t="str">
        <f>IF($A232="","",SUMIFS(Amortization!F$17:F$1017,Amortization!$A$17:$A$1017,$B232))</f>
        <v/>
      </c>
      <c r="E232" s="17" t="str">
        <f>IF($A232="","",SUMIFS(Amortization!G$17:G$1017,Amortization!$A$17:$A$1017,$B232))</f>
        <v/>
      </c>
    </row>
    <row r="233" spans="2:5" hidden="1" x14ac:dyDescent="0.3">
      <c r="B233" s="1" t="str">
        <f t="shared" si="4"/>
        <v/>
      </c>
      <c r="C233" s="17" t="str">
        <f>IF($A233="","",SUMIFS(Amortization!E$17:E$1017,Amortization!$A$17:$A$1017,$B233))</f>
        <v/>
      </c>
      <c r="D233" s="17" t="str">
        <f>IF($A233="","",SUMIFS(Amortization!F$17:F$1017,Amortization!$A$17:$A$1017,$B233))</f>
        <v/>
      </c>
      <c r="E233" s="17" t="str">
        <f>IF($A233="","",SUMIFS(Amortization!G$17:G$1017,Amortization!$A$17:$A$1017,$B233))</f>
        <v/>
      </c>
    </row>
    <row r="234" spans="2:5" hidden="1" x14ac:dyDescent="0.3">
      <c r="B234" s="1" t="str">
        <f t="shared" si="4"/>
        <v/>
      </c>
      <c r="C234" s="17" t="str">
        <f>IF($A234="","",SUMIFS(Amortization!E$17:E$1017,Amortization!$A$17:$A$1017,$B234))</f>
        <v/>
      </c>
      <c r="D234" s="17" t="str">
        <f>IF($A234="","",SUMIFS(Amortization!F$17:F$1017,Amortization!$A$17:$A$1017,$B234))</f>
        <v/>
      </c>
      <c r="E234" s="17" t="str">
        <f>IF($A234="","",SUMIFS(Amortization!G$17:G$1017,Amortization!$A$17:$A$1017,$B234))</f>
        <v/>
      </c>
    </row>
    <row r="235" spans="2:5" hidden="1" x14ac:dyDescent="0.3">
      <c r="B235" s="1" t="str">
        <f t="shared" si="4"/>
        <v/>
      </c>
      <c r="C235" s="17" t="str">
        <f>IF($A235="","",SUMIFS(Amortization!E$17:E$1017,Amortization!$A$17:$A$1017,$B235))</f>
        <v/>
      </c>
      <c r="D235" s="17" t="str">
        <f>IF($A235="","",SUMIFS(Amortization!F$17:F$1017,Amortization!$A$17:$A$1017,$B235))</f>
        <v/>
      </c>
      <c r="E235" s="17" t="str">
        <f>IF($A235="","",SUMIFS(Amortization!G$17:G$1017,Amortization!$A$17:$A$1017,$B235))</f>
        <v/>
      </c>
    </row>
    <row r="236" spans="2:5" hidden="1" x14ac:dyDescent="0.3">
      <c r="B236" s="1" t="str">
        <f t="shared" si="4"/>
        <v/>
      </c>
      <c r="C236" s="17" t="str">
        <f>IF($A236="","",SUMIFS(Amortization!E$17:E$1017,Amortization!$A$17:$A$1017,$B236))</f>
        <v/>
      </c>
      <c r="D236" s="17" t="str">
        <f>IF($A236="","",SUMIFS(Amortization!F$17:F$1017,Amortization!$A$17:$A$1017,$B236))</f>
        <v/>
      </c>
      <c r="E236" s="17" t="str">
        <f>IF($A236="","",SUMIFS(Amortization!G$17:G$1017,Amortization!$A$17:$A$1017,$B236))</f>
        <v/>
      </c>
    </row>
    <row r="237" spans="2:5" hidden="1" x14ac:dyDescent="0.3">
      <c r="B237" s="1" t="str">
        <f t="shared" si="4"/>
        <v/>
      </c>
      <c r="C237" s="17" t="str">
        <f>IF($A237="","",SUMIFS(Amortization!E$17:E$1017,Amortization!$A$17:$A$1017,$B237))</f>
        <v/>
      </c>
      <c r="D237" s="17" t="str">
        <f>IF($A237="","",SUMIFS(Amortization!F$17:F$1017,Amortization!$A$17:$A$1017,$B237))</f>
        <v/>
      </c>
      <c r="E237" s="17" t="str">
        <f>IF($A237="","",SUMIFS(Amortization!G$17:G$1017,Amortization!$A$17:$A$1017,$B237))</f>
        <v/>
      </c>
    </row>
    <row r="238" spans="2:5" hidden="1" x14ac:dyDescent="0.3">
      <c r="B238" s="1" t="str">
        <f t="shared" si="4"/>
        <v/>
      </c>
      <c r="C238" s="17" t="str">
        <f>IF($A238="","",SUMIFS(Amortization!E$17:E$1017,Amortization!$A$17:$A$1017,$B238))</f>
        <v/>
      </c>
      <c r="D238" s="17" t="str">
        <f>IF($A238="","",SUMIFS(Amortization!F$17:F$1017,Amortization!$A$17:$A$1017,$B238))</f>
        <v/>
      </c>
      <c r="E238" s="17" t="str">
        <f>IF($A238="","",SUMIFS(Amortization!G$17:G$1017,Amortization!$A$17:$A$1017,$B238))</f>
        <v/>
      </c>
    </row>
    <row r="239" spans="2:5" hidden="1" x14ac:dyDescent="0.3">
      <c r="B239" s="1" t="str">
        <f t="shared" si="4"/>
        <v/>
      </c>
      <c r="C239" s="17" t="str">
        <f>IF($A239="","",SUMIFS(Amortization!E$17:E$1017,Amortization!$A$17:$A$1017,$B239))</f>
        <v/>
      </c>
      <c r="D239" s="17" t="str">
        <f>IF($A239="","",SUMIFS(Amortization!F$17:F$1017,Amortization!$A$17:$A$1017,$B239))</f>
        <v/>
      </c>
      <c r="E239" s="17" t="str">
        <f>IF($A239="","",SUMIFS(Amortization!G$17:G$1017,Amortization!$A$17:$A$1017,$B239))</f>
        <v/>
      </c>
    </row>
    <row r="240" spans="2:5" hidden="1" x14ac:dyDescent="0.3">
      <c r="B240" s="1" t="str">
        <f t="shared" si="4"/>
        <v/>
      </c>
      <c r="C240" s="17" t="str">
        <f>IF($A240="","",SUMIFS(Amortization!E$17:E$1017,Amortization!$A$17:$A$1017,$B240))</f>
        <v/>
      </c>
      <c r="D240" s="17" t="str">
        <f>IF($A240="","",SUMIFS(Amortization!F$17:F$1017,Amortization!$A$17:$A$1017,$B240))</f>
        <v/>
      </c>
      <c r="E240" s="17" t="str">
        <f>IF($A240="","",SUMIFS(Amortization!G$17:G$1017,Amortization!$A$17:$A$1017,$B240))</f>
        <v/>
      </c>
    </row>
    <row r="241" spans="2:5" hidden="1" x14ac:dyDescent="0.3">
      <c r="B241" s="1" t="str">
        <f t="shared" si="4"/>
        <v/>
      </c>
      <c r="C241" s="17" t="str">
        <f>IF($A241="","",SUMIFS(Amortization!E$17:E$1017,Amortization!$A$17:$A$1017,$B241))</f>
        <v/>
      </c>
      <c r="D241" s="17" t="str">
        <f>IF($A241="","",SUMIFS(Amortization!F$17:F$1017,Amortization!$A$17:$A$1017,$B241))</f>
        <v/>
      </c>
      <c r="E241" s="17" t="str">
        <f>IF($A241="","",SUMIFS(Amortization!G$17:G$1017,Amortization!$A$17:$A$1017,$B241))</f>
        <v/>
      </c>
    </row>
    <row r="242" spans="2:5" hidden="1" x14ac:dyDescent="0.3">
      <c r="B242" s="1" t="str">
        <f t="shared" si="4"/>
        <v/>
      </c>
      <c r="C242" s="17" t="str">
        <f>IF($A242="","",SUMIFS(Amortization!E$17:E$1017,Amortization!$A$17:$A$1017,$B242))</f>
        <v/>
      </c>
      <c r="D242" s="17" t="str">
        <f>IF($A242="","",SUMIFS(Amortization!F$17:F$1017,Amortization!$A$17:$A$1017,$B242))</f>
        <v/>
      </c>
      <c r="E242" s="17" t="str">
        <f>IF($A242="","",SUMIFS(Amortization!G$17:G$1017,Amortization!$A$17:$A$1017,$B242))</f>
        <v/>
      </c>
    </row>
    <row r="243" spans="2:5" hidden="1" x14ac:dyDescent="0.3">
      <c r="B243" s="1" t="str">
        <f t="shared" si="4"/>
        <v/>
      </c>
      <c r="C243" s="17" t="str">
        <f>IF($A243="","",SUMIFS(Amortization!E$17:E$1017,Amortization!$A$17:$A$1017,$B243))</f>
        <v/>
      </c>
      <c r="D243" s="17" t="str">
        <f>IF($A243="","",SUMIFS(Amortization!F$17:F$1017,Amortization!$A$17:$A$1017,$B243))</f>
        <v/>
      </c>
      <c r="E243" s="17" t="str">
        <f>IF($A243="","",SUMIFS(Amortization!G$17:G$1017,Amortization!$A$17:$A$1017,$B243))</f>
        <v/>
      </c>
    </row>
    <row r="244" spans="2:5" hidden="1" x14ac:dyDescent="0.3">
      <c r="B244" s="1" t="str">
        <f t="shared" si="4"/>
        <v/>
      </c>
      <c r="C244" s="17" t="str">
        <f>IF($A244="","",SUMIFS(Amortization!E$17:E$1017,Amortization!$A$17:$A$1017,$B244))</f>
        <v/>
      </c>
      <c r="D244" s="17" t="str">
        <f>IF($A244="","",SUMIFS(Amortization!F$17:F$1017,Amortization!$A$17:$A$1017,$B244))</f>
        <v/>
      </c>
      <c r="E244" s="17" t="str">
        <f>IF($A244="","",SUMIFS(Amortization!G$17:G$1017,Amortization!$A$17:$A$1017,$B244))</f>
        <v/>
      </c>
    </row>
    <row r="245" spans="2:5" hidden="1" x14ac:dyDescent="0.3">
      <c r="B245" s="1" t="str">
        <f t="shared" si="4"/>
        <v/>
      </c>
      <c r="C245" s="17" t="str">
        <f>IF($A245="","",SUMIFS(Amortization!E$17:E$1017,Amortization!$A$17:$A$1017,$B245))</f>
        <v/>
      </c>
      <c r="D245" s="17" t="str">
        <f>IF($A245="","",SUMIFS(Amortization!F$17:F$1017,Amortization!$A$17:$A$1017,$B245))</f>
        <v/>
      </c>
      <c r="E245" s="17" t="str">
        <f>IF($A245="","",SUMIFS(Amortization!G$17:G$1017,Amortization!$A$17:$A$1017,$B245))</f>
        <v/>
      </c>
    </row>
    <row r="246" spans="2:5" hidden="1" x14ac:dyDescent="0.3">
      <c r="B246" s="1" t="str">
        <f t="shared" si="4"/>
        <v/>
      </c>
      <c r="C246" s="17" t="str">
        <f>IF($A246="","",SUMIFS(Amortization!E$17:E$1017,Amortization!$A$17:$A$1017,$B246))</f>
        <v/>
      </c>
      <c r="D246" s="17" t="str">
        <f>IF($A246="","",SUMIFS(Amortization!F$17:F$1017,Amortization!$A$17:$A$1017,$B246))</f>
        <v/>
      </c>
      <c r="E246" s="17" t="str">
        <f>IF($A246="","",SUMIFS(Amortization!G$17:G$1017,Amortization!$A$17:$A$1017,$B246))</f>
        <v/>
      </c>
    </row>
    <row r="247" spans="2:5" hidden="1" x14ac:dyDescent="0.3">
      <c r="B247" s="1" t="str">
        <f t="shared" si="4"/>
        <v/>
      </c>
      <c r="C247" s="17" t="str">
        <f>IF($A247="","",SUMIFS(Amortization!E$17:E$1017,Amortization!$A$17:$A$1017,$B247))</f>
        <v/>
      </c>
      <c r="D247" s="17" t="str">
        <f>IF($A247="","",SUMIFS(Amortization!F$17:F$1017,Amortization!$A$17:$A$1017,$B247))</f>
        <v/>
      </c>
      <c r="E247" s="17" t="str">
        <f>IF($A247="","",SUMIFS(Amortization!G$17:G$1017,Amortization!$A$17:$A$1017,$B247))</f>
        <v/>
      </c>
    </row>
    <row r="248" spans="2:5" hidden="1" x14ac:dyDescent="0.3">
      <c r="B248" s="1" t="str">
        <f t="shared" si="4"/>
        <v/>
      </c>
      <c r="C248" s="17" t="str">
        <f>IF($A248="","",SUMIFS(Amortization!E$17:E$1017,Amortization!$A$17:$A$1017,$B248))</f>
        <v/>
      </c>
      <c r="D248" s="17" t="str">
        <f>IF($A248="","",SUMIFS(Amortization!F$17:F$1017,Amortization!$A$17:$A$1017,$B248))</f>
        <v/>
      </c>
      <c r="E248" s="17" t="str">
        <f>IF($A248="","",SUMIFS(Amortization!G$17:G$1017,Amortization!$A$17:$A$1017,$B248))</f>
        <v/>
      </c>
    </row>
    <row r="249" spans="2:5" hidden="1" x14ac:dyDescent="0.3">
      <c r="B249" s="1" t="str">
        <f t="shared" si="4"/>
        <v/>
      </c>
      <c r="C249" s="17" t="str">
        <f>IF($A249="","",SUMIFS(Amortization!E$17:E$1017,Amortization!$A$17:$A$1017,$B249))</f>
        <v/>
      </c>
      <c r="D249" s="17" t="str">
        <f>IF($A249="","",SUMIFS(Amortization!F$17:F$1017,Amortization!$A$17:$A$1017,$B249))</f>
        <v/>
      </c>
      <c r="E249" s="17" t="str">
        <f>IF($A249="","",SUMIFS(Amortization!G$17:G$1017,Amortization!$A$17:$A$1017,$B249))</f>
        <v/>
      </c>
    </row>
    <row r="250" spans="2:5" hidden="1" x14ac:dyDescent="0.3">
      <c r="B250" s="1" t="str">
        <f t="shared" si="4"/>
        <v/>
      </c>
      <c r="C250" s="17" t="str">
        <f>IF($A250="","",SUMIFS(Amortization!E$17:E$1017,Amortization!$A$17:$A$1017,$B250))</f>
        <v/>
      </c>
      <c r="D250" s="17" t="str">
        <f>IF($A250="","",SUMIFS(Amortization!F$17:F$1017,Amortization!$A$17:$A$1017,$B250))</f>
        <v/>
      </c>
      <c r="E250" s="17" t="str">
        <f>IF($A250="","",SUMIFS(Amortization!G$17:G$1017,Amortization!$A$17:$A$1017,$B250))</f>
        <v/>
      </c>
    </row>
    <row r="251" spans="2:5" hidden="1" x14ac:dyDescent="0.3">
      <c r="B251" s="1" t="str">
        <f t="shared" si="4"/>
        <v/>
      </c>
      <c r="C251" s="17" t="str">
        <f>IF($A251="","",SUMIFS(Amortization!E$17:E$1017,Amortization!$A$17:$A$1017,$B251))</f>
        <v/>
      </c>
      <c r="D251" s="17" t="str">
        <f>IF($A251="","",SUMIFS(Amortization!F$17:F$1017,Amortization!$A$17:$A$1017,$B251))</f>
        <v/>
      </c>
      <c r="E251" s="17" t="str">
        <f>IF($A251="","",SUMIFS(Amortization!G$17:G$1017,Amortization!$A$17:$A$1017,$B251))</f>
        <v/>
      </c>
    </row>
    <row r="252" spans="2:5" hidden="1" x14ac:dyDescent="0.3">
      <c r="B252" s="1" t="str">
        <f t="shared" si="4"/>
        <v/>
      </c>
      <c r="C252" s="17" t="str">
        <f>IF($A252="","",SUMIFS(Amortization!E$17:E$1017,Amortization!$A$17:$A$1017,$B252))</f>
        <v/>
      </c>
      <c r="D252" s="17" t="str">
        <f>IF($A252="","",SUMIFS(Amortization!F$17:F$1017,Amortization!$A$17:$A$1017,$B252))</f>
        <v/>
      </c>
      <c r="E252" s="17" t="str">
        <f>IF($A252="","",SUMIFS(Amortization!G$17:G$1017,Amortization!$A$17:$A$1017,$B252))</f>
        <v/>
      </c>
    </row>
    <row r="253" spans="2:5" hidden="1" x14ac:dyDescent="0.3">
      <c r="B253" s="1" t="str">
        <f t="shared" si="4"/>
        <v/>
      </c>
      <c r="C253" s="17" t="str">
        <f>IF($A253="","",SUMIFS(Amortization!E$17:E$1017,Amortization!$A$17:$A$1017,$B253))</f>
        <v/>
      </c>
      <c r="D253" s="17" t="str">
        <f>IF($A253="","",SUMIFS(Amortization!F$17:F$1017,Amortization!$A$17:$A$1017,$B253))</f>
        <v/>
      </c>
      <c r="E253" s="17" t="str">
        <f>IF($A253="","",SUMIFS(Amortization!G$17:G$1017,Amortization!$A$17:$A$1017,$B253))</f>
        <v/>
      </c>
    </row>
    <row r="254" spans="2:5" hidden="1" x14ac:dyDescent="0.3">
      <c r="B254" s="1" t="str">
        <f t="shared" si="4"/>
        <v/>
      </c>
      <c r="C254" s="17" t="str">
        <f>IF($A254="","",SUMIFS(Amortization!E$17:E$1017,Amortization!$A$17:$A$1017,$B254))</f>
        <v/>
      </c>
      <c r="D254" s="17" t="str">
        <f>IF($A254="","",SUMIFS(Amortization!F$17:F$1017,Amortization!$A$17:$A$1017,$B254))</f>
        <v/>
      </c>
      <c r="E254" s="17" t="str">
        <f>IF($A254="","",SUMIFS(Amortization!G$17:G$1017,Amortization!$A$17:$A$1017,$B254))</f>
        <v/>
      </c>
    </row>
    <row r="255" spans="2:5" hidden="1" x14ac:dyDescent="0.3">
      <c r="B255" s="1" t="str">
        <f t="shared" si="4"/>
        <v/>
      </c>
      <c r="C255" s="17" t="str">
        <f>IF($A255="","",SUMIFS(Amortization!E$17:E$1017,Amortization!$A$17:$A$1017,$B255))</f>
        <v/>
      </c>
      <c r="D255" s="17" t="str">
        <f>IF($A255="","",SUMIFS(Amortization!F$17:F$1017,Amortization!$A$17:$A$1017,$B255))</f>
        <v/>
      </c>
      <c r="E255" s="17" t="str">
        <f>IF($A255="","",SUMIFS(Amortization!G$17:G$1017,Amortization!$A$17:$A$1017,$B255))</f>
        <v/>
      </c>
    </row>
    <row r="256" spans="2:5" hidden="1" x14ac:dyDescent="0.3">
      <c r="B256" s="1" t="str">
        <f t="shared" si="4"/>
        <v/>
      </c>
      <c r="C256" s="17" t="str">
        <f>IF($A256="","",SUMIFS(Amortization!E$17:E$1017,Amortization!$A$17:$A$1017,$B256))</f>
        <v/>
      </c>
      <c r="D256" s="17" t="str">
        <f>IF($A256="","",SUMIFS(Amortization!F$17:F$1017,Amortization!$A$17:$A$1017,$B256))</f>
        <v/>
      </c>
      <c r="E256" s="17" t="str">
        <f>IF($A256="","",SUMIFS(Amortization!G$17:G$1017,Amortization!$A$17:$A$1017,$B256))</f>
        <v/>
      </c>
    </row>
    <row r="257" spans="2:5" hidden="1" x14ac:dyDescent="0.3">
      <c r="B257" s="1" t="str">
        <f t="shared" si="4"/>
        <v/>
      </c>
      <c r="C257" s="17" t="str">
        <f>IF($A257="","",SUMIFS(Amortization!E$17:E$1017,Amortization!$A$17:$A$1017,$B257))</f>
        <v/>
      </c>
      <c r="D257" s="17" t="str">
        <f>IF($A257="","",SUMIFS(Amortization!F$17:F$1017,Amortization!$A$17:$A$1017,$B257))</f>
        <v/>
      </c>
      <c r="E257" s="17" t="str">
        <f>IF($A257="","",SUMIFS(Amortization!G$17:G$1017,Amortization!$A$17:$A$1017,$B257))</f>
        <v/>
      </c>
    </row>
    <row r="258" spans="2:5" hidden="1" x14ac:dyDescent="0.3">
      <c r="B258" s="1" t="str">
        <f t="shared" si="4"/>
        <v/>
      </c>
      <c r="C258" s="17" t="str">
        <f>IF($A258="","",SUMIFS(Amortization!E$17:E$1017,Amortization!$A$17:$A$1017,$B258))</f>
        <v/>
      </c>
      <c r="D258" s="17" t="str">
        <f>IF($A258="","",SUMIFS(Amortization!F$17:F$1017,Amortization!$A$17:$A$1017,$B258))</f>
        <v/>
      </c>
      <c r="E258" s="17" t="str">
        <f>IF($A258="","",SUMIFS(Amortization!G$17:G$1017,Amortization!$A$17:$A$1017,$B258))</f>
        <v/>
      </c>
    </row>
    <row r="259" spans="2:5" hidden="1" x14ac:dyDescent="0.3">
      <c r="B259" s="1" t="str">
        <f t="shared" si="4"/>
        <v/>
      </c>
      <c r="C259" s="17" t="str">
        <f>IF($A259="","",SUMIFS(Amortization!E$17:E$1017,Amortization!$A$17:$A$1017,$B259))</f>
        <v/>
      </c>
      <c r="D259" s="17" t="str">
        <f>IF($A259="","",SUMIFS(Amortization!F$17:F$1017,Amortization!$A$17:$A$1017,$B259))</f>
        <v/>
      </c>
      <c r="E259" s="17" t="str">
        <f>IF($A259="","",SUMIFS(Amortization!G$17:G$1017,Amortization!$A$17:$A$1017,$B259))</f>
        <v/>
      </c>
    </row>
    <row r="260" spans="2:5" hidden="1" x14ac:dyDescent="0.3">
      <c r="B260" s="1" t="str">
        <f t="shared" si="4"/>
        <v/>
      </c>
      <c r="C260" s="17" t="str">
        <f>IF($A260="","",SUMIFS(Amortization!E$17:E$1017,Amortization!$A$17:$A$1017,$B260))</f>
        <v/>
      </c>
      <c r="D260" s="17" t="str">
        <f>IF($A260="","",SUMIFS(Amortization!F$17:F$1017,Amortization!$A$17:$A$1017,$B260))</f>
        <v/>
      </c>
      <c r="E260" s="17" t="str">
        <f>IF($A260="","",SUMIFS(Amortization!G$17:G$1017,Amortization!$A$17:$A$1017,$B260))</f>
        <v/>
      </c>
    </row>
    <row r="261" spans="2:5" hidden="1" x14ac:dyDescent="0.3">
      <c r="B261" s="1" t="str">
        <f t="shared" si="4"/>
        <v/>
      </c>
      <c r="C261" s="17" t="str">
        <f>IF($A261="","",SUMIFS(Amortization!E$17:E$1017,Amortization!$A$17:$A$1017,$B261))</f>
        <v/>
      </c>
      <c r="D261" s="17" t="str">
        <f>IF($A261="","",SUMIFS(Amortization!F$17:F$1017,Amortization!$A$17:$A$1017,$B261))</f>
        <v/>
      </c>
      <c r="E261" s="17" t="str">
        <f>IF($A261="","",SUMIFS(Amortization!G$17:G$1017,Amortization!$A$17:$A$1017,$B261))</f>
        <v/>
      </c>
    </row>
    <row r="262" spans="2:5" hidden="1" x14ac:dyDescent="0.3">
      <c r="B262" s="1" t="str">
        <f t="shared" si="4"/>
        <v/>
      </c>
      <c r="C262" s="17" t="str">
        <f>IF($A262="","",SUMIFS(Amortization!E$17:E$1017,Amortization!$A$17:$A$1017,$B262))</f>
        <v/>
      </c>
      <c r="D262" s="17" t="str">
        <f>IF($A262="","",SUMIFS(Amortization!F$17:F$1017,Amortization!$A$17:$A$1017,$B262))</f>
        <v/>
      </c>
      <c r="E262" s="17" t="str">
        <f>IF($A262="","",SUMIFS(Amortization!G$17:G$1017,Amortization!$A$17:$A$1017,$B262))</f>
        <v/>
      </c>
    </row>
    <row r="263" spans="2:5" hidden="1" x14ac:dyDescent="0.3">
      <c r="B263" s="1" t="str">
        <f t="shared" si="4"/>
        <v/>
      </c>
      <c r="C263" s="17" t="str">
        <f>IF($A263="","",SUMIFS(Amortization!E$17:E$1017,Amortization!$A$17:$A$1017,$B263))</f>
        <v/>
      </c>
      <c r="D263" s="17" t="str">
        <f>IF($A263="","",SUMIFS(Amortization!F$17:F$1017,Amortization!$A$17:$A$1017,$B263))</f>
        <v/>
      </c>
      <c r="E263" s="17" t="str">
        <f>IF($A263="","",SUMIFS(Amortization!G$17:G$1017,Amortization!$A$17:$A$1017,$B263))</f>
        <v/>
      </c>
    </row>
    <row r="264" spans="2:5" hidden="1" x14ac:dyDescent="0.3">
      <c r="B264" s="1" t="str">
        <f t="shared" si="4"/>
        <v/>
      </c>
      <c r="C264" s="17" t="str">
        <f>IF($A264="","",SUMIFS(Amortization!E$17:E$1017,Amortization!$A$17:$A$1017,$B264))</f>
        <v/>
      </c>
      <c r="D264" s="17" t="str">
        <f>IF($A264="","",SUMIFS(Amortization!F$17:F$1017,Amortization!$A$17:$A$1017,$B264))</f>
        <v/>
      </c>
      <c r="E264" s="17" t="str">
        <f>IF($A264="","",SUMIFS(Amortization!G$17:G$1017,Amortization!$A$17:$A$1017,$B264))</f>
        <v/>
      </c>
    </row>
    <row r="265" spans="2:5" hidden="1" x14ac:dyDescent="0.3">
      <c r="B265" s="1" t="str">
        <f t="shared" si="4"/>
        <v/>
      </c>
      <c r="C265" s="17" t="str">
        <f>IF($A265="","",SUMIFS(Amortization!E$17:E$1017,Amortization!$A$17:$A$1017,$B265))</f>
        <v/>
      </c>
      <c r="D265" s="17" t="str">
        <f>IF($A265="","",SUMIFS(Amortization!F$17:F$1017,Amortization!$A$17:$A$1017,$B265))</f>
        <v/>
      </c>
      <c r="E265" s="17" t="str">
        <f>IF($A265="","",SUMIFS(Amortization!G$17:G$1017,Amortization!$A$17:$A$1017,$B265))</f>
        <v/>
      </c>
    </row>
    <row r="266" spans="2:5" hidden="1" x14ac:dyDescent="0.3">
      <c r="B266" s="1" t="str">
        <f t="shared" si="4"/>
        <v/>
      </c>
      <c r="C266" s="17" t="str">
        <f>IF($A266="","",SUMIFS(Amortization!E$17:E$1017,Amortization!$A$17:$A$1017,$B266))</f>
        <v/>
      </c>
      <c r="D266" s="17" t="str">
        <f>IF($A266="","",SUMIFS(Amortization!F$17:F$1017,Amortization!$A$17:$A$1017,$B266))</f>
        <v/>
      </c>
      <c r="E266" s="17" t="str">
        <f>IF($A266="","",SUMIFS(Amortization!G$17:G$1017,Amortization!$A$17:$A$1017,$B266))</f>
        <v/>
      </c>
    </row>
    <row r="267" spans="2:5" hidden="1" x14ac:dyDescent="0.3">
      <c r="B267" s="1" t="str">
        <f t="shared" si="4"/>
        <v/>
      </c>
      <c r="C267" s="17" t="str">
        <f>IF($A267="","",SUMIFS(Amortization!E$17:E$1017,Amortization!$A$17:$A$1017,$B267))</f>
        <v/>
      </c>
      <c r="D267" s="17" t="str">
        <f>IF($A267="","",SUMIFS(Amortization!F$17:F$1017,Amortization!$A$17:$A$1017,$B267))</f>
        <v/>
      </c>
      <c r="E267" s="17" t="str">
        <f>IF($A267="","",SUMIFS(Amortization!G$17:G$1017,Amortization!$A$17:$A$1017,$B267))</f>
        <v/>
      </c>
    </row>
    <row r="268" spans="2:5" hidden="1" x14ac:dyDescent="0.3">
      <c r="B268" s="1" t="str">
        <f t="shared" si="4"/>
        <v/>
      </c>
      <c r="C268" s="17" t="str">
        <f>IF($A268="","",SUMIFS(Amortization!E$17:E$1017,Amortization!$A$17:$A$1017,$B268))</f>
        <v/>
      </c>
      <c r="D268" s="17" t="str">
        <f>IF($A268="","",SUMIFS(Amortization!F$17:F$1017,Amortization!$A$17:$A$1017,$B268))</f>
        <v/>
      </c>
      <c r="E268" s="17" t="str">
        <f>IF($A268="","",SUMIFS(Amortization!G$17:G$1017,Amortization!$A$17:$A$1017,$B268))</f>
        <v/>
      </c>
    </row>
    <row r="269" spans="2:5" hidden="1" x14ac:dyDescent="0.3">
      <c r="B269" s="1" t="str">
        <f t="shared" si="4"/>
        <v/>
      </c>
      <c r="C269" s="17" t="str">
        <f>IF($A269="","",SUMIFS(Amortization!E$17:E$1017,Amortization!$A$17:$A$1017,$B269))</f>
        <v/>
      </c>
      <c r="D269" s="17" t="str">
        <f>IF($A269="","",SUMIFS(Amortization!F$17:F$1017,Amortization!$A$17:$A$1017,$B269))</f>
        <v/>
      </c>
      <c r="E269" s="17" t="str">
        <f>IF($A269="","",SUMIFS(Amortization!G$17:G$1017,Amortization!$A$17:$A$1017,$B269))</f>
        <v/>
      </c>
    </row>
    <row r="270" spans="2:5" hidden="1" x14ac:dyDescent="0.3">
      <c r="B270" s="1" t="str">
        <f t="shared" si="4"/>
        <v/>
      </c>
      <c r="C270" s="17" t="str">
        <f>IF($A270="","",SUMIFS(Amortization!E$17:E$1017,Amortization!$A$17:$A$1017,$B270))</f>
        <v/>
      </c>
      <c r="D270" s="17" t="str">
        <f>IF($A270="","",SUMIFS(Amortization!F$17:F$1017,Amortization!$A$17:$A$1017,$B270))</f>
        <v/>
      </c>
      <c r="E270" s="17" t="str">
        <f>IF($A270="","",SUMIFS(Amortization!G$17:G$1017,Amortization!$A$17:$A$1017,$B270))</f>
        <v/>
      </c>
    </row>
    <row r="271" spans="2:5" hidden="1" x14ac:dyDescent="0.3">
      <c r="B271" s="1" t="str">
        <f t="shared" si="4"/>
        <v/>
      </c>
      <c r="C271" s="17" t="str">
        <f>IF($A271="","",SUMIFS(Amortization!E$17:E$1017,Amortization!$A$17:$A$1017,$B271))</f>
        <v/>
      </c>
      <c r="D271" s="17" t="str">
        <f>IF($A271="","",SUMIFS(Amortization!F$17:F$1017,Amortization!$A$17:$A$1017,$B271))</f>
        <v/>
      </c>
      <c r="E271" s="17" t="str">
        <f>IF($A271="","",SUMIFS(Amortization!G$17:G$1017,Amortization!$A$17:$A$1017,$B271))</f>
        <v/>
      </c>
    </row>
    <row r="272" spans="2:5" hidden="1" x14ac:dyDescent="0.3">
      <c r="B272" s="1" t="str">
        <f t="shared" si="4"/>
        <v/>
      </c>
      <c r="C272" s="17" t="str">
        <f>IF($A272="","",SUMIFS(Amortization!E$17:E$1017,Amortization!$A$17:$A$1017,$B272))</f>
        <v/>
      </c>
      <c r="D272" s="17" t="str">
        <f>IF($A272="","",SUMIFS(Amortization!F$17:F$1017,Amortization!$A$17:$A$1017,$B272))</f>
        <v/>
      </c>
      <c r="E272" s="17" t="str">
        <f>IF($A272="","",SUMIFS(Amortization!G$17:G$1017,Amortization!$A$17:$A$1017,$B272))</f>
        <v/>
      </c>
    </row>
    <row r="273" spans="2:5" hidden="1" x14ac:dyDescent="0.3">
      <c r="B273" s="1" t="str">
        <f t="shared" si="4"/>
        <v/>
      </c>
      <c r="C273" s="17" t="str">
        <f>IF($A273="","",SUMIFS(Amortization!E$17:E$1017,Amortization!$A$17:$A$1017,$B273))</f>
        <v/>
      </c>
      <c r="D273" s="17" t="str">
        <f>IF($A273="","",SUMIFS(Amortization!F$17:F$1017,Amortization!$A$17:$A$1017,$B273))</f>
        <v/>
      </c>
      <c r="E273" s="17" t="str">
        <f>IF($A273="","",SUMIFS(Amortization!G$17:G$1017,Amortization!$A$17:$A$1017,$B273))</f>
        <v/>
      </c>
    </row>
    <row r="274" spans="2:5" hidden="1" x14ac:dyDescent="0.3">
      <c r="B274" s="1" t="str">
        <f t="shared" si="4"/>
        <v/>
      </c>
      <c r="C274" s="17" t="str">
        <f>IF($A274="","",SUMIFS(Amortization!E$17:E$1017,Amortization!$A$17:$A$1017,$B274))</f>
        <v/>
      </c>
      <c r="D274" s="17" t="str">
        <f>IF($A274="","",SUMIFS(Amortization!F$17:F$1017,Amortization!$A$17:$A$1017,$B274))</f>
        <v/>
      </c>
      <c r="E274" s="17" t="str">
        <f>IF($A274="","",SUMIFS(Amortization!G$17:G$1017,Amortization!$A$17:$A$1017,$B274))</f>
        <v/>
      </c>
    </row>
    <row r="275" spans="2:5" hidden="1" x14ac:dyDescent="0.3">
      <c r="B275" s="1" t="str">
        <f t="shared" ref="B275:B338" si="5">IF(A275="","",B274+1)</f>
        <v/>
      </c>
      <c r="C275" s="17" t="str">
        <f>IF($A275="","",SUMIFS(Amortization!E$17:E$1017,Amortization!$A$17:$A$1017,$B275))</f>
        <v/>
      </c>
      <c r="D275" s="17" t="str">
        <f>IF($A275="","",SUMIFS(Amortization!F$17:F$1017,Amortization!$A$17:$A$1017,$B275))</f>
        <v/>
      </c>
      <c r="E275" s="17" t="str">
        <f>IF($A275="","",SUMIFS(Amortization!G$17:G$1017,Amortization!$A$17:$A$1017,$B275))</f>
        <v/>
      </c>
    </row>
    <row r="276" spans="2:5" hidden="1" x14ac:dyDescent="0.3">
      <c r="B276" s="1" t="str">
        <f t="shared" si="5"/>
        <v/>
      </c>
      <c r="C276" s="17" t="str">
        <f>IF($A276="","",SUMIFS(Amortization!E$17:E$1017,Amortization!$A$17:$A$1017,$B276))</f>
        <v/>
      </c>
      <c r="D276" s="17" t="str">
        <f>IF($A276="","",SUMIFS(Amortization!F$17:F$1017,Amortization!$A$17:$A$1017,$B276))</f>
        <v/>
      </c>
      <c r="E276" s="17" t="str">
        <f>IF($A276="","",SUMIFS(Amortization!G$17:G$1017,Amortization!$A$17:$A$1017,$B276))</f>
        <v/>
      </c>
    </row>
    <row r="277" spans="2:5" hidden="1" x14ac:dyDescent="0.3">
      <c r="B277" s="1" t="str">
        <f t="shared" si="5"/>
        <v/>
      </c>
      <c r="C277" s="17" t="str">
        <f>IF($A277="","",SUMIFS(Amortization!E$17:E$1017,Amortization!$A$17:$A$1017,$B277))</f>
        <v/>
      </c>
      <c r="D277" s="17" t="str">
        <f>IF($A277="","",SUMIFS(Amortization!F$17:F$1017,Amortization!$A$17:$A$1017,$B277))</f>
        <v/>
      </c>
      <c r="E277" s="17" t="str">
        <f>IF($A277="","",SUMIFS(Amortization!G$17:G$1017,Amortization!$A$17:$A$1017,$B277))</f>
        <v/>
      </c>
    </row>
    <row r="278" spans="2:5" hidden="1" x14ac:dyDescent="0.3">
      <c r="B278" s="1" t="str">
        <f t="shared" si="5"/>
        <v/>
      </c>
      <c r="C278" s="17" t="str">
        <f>IF($A278="","",SUMIFS(Amortization!E$17:E$1017,Amortization!$A$17:$A$1017,$B278))</f>
        <v/>
      </c>
      <c r="D278" s="17" t="str">
        <f>IF($A278="","",SUMIFS(Amortization!F$17:F$1017,Amortization!$A$17:$A$1017,$B278))</f>
        <v/>
      </c>
      <c r="E278" s="17" t="str">
        <f>IF($A278="","",SUMIFS(Amortization!G$17:G$1017,Amortization!$A$17:$A$1017,$B278))</f>
        <v/>
      </c>
    </row>
    <row r="279" spans="2:5" hidden="1" x14ac:dyDescent="0.3">
      <c r="B279" s="1" t="str">
        <f t="shared" si="5"/>
        <v/>
      </c>
      <c r="C279" s="17" t="str">
        <f>IF($A279="","",SUMIFS(Amortization!E$17:E$1017,Amortization!$A$17:$A$1017,$B279))</f>
        <v/>
      </c>
      <c r="D279" s="17" t="str">
        <f>IF($A279="","",SUMIFS(Amortization!F$17:F$1017,Amortization!$A$17:$A$1017,$B279))</f>
        <v/>
      </c>
      <c r="E279" s="17" t="str">
        <f>IF($A279="","",SUMIFS(Amortization!G$17:G$1017,Amortization!$A$17:$A$1017,$B279))</f>
        <v/>
      </c>
    </row>
    <row r="280" spans="2:5" hidden="1" x14ac:dyDescent="0.3">
      <c r="B280" s="1" t="str">
        <f t="shared" si="5"/>
        <v/>
      </c>
      <c r="C280" s="17" t="str">
        <f>IF($A280="","",SUMIFS(Amortization!E$17:E$1017,Amortization!$A$17:$A$1017,$B280))</f>
        <v/>
      </c>
      <c r="D280" s="17" t="str">
        <f>IF($A280="","",SUMIFS(Amortization!F$17:F$1017,Amortization!$A$17:$A$1017,$B280))</f>
        <v/>
      </c>
      <c r="E280" s="17" t="str">
        <f>IF($A280="","",SUMIFS(Amortization!G$17:G$1017,Amortization!$A$17:$A$1017,$B280))</f>
        <v/>
      </c>
    </row>
    <row r="281" spans="2:5" hidden="1" x14ac:dyDescent="0.3">
      <c r="B281" s="1" t="str">
        <f t="shared" si="5"/>
        <v/>
      </c>
      <c r="C281" s="17" t="str">
        <f>IF($A281="","",SUMIFS(Amortization!E$17:E$1017,Amortization!$A$17:$A$1017,$B281))</f>
        <v/>
      </c>
      <c r="D281" s="17" t="str">
        <f>IF($A281="","",SUMIFS(Amortization!F$17:F$1017,Amortization!$A$17:$A$1017,$B281))</f>
        <v/>
      </c>
      <c r="E281" s="17" t="str">
        <f>IF($A281="","",SUMIFS(Amortization!G$17:G$1017,Amortization!$A$17:$A$1017,$B281))</f>
        <v/>
      </c>
    </row>
    <row r="282" spans="2:5" hidden="1" x14ac:dyDescent="0.3">
      <c r="B282" s="1" t="str">
        <f t="shared" si="5"/>
        <v/>
      </c>
      <c r="C282" s="17" t="str">
        <f>IF($A282="","",SUMIFS(Amortization!E$17:E$1017,Amortization!$A$17:$A$1017,$B282))</f>
        <v/>
      </c>
      <c r="D282" s="17" t="str">
        <f>IF($A282="","",SUMIFS(Amortization!F$17:F$1017,Amortization!$A$17:$A$1017,$B282))</f>
        <v/>
      </c>
      <c r="E282" s="17" t="str">
        <f>IF($A282="","",SUMIFS(Amortization!G$17:G$1017,Amortization!$A$17:$A$1017,$B282))</f>
        <v/>
      </c>
    </row>
    <row r="283" spans="2:5" hidden="1" x14ac:dyDescent="0.3">
      <c r="B283" s="1" t="str">
        <f t="shared" si="5"/>
        <v/>
      </c>
      <c r="C283" s="17" t="str">
        <f>IF($A283="","",SUMIFS(Amortization!E$17:E$1017,Amortization!$A$17:$A$1017,$B283))</f>
        <v/>
      </c>
      <c r="D283" s="17" t="str">
        <f>IF($A283="","",SUMIFS(Amortization!F$17:F$1017,Amortization!$A$17:$A$1017,$B283))</f>
        <v/>
      </c>
      <c r="E283" s="17" t="str">
        <f>IF($A283="","",SUMIFS(Amortization!G$17:G$1017,Amortization!$A$17:$A$1017,$B283))</f>
        <v/>
      </c>
    </row>
    <row r="284" spans="2:5" hidden="1" x14ac:dyDescent="0.3">
      <c r="B284" s="1" t="str">
        <f t="shared" si="5"/>
        <v/>
      </c>
      <c r="C284" s="17" t="str">
        <f>IF($A284="","",SUMIFS(Amortization!E$17:E$1017,Amortization!$A$17:$A$1017,$B284))</f>
        <v/>
      </c>
      <c r="D284" s="17" t="str">
        <f>IF($A284="","",SUMIFS(Amortization!F$17:F$1017,Amortization!$A$17:$A$1017,$B284))</f>
        <v/>
      </c>
      <c r="E284" s="17" t="str">
        <f>IF($A284="","",SUMIFS(Amortization!G$17:G$1017,Amortization!$A$17:$A$1017,$B284))</f>
        <v/>
      </c>
    </row>
    <row r="285" spans="2:5" hidden="1" x14ac:dyDescent="0.3">
      <c r="B285" s="1" t="str">
        <f t="shared" si="5"/>
        <v/>
      </c>
      <c r="C285" s="17" t="str">
        <f>IF($A285="","",SUMIFS(Amortization!E$17:E$1017,Amortization!$A$17:$A$1017,$B285))</f>
        <v/>
      </c>
      <c r="D285" s="17" t="str">
        <f>IF($A285="","",SUMIFS(Amortization!F$17:F$1017,Amortization!$A$17:$A$1017,$B285))</f>
        <v/>
      </c>
      <c r="E285" s="17" t="str">
        <f>IF($A285="","",SUMIFS(Amortization!G$17:G$1017,Amortization!$A$17:$A$1017,$B285))</f>
        <v/>
      </c>
    </row>
    <row r="286" spans="2:5" hidden="1" x14ac:dyDescent="0.3">
      <c r="B286" s="1" t="str">
        <f t="shared" si="5"/>
        <v/>
      </c>
      <c r="C286" s="17" t="str">
        <f>IF($A286="","",SUMIFS(Amortization!E$17:E$1017,Amortization!$A$17:$A$1017,$B286))</f>
        <v/>
      </c>
      <c r="D286" s="17" t="str">
        <f>IF($A286="","",SUMIFS(Amortization!F$17:F$1017,Amortization!$A$17:$A$1017,$B286))</f>
        <v/>
      </c>
      <c r="E286" s="17" t="str">
        <f>IF($A286="","",SUMIFS(Amortization!G$17:G$1017,Amortization!$A$17:$A$1017,$B286))</f>
        <v/>
      </c>
    </row>
    <row r="287" spans="2:5" hidden="1" x14ac:dyDescent="0.3">
      <c r="B287" s="1" t="str">
        <f t="shared" si="5"/>
        <v/>
      </c>
      <c r="C287" s="17" t="str">
        <f>IF($A287="","",SUMIFS(Amortization!E$17:E$1017,Amortization!$A$17:$A$1017,$B287))</f>
        <v/>
      </c>
      <c r="D287" s="17" t="str">
        <f>IF($A287="","",SUMIFS(Amortization!F$17:F$1017,Amortization!$A$17:$A$1017,$B287))</f>
        <v/>
      </c>
      <c r="E287" s="17" t="str">
        <f>IF($A287="","",SUMIFS(Amortization!G$17:G$1017,Amortization!$A$17:$A$1017,$B287))</f>
        <v/>
      </c>
    </row>
    <row r="288" spans="2:5" hidden="1" x14ac:dyDescent="0.3">
      <c r="B288" s="1" t="str">
        <f t="shared" si="5"/>
        <v/>
      </c>
      <c r="C288" s="17" t="str">
        <f>IF($A288="","",SUMIFS(Amortization!E$17:E$1017,Amortization!$A$17:$A$1017,$B288))</f>
        <v/>
      </c>
      <c r="D288" s="17" t="str">
        <f>IF($A288="","",SUMIFS(Amortization!F$17:F$1017,Amortization!$A$17:$A$1017,$B288))</f>
        <v/>
      </c>
      <c r="E288" s="17" t="str">
        <f>IF($A288="","",SUMIFS(Amortization!G$17:G$1017,Amortization!$A$17:$A$1017,$B288))</f>
        <v/>
      </c>
    </row>
    <row r="289" spans="2:5" hidden="1" x14ac:dyDescent="0.3">
      <c r="B289" s="1" t="str">
        <f t="shared" si="5"/>
        <v/>
      </c>
      <c r="C289" s="17" t="str">
        <f>IF($A289="","",SUMIFS(Amortization!E$17:E$1017,Amortization!$A$17:$A$1017,$B289))</f>
        <v/>
      </c>
      <c r="D289" s="17" t="str">
        <f>IF($A289="","",SUMIFS(Amortization!F$17:F$1017,Amortization!$A$17:$A$1017,$B289))</f>
        <v/>
      </c>
      <c r="E289" s="17" t="str">
        <f>IF($A289="","",SUMIFS(Amortization!G$17:G$1017,Amortization!$A$17:$A$1017,$B289))</f>
        <v/>
      </c>
    </row>
    <row r="290" spans="2:5" hidden="1" x14ac:dyDescent="0.3">
      <c r="B290" s="1" t="str">
        <f t="shared" si="5"/>
        <v/>
      </c>
      <c r="C290" s="17" t="str">
        <f>IF($A290="","",SUMIFS(Amortization!E$17:E$1017,Amortization!$A$17:$A$1017,$B290))</f>
        <v/>
      </c>
      <c r="D290" s="17" t="str">
        <f>IF($A290="","",SUMIFS(Amortization!F$17:F$1017,Amortization!$A$17:$A$1017,$B290))</f>
        <v/>
      </c>
      <c r="E290" s="17" t="str">
        <f>IF($A290="","",SUMIFS(Amortization!G$17:G$1017,Amortization!$A$17:$A$1017,$B290))</f>
        <v/>
      </c>
    </row>
    <row r="291" spans="2:5" hidden="1" x14ac:dyDescent="0.3">
      <c r="B291" s="1" t="str">
        <f t="shared" si="5"/>
        <v/>
      </c>
      <c r="C291" s="17" t="str">
        <f>IF($A291="","",SUMIFS(Amortization!E$17:E$1017,Amortization!$A$17:$A$1017,$B291))</f>
        <v/>
      </c>
      <c r="D291" s="17" t="str">
        <f>IF($A291="","",SUMIFS(Amortization!F$17:F$1017,Amortization!$A$17:$A$1017,$B291))</f>
        <v/>
      </c>
      <c r="E291" s="17" t="str">
        <f>IF($A291="","",SUMIFS(Amortization!G$17:G$1017,Amortization!$A$17:$A$1017,$B291))</f>
        <v/>
      </c>
    </row>
    <row r="292" spans="2:5" hidden="1" x14ac:dyDescent="0.3">
      <c r="B292" s="1" t="str">
        <f t="shared" si="5"/>
        <v/>
      </c>
      <c r="C292" s="17" t="str">
        <f>IF($A292="","",SUMIFS(Amortization!E$17:E$1017,Amortization!$A$17:$A$1017,$B292))</f>
        <v/>
      </c>
      <c r="D292" s="17" t="str">
        <f>IF($A292="","",SUMIFS(Amortization!F$17:F$1017,Amortization!$A$17:$A$1017,$B292))</f>
        <v/>
      </c>
      <c r="E292" s="17" t="str">
        <f>IF($A292="","",SUMIFS(Amortization!G$17:G$1017,Amortization!$A$17:$A$1017,$B292))</f>
        <v/>
      </c>
    </row>
    <row r="293" spans="2:5" hidden="1" x14ac:dyDescent="0.3">
      <c r="B293" s="1" t="str">
        <f t="shared" si="5"/>
        <v/>
      </c>
      <c r="C293" s="17" t="str">
        <f>IF($A293="","",SUMIFS(Amortization!E$17:E$1017,Amortization!$A$17:$A$1017,$B293))</f>
        <v/>
      </c>
      <c r="D293" s="17" t="str">
        <f>IF($A293="","",SUMIFS(Amortization!F$17:F$1017,Amortization!$A$17:$A$1017,$B293))</f>
        <v/>
      </c>
      <c r="E293" s="17" t="str">
        <f>IF($A293="","",SUMIFS(Amortization!G$17:G$1017,Amortization!$A$17:$A$1017,$B293))</f>
        <v/>
      </c>
    </row>
    <row r="294" spans="2:5" hidden="1" x14ac:dyDescent="0.3">
      <c r="B294" s="1" t="str">
        <f t="shared" si="5"/>
        <v/>
      </c>
      <c r="C294" s="17" t="str">
        <f>IF($A294="","",SUMIFS(Amortization!E$17:E$1017,Amortization!$A$17:$A$1017,$B294))</f>
        <v/>
      </c>
      <c r="D294" s="17" t="str">
        <f>IF($A294="","",SUMIFS(Amortization!F$17:F$1017,Amortization!$A$17:$A$1017,$B294))</f>
        <v/>
      </c>
      <c r="E294" s="17" t="str">
        <f>IF($A294="","",SUMIFS(Amortization!G$17:G$1017,Amortization!$A$17:$A$1017,$B294))</f>
        <v/>
      </c>
    </row>
    <row r="295" spans="2:5" hidden="1" x14ac:dyDescent="0.3">
      <c r="B295" s="1" t="str">
        <f t="shared" si="5"/>
        <v/>
      </c>
      <c r="C295" s="17" t="str">
        <f>IF($A295="","",SUMIFS(Amortization!E$17:E$1017,Amortization!$A$17:$A$1017,$B295))</f>
        <v/>
      </c>
      <c r="D295" s="17" t="str">
        <f>IF($A295="","",SUMIFS(Amortization!F$17:F$1017,Amortization!$A$17:$A$1017,$B295))</f>
        <v/>
      </c>
      <c r="E295" s="17" t="str">
        <f>IF($A295="","",SUMIFS(Amortization!G$17:G$1017,Amortization!$A$17:$A$1017,$B295))</f>
        <v/>
      </c>
    </row>
    <row r="296" spans="2:5" hidden="1" x14ac:dyDescent="0.3">
      <c r="B296" s="1" t="str">
        <f t="shared" si="5"/>
        <v/>
      </c>
      <c r="C296" s="17" t="str">
        <f>IF($A296="","",SUMIFS(Amortization!E$17:E$1017,Amortization!$A$17:$A$1017,$B296))</f>
        <v/>
      </c>
      <c r="D296" s="17" t="str">
        <f>IF($A296="","",SUMIFS(Amortization!F$17:F$1017,Amortization!$A$17:$A$1017,$B296))</f>
        <v/>
      </c>
      <c r="E296" s="17" t="str">
        <f>IF($A296="","",SUMIFS(Amortization!G$17:G$1017,Amortization!$A$17:$A$1017,$B296))</f>
        <v/>
      </c>
    </row>
    <row r="297" spans="2:5" hidden="1" x14ac:dyDescent="0.3">
      <c r="B297" s="1" t="str">
        <f t="shared" si="5"/>
        <v/>
      </c>
      <c r="C297" s="17" t="str">
        <f>IF($A297="","",SUMIFS(Amortization!E$17:E$1017,Amortization!$A$17:$A$1017,$B297))</f>
        <v/>
      </c>
      <c r="D297" s="17" t="str">
        <f>IF($A297="","",SUMIFS(Amortization!F$17:F$1017,Amortization!$A$17:$A$1017,$B297))</f>
        <v/>
      </c>
      <c r="E297" s="17" t="str">
        <f>IF($A297="","",SUMIFS(Amortization!G$17:G$1017,Amortization!$A$17:$A$1017,$B297))</f>
        <v/>
      </c>
    </row>
    <row r="298" spans="2:5" hidden="1" x14ac:dyDescent="0.3">
      <c r="B298" s="1" t="str">
        <f t="shared" si="5"/>
        <v/>
      </c>
      <c r="C298" s="17" t="str">
        <f>IF($A298="","",SUMIFS(Amortization!E$17:E$1017,Amortization!$A$17:$A$1017,$B298))</f>
        <v/>
      </c>
      <c r="D298" s="17" t="str">
        <f>IF($A298="","",SUMIFS(Amortization!F$17:F$1017,Amortization!$A$17:$A$1017,$B298))</f>
        <v/>
      </c>
      <c r="E298" s="17" t="str">
        <f>IF($A298="","",SUMIFS(Amortization!G$17:G$1017,Amortization!$A$17:$A$1017,$B298))</f>
        <v/>
      </c>
    </row>
    <row r="299" spans="2:5" hidden="1" x14ac:dyDescent="0.3">
      <c r="B299" s="1" t="str">
        <f t="shared" si="5"/>
        <v/>
      </c>
      <c r="C299" s="17" t="str">
        <f>IF($A299="","",SUMIFS(Amortization!E$17:E$1017,Amortization!$A$17:$A$1017,$B299))</f>
        <v/>
      </c>
      <c r="D299" s="17" t="str">
        <f>IF($A299="","",SUMIFS(Amortization!F$17:F$1017,Amortization!$A$17:$A$1017,$B299))</f>
        <v/>
      </c>
      <c r="E299" s="17" t="str">
        <f>IF($A299="","",SUMIFS(Amortization!G$17:G$1017,Amortization!$A$17:$A$1017,$B299))</f>
        <v/>
      </c>
    </row>
    <row r="300" spans="2:5" hidden="1" x14ac:dyDescent="0.3">
      <c r="B300" s="1" t="str">
        <f t="shared" si="5"/>
        <v/>
      </c>
      <c r="C300" s="17" t="str">
        <f>IF($A300="","",SUMIFS(Amortization!E$17:E$1017,Amortization!$A$17:$A$1017,$B300))</f>
        <v/>
      </c>
      <c r="D300" s="17" t="str">
        <f>IF($A300="","",SUMIFS(Amortization!F$17:F$1017,Amortization!$A$17:$A$1017,$B300))</f>
        <v/>
      </c>
      <c r="E300" s="17" t="str">
        <f>IF($A300="","",SUMIFS(Amortization!G$17:G$1017,Amortization!$A$17:$A$1017,$B300))</f>
        <v/>
      </c>
    </row>
    <row r="301" spans="2:5" hidden="1" x14ac:dyDescent="0.3">
      <c r="B301" s="1" t="str">
        <f t="shared" si="5"/>
        <v/>
      </c>
      <c r="C301" s="17" t="str">
        <f>IF($A301="","",SUMIFS(Amortization!E$17:E$1017,Amortization!$A$17:$A$1017,$B301))</f>
        <v/>
      </c>
      <c r="D301" s="17" t="str">
        <f>IF($A301="","",SUMIFS(Amortization!F$17:F$1017,Amortization!$A$17:$A$1017,$B301))</f>
        <v/>
      </c>
      <c r="E301" s="17" t="str">
        <f>IF($A301="","",SUMIFS(Amortization!G$17:G$1017,Amortization!$A$17:$A$1017,$B301))</f>
        <v/>
      </c>
    </row>
    <row r="302" spans="2:5" hidden="1" x14ac:dyDescent="0.3">
      <c r="B302" s="1" t="str">
        <f t="shared" si="5"/>
        <v/>
      </c>
      <c r="C302" s="17" t="str">
        <f>IF($A302="","",SUMIFS(Amortization!E$17:E$1017,Amortization!$A$17:$A$1017,$B302))</f>
        <v/>
      </c>
      <c r="D302" s="17" t="str">
        <f>IF($A302="","",SUMIFS(Amortization!F$17:F$1017,Amortization!$A$17:$A$1017,$B302))</f>
        <v/>
      </c>
      <c r="E302" s="17" t="str">
        <f>IF($A302="","",SUMIFS(Amortization!G$17:G$1017,Amortization!$A$17:$A$1017,$B302))</f>
        <v/>
      </c>
    </row>
    <row r="303" spans="2:5" hidden="1" x14ac:dyDescent="0.3">
      <c r="B303" s="1" t="str">
        <f t="shared" si="5"/>
        <v/>
      </c>
      <c r="C303" s="17" t="str">
        <f>IF($A303="","",SUMIFS(Amortization!E$17:E$1017,Amortization!$A$17:$A$1017,$B303))</f>
        <v/>
      </c>
      <c r="D303" s="17" t="str">
        <f>IF($A303="","",SUMIFS(Amortization!F$17:F$1017,Amortization!$A$17:$A$1017,$B303))</f>
        <v/>
      </c>
      <c r="E303" s="17" t="str">
        <f>IF($A303="","",SUMIFS(Amortization!G$17:G$1017,Amortization!$A$17:$A$1017,$B303))</f>
        <v/>
      </c>
    </row>
    <row r="304" spans="2:5" hidden="1" x14ac:dyDescent="0.3">
      <c r="B304" s="1" t="str">
        <f t="shared" si="5"/>
        <v/>
      </c>
      <c r="C304" s="17" t="str">
        <f>IF($A304="","",SUMIFS(Amortization!E$17:E$1017,Amortization!$A$17:$A$1017,$B304))</f>
        <v/>
      </c>
      <c r="D304" s="17" t="str">
        <f>IF($A304="","",SUMIFS(Amortization!F$17:F$1017,Amortization!$A$17:$A$1017,$B304))</f>
        <v/>
      </c>
      <c r="E304" s="17" t="str">
        <f>IF($A304="","",SUMIFS(Amortization!G$17:G$1017,Amortization!$A$17:$A$1017,$B304))</f>
        <v/>
      </c>
    </row>
    <row r="305" spans="2:5" hidden="1" x14ac:dyDescent="0.3">
      <c r="B305" s="1" t="str">
        <f t="shared" si="5"/>
        <v/>
      </c>
      <c r="C305" s="17" t="str">
        <f>IF($A305="","",SUMIFS(Amortization!E$17:E$1017,Amortization!$A$17:$A$1017,$B305))</f>
        <v/>
      </c>
      <c r="D305" s="17" t="str">
        <f>IF($A305="","",SUMIFS(Amortization!F$17:F$1017,Amortization!$A$17:$A$1017,$B305))</f>
        <v/>
      </c>
      <c r="E305" s="17" t="str">
        <f>IF($A305="","",SUMIFS(Amortization!G$17:G$1017,Amortization!$A$17:$A$1017,$B305))</f>
        <v/>
      </c>
    </row>
    <row r="306" spans="2:5" hidden="1" x14ac:dyDescent="0.3">
      <c r="B306" s="1" t="str">
        <f t="shared" si="5"/>
        <v/>
      </c>
      <c r="C306" s="17" t="str">
        <f>IF($A306="","",SUMIFS(Amortization!E$17:E$1017,Amortization!$A$17:$A$1017,$B306))</f>
        <v/>
      </c>
      <c r="D306" s="17" t="str">
        <f>IF($A306="","",SUMIFS(Amortization!F$17:F$1017,Amortization!$A$17:$A$1017,$B306))</f>
        <v/>
      </c>
      <c r="E306" s="17" t="str">
        <f>IF($A306="","",SUMIFS(Amortization!G$17:G$1017,Amortization!$A$17:$A$1017,$B306))</f>
        <v/>
      </c>
    </row>
    <row r="307" spans="2:5" hidden="1" x14ac:dyDescent="0.3">
      <c r="B307" s="1" t="str">
        <f t="shared" si="5"/>
        <v/>
      </c>
      <c r="C307" s="17" t="str">
        <f>IF($A307="","",SUMIFS(Amortization!E$17:E$1017,Amortization!$A$17:$A$1017,$B307))</f>
        <v/>
      </c>
      <c r="D307" s="17" t="str">
        <f>IF($A307="","",SUMIFS(Amortization!F$17:F$1017,Amortization!$A$17:$A$1017,$B307))</f>
        <v/>
      </c>
      <c r="E307" s="17" t="str">
        <f>IF($A307="","",SUMIFS(Amortization!G$17:G$1017,Amortization!$A$17:$A$1017,$B307))</f>
        <v/>
      </c>
    </row>
    <row r="308" spans="2:5" hidden="1" x14ac:dyDescent="0.3">
      <c r="B308" s="1" t="str">
        <f t="shared" si="5"/>
        <v/>
      </c>
      <c r="C308" s="17" t="str">
        <f>IF($A308="","",SUMIFS(Amortization!E$17:E$1017,Amortization!$A$17:$A$1017,$B308))</f>
        <v/>
      </c>
      <c r="D308" s="17" t="str">
        <f>IF($A308="","",SUMIFS(Amortization!F$17:F$1017,Amortization!$A$17:$A$1017,$B308))</f>
        <v/>
      </c>
      <c r="E308" s="17" t="str">
        <f>IF($A308="","",SUMIFS(Amortization!G$17:G$1017,Amortization!$A$17:$A$1017,$B308))</f>
        <v/>
      </c>
    </row>
    <row r="309" spans="2:5" hidden="1" x14ac:dyDescent="0.3">
      <c r="B309" s="1" t="str">
        <f t="shared" si="5"/>
        <v/>
      </c>
      <c r="C309" s="17" t="str">
        <f>IF($A309="","",SUMIFS(Amortization!E$17:E$1017,Amortization!$A$17:$A$1017,$B309))</f>
        <v/>
      </c>
      <c r="D309" s="17" t="str">
        <f>IF($A309="","",SUMIFS(Amortization!F$17:F$1017,Amortization!$A$17:$A$1017,$B309))</f>
        <v/>
      </c>
      <c r="E309" s="17" t="str">
        <f>IF($A309="","",SUMIFS(Amortization!G$17:G$1017,Amortization!$A$17:$A$1017,$B309))</f>
        <v/>
      </c>
    </row>
    <row r="310" spans="2:5" hidden="1" x14ac:dyDescent="0.3">
      <c r="B310" s="1" t="str">
        <f t="shared" si="5"/>
        <v/>
      </c>
      <c r="C310" s="17" t="str">
        <f>IF($A310="","",SUMIFS(Amortization!E$17:E$1017,Amortization!$A$17:$A$1017,$B310))</f>
        <v/>
      </c>
      <c r="D310" s="17" t="str">
        <f>IF($A310="","",SUMIFS(Amortization!F$17:F$1017,Amortization!$A$17:$A$1017,$B310))</f>
        <v/>
      </c>
      <c r="E310" s="17" t="str">
        <f>IF($A310="","",SUMIFS(Amortization!G$17:G$1017,Amortization!$A$17:$A$1017,$B310))</f>
        <v/>
      </c>
    </row>
    <row r="311" spans="2:5" hidden="1" x14ac:dyDescent="0.3">
      <c r="B311" s="1" t="str">
        <f t="shared" si="5"/>
        <v/>
      </c>
      <c r="C311" s="17" t="str">
        <f>IF($A311="","",SUMIFS(Amortization!E$17:E$1017,Amortization!$A$17:$A$1017,$B311))</f>
        <v/>
      </c>
      <c r="D311" s="17" t="str">
        <f>IF($A311="","",SUMIFS(Amortization!F$17:F$1017,Amortization!$A$17:$A$1017,$B311))</f>
        <v/>
      </c>
      <c r="E311" s="17" t="str">
        <f>IF($A311="","",SUMIFS(Amortization!G$17:G$1017,Amortization!$A$17:$A$1017,$B311))</f>
        <v/>
      </c>
    </row>
    <row r="312" spans="2:5" hidden="1" x14ac:dyDescent="0.3">
      <c r="B312" s="1" t="str">
        <f t="shared" si="5"/>
        <v/>
      </c>
      <c r="C312" s="17" t="str">
        <f>IF($A312="","",SUMIFS(Amortization!E$17:E$1017,Amortization!$A$17:$A$1017,$B312))</f>
        <v/>
      </c>
      <c r="D312" s="17" t="str">
        <f>IF($A312="","",SUMIFS(Amortization!F$17:F$1017,Amortization!$A$17:$A$1017,$B312))</f>
        <v/>
      </c>
      <c r="E312" s="17" t="str">
        <f>IF($A312="","",SUMIFS(Amortization!G$17:G$1017,Amortization!$A$17:$A$1017,$B312))</f>
        <v/>
      </c>
    </row>
    <row r="313" spans="2:5" hidden="1" x14ac:dyDescent="0.3">
      <c r="B313" s="1" t="str">
        <f t="shared" si="5"/>
        <v/>
      </c>
      <c r="C313" s="17" t="str">
        <f>IF($A313="","",SUMIFS(Amortization!E$17:E$1017,Amortization!$A$17:$A$1017,$B313))</f>
        <v/>
      </c>
      <c r="D313" s="17" t="str">
        <f>IF($A313="","",SUMIFS(Amortization!F$17:F$1017,Amortization!$A$17:$A$1017,$B313))</f>
        <v/>
      </c>
      <c r="E313" s="17" t="str">
        <f>IF($A313="","",SUMIFS(Amortization!G$17:G$1017,Amortization!$A$17:$A$1017,$B313))</f>
        <v/>
      </c>
    </row>
    <row r="314" spans="2:5" hidden="1" x14ac:dyDescent="0.3">
      <c r="B314" s="1" t="str">
        <f t="shared" si="5"/>
        <v/>
      </c>
      <c r="C314" s="17" t="str">
        <f>IF($A314="","",SUMIFS(Amortization!E$17:E$1017,Amortization!$A$17:$A$1017,$B314))</f>
        <v/>
      </c>
      <c r="D314" s="17" t="str">
        <f>IF($A314="","",SUMIFS(Amortization!F$17:F$1017,Amortization!$A$17:$A$1017,$B314))</f>
        <v/>
      </c>
      <c r="E314" s="17" t="str">
        <f>IF($A314="","",SUMIFS(Amortization!G$17:G$1017,Amortization!$A$17:$A$1017,$B314))</f>
        <v/>
      </c>
    </row>
    <row r="315" spans="2:5" hidden="1" x14ac:dyDescent="0.3">
      <c r="B315" s="1" t="str">
        <f t="shared" si="5"/>
        <v/>
      </c>
      <c r="C315" s="17" t="str">
        <f>IF($A315="","",SUMIFS(Amortization!E$17:E$1017,Amortization!$A$17:$A$1017,$B315))</f>
        <v/>
      </c>
      <c r="D315" s="17" t="str">
        <f>IF($A315="","",SUMIFS(Amortization!F$17:F$1017,Amortization!$A$17:$A$1017,$B315))</f>
        <v/>
      </c>
      <c r="E315" s="17" t="str">
        <f>IF($A315="","",SUMIFS(Amortization!G$17:G$1017,Amortization!$A$17:$A$1017,$B315))</f>
        <v/>
      </c>
    </row>
    <row r="316" spans="2:5" hidden="1" x14ac:dyDescent="0.3">
      <c r="B316" s="1" t="str">
        <f t="shared" si="5"/>
        <v/>
      </c>
      <c r="C316" s="17" t="str">
        <f>IF($A316="","",SUMIFS(Amortization!E$17:E$1017,Amortization!$A$17:$A$1017,$B316))</f>
        <v/>
      </c>
      <c r="D316" s="17" t="str">
        <f>IF($A316="","",SUMIFS(Amortization!F$17:F$1017,Amortization!$A$17:$A$1017,$B316))</f>
        <v/>
      </c>
      <c r="E316" s="17" t="str">
        <f>IF($A316="","",SUMIFS(Amortization!G$17:G$1017,Amortization!$A$17:$A$1017,$B316))</f>
        <v/>
      </c>
    </row>
    <row r="317" spans="2:5" hidden="1" x14ac:dyDescent="0.3">
      <c r="B317" s="1" t="str">
        <f t="shared" si="5"/>
        <v/>
      </c>
      <c r="C317" s="17" t="str">
        <f>IF($A317="","",SUMIFS(Amortization!E$17:E$1017,Amortization!$A$17:$A$1017,$B317))</f>
        <v/>
      </c>
      <c r="D317" s="17" t="str">
        <f>IF($A317="","",SUMIFS(Amortization!F$17:F$1017,Amortization!$A$17:$A$1017,$B317))</f>
        <v/>
      </c>
      <c r="E317" s="17" t="str">
        <f>IF($A317="","",SUMIFS(Amortization!G$17:G$1017,Amortization!$A$17:$A$1017,$B317))</f>
        <v/>
      </c>
    </row>
    <row r="318" spans="2:5" hidden="1" x14ac:dyDescent="0.3">
      <c r="B318" s="1" t="str">
        <f t="shared" si="5"/>
        <v/>
      </c>
      <c r="C318" s="17" t="str">
        <f>IF($A318="","",SUMIFS(Amortization!E$17:E$1017,Amortization!$A$17:$A$1017,$B318))</f>
        <v/>
      </c>
      <c r="D318" s="17" t="str">
        <f>IF($A318="","",SUMIFS(Amortization!F$17:F$1017,Amortization!$A$17:$A$1017,$B318))</f>
        <v/>
      </c>
      <c r="E318" s="17" t="str">
        <f>IF($A318="","",SUMIFS(Amortization!G$17:G$1017,Amortization!$A$17:$A$1017,$B318))</f>
        <v/>
      </c>
    </row>
    <row r="319" spans="2:5" hidden="1" x14ac:dyDescent="0.3">
      <c r="B319" s="1" t="str">
        <f t="shared" si="5"/>
        <v/>
      </c>
      <c r="C319" s="17" t="str">
        <f>IF($A319="","",SUMIFS(Amortization!E$17:E$1017,Amortization!$A$17:$A$1017,$B319))</f>
        <v/>
      </c>
      <c r="D319" s="17" t="str">
        <f>IF($A319="","",SUMIFS(Amortization!F$17:F$1017,Amortization!$A$17:$A$1017,$B319))</f>
        <v/>
      </c>
      <c r="E319" s="17" t="str">
        <f>IF($A319="","",SUMIFS(Amortization!G$17:G$1017,Amortization!$A$17:$A$1017,$B319))</f>
        <v/>
      </c>
    </row>
    <row r="320" spans="2:5" hidden="1" x14ac:dyDescent="0.3">
      <c r="B320" s="1" t="str">
        <f t="shared" si="5"/>
        <v/>
      </c>
      <c r="C320" s="17" t="str">
        <f>IF($A320="","",SUMIFS(Amortization!E$17:E$1017,Amortization!$A$17:$A$1017,$B320))</f>
        <v/>
      </c>
      <c r="D320" s="17" t="str">
        <f>IF($A320="","",SUMIFS(Amortization!F$17:F$1017,Amortization!$A$17:$A$1017,$B320))</f>
        <v/>
      </c>
      <c r="E320" s="17" t="str">
        <f>IF($A320="","",SUMIFS(Amortization!G$17:G$1017,Amortization!$A$17:$A$1017,$B320))</f>
        <v/>
      </c>
    </row>
    <row r="321" spans="2:5" hidden="1" x14ac:dyDescent="0.3">
      <c r="B321" s="1" t="str">
        <f t="shared" si="5"/>
        <v/>
      </c>
      <c r="C321" s="17" t="str">
        <f>IF($A321="","",SUMIFS(Amortization!E$17:E$1017,Amortization!$A$17:$A$1017,$B321))</f>
        <v/>
      </c>
      <c r="D321" s="17" t="str">
        <f>IF($A321="","",SUMIFS(Amortization!F$17:F$1017,Amortization!$A$17:$A$1017,$B321))</f>
        <v/>
      </c>
      <c r="E321" s="17" t="str">
        <f>IF($A321="","",SUMIFS(Amortization!G$17:G$1017,Amortization!$A$17:$A$1017,$B321))</f>
        <v/>
      </c>
    </row>
    <row r="322" spans="2:5" hidden="1" x14ac:dyDescent="0.3">
      <c r="B322" s="1" t="str">
        <f t="shared" si="5"/>
        <v/>
      </c>
      <c r="C322" s="17" t="str">
        <f>IF($A322="","",SUMIFS(Amortization!E$17:E$1017,Amortization!$A$17:$A$1017,$B322))</f>
        <v/>
      </c>
      <c r="D322" s="17" t="str">
        <f>IF($A322="","",SUMIFS(Amortization!F$17:F$1017,Amortization!$A$17:$A$1017,$B322))</f>
        <v/>
      </c>
      <c r="E322" s="17" t="str">
        <f>IF($A322="","",SUMIFS(Amortization!G$17:G$1017,Amortization!$A$17:$A$1017,$B322))</f>
        <v/>
      </c>
    </row>
    <row r="323" spans="2:5" hidden="1" x14ac:dyDescent="0.3">
      <c r="B323" s="1" t="str">
        <f t="shared" si="5"/>
        <v/>
      </c>
      <c r="C323" s="17" t="str">
        <f>IF($A323="","",SUMIFS(Amortization!E$17:E$1017,Amortization!$A$17:$A$1017,$B323))</f>
        <v/>
      </c>
      <c r="D323" s="17" t="str">
        <f>IF($A323="","",SUMIFS(Amortization!F$17:F$1017,Amortization!$A$17:$A$1017,$B323))</f>
        <v/>
      </c>
      <c r="E323" s="17" t="str">
        <f>IF($A323="","",SUMIFS(Amortization!G$17:G$1017,Amortization!$A$17:$A$1017,$B323))</f>
        <v/>
      </c>
    </row>
    <row r="324" spans="2:5" hidden="1" x14ac:dyDescent="0.3">
      <c r="B324" s="1" t="str">
        <f t="shared" si="5"/>
        <v/>
      </c>
      <c r="C324" s="17" t="str">
        <f>IF($A324="","",SUMIFS(Amortization!E$17:E$1017,Amortization!$A$17:$A$1017,$B324))</f>
        <v/>
      </c>
      <c r="D324" s="17" t="str">
        <f>IF($A324="","",SUMIFS(Amortization!F$17:F$1017,Amortization!$A$17:$A$1017,$B324))</f>
        <v/>
      </c>
      <c r="E324" s="17" t="str">
        <f>IF($A324="","",SUMIFS(Amortization!G$17:G$1017,Amortization!$A$17:$A$1017,$B324))</f>
        <v/>
      </c>
    </row>
    <row r="325" spans="2:5" hidden="1" x14ac:dyDescent="0.3">
      <c r="B325" s="1" t="str">
        <f t="shared" si="5"/>
        <v/>
      </c>
      <c r="C325" s="17" t="str">
        <f>IF($A325="","",SUMIFS(Amortization!E$17:E$1017,Amortization!$A$17:$A$1017,$B325))</f>
        <v/>
      </c>
      <c r="D325" s="17" t="str">
        <f>IF($A325="","",SUMIFS(Amortization!F$17:F$1017,Amortization!$A$17:$A$1017,$B325))</f>
        <v/>
      </c>
      <c r="E325" s="17" t="str">
        <f>IF($A325="","",SUMIFS(Amortization!G$17:G$1017,Amortization!$A$17:$A$1017,$B325))</f>
        <v/>
      </c>
    </row>
    <row r="326" spans="2:5" hidden="1" x14ac:dyDescent="0.3">
      <c r="B326" s="1" t="str">
        <f t="shared" si="5"/>
        <v/>
      </c>
      <c r="C326" s="17" t="str">
        <f>IF($A326="","",SUMIFS(Amortization!E$17:E$1017,Amortization!$A$17:$A$1017,$B326))</f>
        <v/>
      </c>
      <c r="D326" s="17" t="str">
        <f>IF($A326="","",SUMIFS(Amortization!F$17:F$1017,Amortization!$A$17:$A$1017,$B326))</f>
        <v/>
      </c>
      <c r="E326" s="17" t="str">
        <f>IF($A326="","",SUMIFS(Amortization!G$17:G$1017,Amortization!$A$17:$A$1017,$B326))</f>
        <v/>
      </c>
    </row>
    <row r="327" spans="2:5" hidden="1" x14ac:dyDescent="0.3">
      <c r="B327" s="1" t="str">
        <f t="shared" si="5"/>
        <v/>
      </c>
      <c r="C327" s="17" t="str">
        <f>IF($A327="","",SUMIFS(Amortization!E$17:E$1017,Amortization!$A$17:$A$1017,$B327))</f>
        <v/>
      </c>
      <c r="D327" s="17" t="str">
        <f>IF($A327="","",SUMIFS(Amortization!F$17:F$1017,Amortization!$A$17:$A$1017,$B327))</f>
        <v/>
      </c>
      <c r="E327" s="17" t="str">
        <f>IF($A327="","",SUMIFS(Amortization!G$17:G$1017,Amortization!$A$17:$A$1017,$B327))</f>
        <v/>
      </c>
    </row>
    <row r="328" spans="2:5" hidden="1" x14ac:dyDescent="0.3">
      <c r="B328" s="1" t="str">
        <f t="shared" si="5"/>
        <v/>
      </c>
      <c r="C328" s="17" t="str">
        <f>IF($A328="","",SUMIFS(Amortization!E$17:E$1017,Amortization!$A$17:$A$1017,$B328))</f>
        <v/>
      </c>
      <c r="D328" s="17" t="str">
        <f>IF($A328="","",SUMIFS(Amortization!F$17:F$1017,Amortization!$A$17:$A$1017,$B328))</f>
        <v/>
      </c>
      <c r="E328" s="17" t="str">
        <f>IF($A328="","",SUMIFS(Amortization!G$17:G$1017,Amortization!$A$17:$A$1017,$B328))</f>
        <v/>
      </c>
    </row>
    <row r="329" spans="2:5" hidden="1" x14ac:dyDescent="0.3">
      <c r="B329" s="1" t="str">
        <f t="shared" si="5"/>
        <v/>
      </c>
      <c r="C329" s="17" t="str">
        <f>IF($A329="","",SUMIFS(Amortization!E$17:E$1017,Amortization!$A$17:$A$1017,$B329))</f>
        <v/>
      </c>
      <c r="D329" s="17" t="str">
        <f>IF($A329="","",SUMIFS(Amortization!F$17:F$1017,Amortization!$A$17:$A$1017,$B329))</f>
        <v/>
      </c>
      <c r="E329" s="17" t="str">
        <f>IF($A329="","",SUMIFS(Amortization!G$17:G$1017,Amortization!$A$17:$A$1017,$B329))</f>
        <v/>
      </c>
    </row>
    <row r="330" spans="2:5" hidden="1" x14ac:dyDescent="0.3">
      <c r="B330" s="1" t="str">
        <f t="shared" si="5"/>
        <v/>
      </c>
      <c r="C330" s="17" t="str">
        <f>IF($A330="","",SUMIFS(Amortization!E$17:E$1017,Amortization!$A$17:$A$1017,$B330))</f>
        <v/>
      </c>
      <c r="D330" s="17" t="str">
        <f>IF($A330="","",SUMIFS(Amortization!F$17:F$1017,Amortization!$A$17:$A$1017,$B330))</f>
        <v/>
      </c>
      <c r="E330" s="17" t="str">
        <f>IF($A330="","",SUMIFS(Amortization!G$17:G$1017,Amortization!$A$17:$A$1017,$B330))</f>
        <v/>
      </c>
    </row>
    <row r="331" spans="2:5" hidden="1" x14ac:dyDescent="0.3">
      <c r="B331" s="1" t="str">
        <f t="shared" si="5"/>
        <v/>
      </c>
      <c r="C331" s="17" t="str">
        <f>IF($A331="","",SUMIFS(Amortization!E$17:E$1017,Amortization!$A$17:$A$1017,$B331))</f>
        <v/>
      </c>
      <c r="D331" s="17" t="str">
        <f>IF($A331="","",SUMIFS(Amortization!F$17:F$1017,Amortization!$A$17:$A$1017,$B331))</f>
        <v/>
      </c>
      <c r="E331" s="17" t="str">
        <f>IF($A331="","",SUMIFS(Amortization!G$17:G$1017,Amortization!$A$17:$A$1017,$B331))</f>
        <v/>
      </c>
    </row>
    <row r="332" spans="2:5" hidden="1" x14ac:dyDescent="0.3">
      <c r="B332" s="1" t="str">
        <f t="shared" si="5"/>
        <v/>
      </c>
      <c r="C332" s="17" t="str">
        <f>IF($A332="","",SUMIFS(Amortization!E$17:E$1017,Amortization!$A$17:$A$1017,$B332))</f>
        <v/>
      </c>
      <c r="D332" s="17" t="str">
        <f>IF($A332="","",SUMIFS(Amortization!F$17:F$1017,Amortization!$A$17:$A$1017,$B332))</f>
        <v/>
      </c>
      <c r="E332" s="17" t="str">
        <f>IF($A332="","",SUMIFS(Amortization!G$17:G$1017,Amortization!$A$17:$A$1017,$B332))</f>
        <v/>
      </c>
    </row>
    <row r="333" spans="2:5" hidden="1" x14ac:dyDescent="0.3">
      <c r="B333" s="1" t="str">
        <f t="shared" si="5"/>
        <v/>
      </c>
      <c r="C333" s="17" t="str">
        <f>IF($A333="","",SUMIFS(Amortization!E$17:E$1017,Amortization!$A$17:$A$1017,$B333))</f>
        <v/>
      </c>
      <c r="D333" s="17" t="str">
        <f>IF($A333="","",SUMIFS(Amortization!F$17:F$1017,Amortization!$A$17:$A$1017,$B333))</f>
        <v/>
      </c>
      <c r="E333" s="17" t="str">
        <f>IF($A333="","",SUMIFS(Amortization!G$17:G$1017,Amortization!$A$17:$A$1017,$B333))</f>
        <v/>
      </c>
    </row>
    <row r="334" spans="2:5" hidden="1" x14ac:dyDescent="0.3">
      <c r="B334" s="1" t="str">
        <f t="shared" si="5"/>
        <v/>
      </c>
      <c r="C334" s="17" t="str">
        <f>IF($A334="","",SUMIFS(Amortization!E$17:E$1017,Amortization!$A$17:$A$1017,$B334))</f>
        <v/>
      </c>
      <c r="D334" s="17" t="str">
        <f>IF($A334="","",SUMIFS(Amortization!F$17:F$1017,Amortization!$A$17:$A$1017,$B334))</f>
        <v/>
      </c>
      <c r="E334" s="17" t="str">
        <f>IF($A334="","",SUMIFS(Amortization!G$17:G$1017,Amortization!$A$17:$A$1017,$B334))</f>
        <v/>
      </c>
    </row>
    <row r="335" spans="2:5" hidden="1" x14ac:dyDescent="0.3">
      <c r="B335" s="1" t="str">
        <f t="shared" si="5"/>
        <v/>
      </c>
      <c r="C335" s="17" t="str">
        <f>IF($A335="","",SUMIFS(Amortization!E$17:E$1017,Amortization!$A$17:$A$1017,$B335))</f>
        <v/>
      </c>
      <c r="D335" s="17" t="str">
        <f>IF($A335="","",SUMIFS(Amortization!F$17:F$1017,Amortization!$A$17:$A$1017,$B335))</f>
        <v/>
      </c>
      <c r="E335" s="17" t="str">
        <f>IF($A335="","",SUMIFS(Amortization!G$17:G$1017,Amortization!$A$17:$A$1017,$B335))</f>
        <v/>
      </c>
    </row>
    <row r="336" spans="2:5" hidden="1" x14ac:dyDescent="0.3">
      <c r="B336" s="1" t="str">
        <f t="shared" si="5"/>
        <v/>
      </c>
      <c r="C336" s="17" t="str">
        <f>IF($A336="","",SUMIFS(Amortization!E$17:E$1017,Amortization!$A$17:$A$1017,$B336))</f>
        <v/>
      </c>
      <c r="D336" s="17" t="str">
        <f>IF($A336="","",SUMIFS(Amortization!F$17:F$1017,Amortization!$A$17:$A$1017,$B336))</f>
        <v/>
      </c>
      <c r="E336" s="17" t="str">
        <f>IF($A336="","",SUMIFS(Amortization!G$17:G$1017,Amortization!$A$17:$A$1017,$B336))</f>
        <v/>
      </c>
    </row>
    <row r="337" spans="2:5" hidden="1" x14ac:dyDescent="0.3">
      <c r="B337" s="1" t="str">
        <f t="shared" si="5"/>
        <v/>
      </c>
      <c r="C337" s="17" t="str">
        <f>IF($A337="","",SUMIFS(Amortization!E$17:E$1017,Amortization!$A$17:$A$1017,$B337))</f>
        <v/>
      </c>
      <c r="D337" s="17" t="str">
        <f>IF($A337="","",SUMIFS(Amortization!F$17:F$1017,Amortization!$A$17:$A$1017,$B337))</f>
        <v/>
      </c>
      <c r="E337" s="17" t="str">
        <f>IF($A337="","",SUMIFS(Amortization!G$17:G$1017,Amortization!$A$17:$A$1017,$B337))</f>
        <v/>
      </c>
    </row>
    <row r="338" spans="2:5" hidden="1" x14ac:dyDescent="0.3">
      <c r="B338" s="1" t="str">
        <f t="shared" si="5"/>
        <v/>
      </c>
      <c r="C338" s="17" t="str">
        <f>IF($A338="","",SUMIFS(Amortization!E$17:E$1017,Amortization!$A$17:$A$1017,$B338))</f>
        <v/>
      </c>
      <c r="D338" s="17" t="str">
        <f>IF($A338="","",SUMIFS(Amortization!F$17:F$1017,Amortization!$A$17:$A$1017,$B338))</f>
        <v/>
      </c>
      <c r="E338" s="17" t="str">
        <f>IF($A338="","",SUMIFS(Amortization!G$17:G$1017,Amortization!$A$17:$A$1017,$B338))</f>
        <v/>
      </c>
    </row>
    <row r="339" spans="2:5" hidden="1" x14ac:dyDescent="0.3">
      <c r="B339" s="1" t="str">
        <f t="shared" ref="B339:B402" si="6">IF(A339="","",B338+1)</f>
        <v/>
      </c>
      <c r="C339" s="17" t="str">
        <f>IF($A339="","",SUMIFS(Amortization!E$17:E$1017,Amortization!$A$17:$A$1017,$B339))</f>
        <v/>
      </c>
      <c r="D339" s="17" t="str">
        <f>IF($A339="","",SUMIFS(Amortization!F$17:F$1017,Amortization!$A$17:$A$1017,$B339))</f>
        <v/>
      </c>
      <c r="E339" s="17" t="str">
        <f>IF($A339="","",SUMIFS(Amortization!G$17:G$1017,Amortization!$A$17:$A$1017,$B339))</f>
        <v/>
      </c>
    </row>
    <row r="340" spans="2:5" hidden="1" x14ac:dyDescent="0.3">
      <c r="B340" s="1" t="str">
        <f t="shared" si="6"/>
        <v/>
      </c>
      <c r="C340" s="17" t="str">
        <f>IF($A340="","",SUMIFS(Amortization!E$17:E$1017,Amortization!$A$17:$A$1017,$B340))</f>
        <v/>
      </c>
      <c r="D340" s="17" t="str">
        <f>IF($A340="","",SUMIFS(Amortization!F$17:F$1017,Amortization!$A$17:$A$1017,$B340))</f>
        <v/>
      </c>
      <c r="E340" s="17" t="str">
        <f>IF($A340="","",SUMIFS(Amortization!G$17:G$1017,Amortization!$A$17:$A$1017,$B340))</f>
        <v/>
      </c>
    </row>
    <row r="341" spans="2:5" hidden="1" x14ac:dyDescent="0.3">
      <c r="B341" s="1" t="str">
        <f t="shared" si="6"/>
        <v/>
      </c>
      <c r="C341" s="17" t="str">
        <f>IF($A341="","",SUMIFS(Amortization!E$17:E$1017,Amortization!$A$17:$A$1017,$B341))</f>
        <v/>
      </c>
      <c r="D341" s="17" t="str">
        <f>IF($A341="","",SUMIFS(Amortization!F$17:F$1017,Amortization!$A$17:$A$1017,$B341))</f>
        <v/>
      </c>
      <c r="E341" s="17" t="str">
        <f>IF($A341="","",SUMIFS(Amortization!G$17:G$1017,Amortization!$A$17:$A$1017,$B341))</f>
        <v/>
      </c>
    </row>
    <row r="342" spans="2:5" hidden="1" x14ac:dyDescent="0.3">
      <c r="B342" s="1" t="str">
        <f t="shared" si="6"/>
        <v/>
      </c>
      <c r="C342" s="17" t="str">
        <f>IF($A342="","",SUMIFS(Amortization!E$17:E$1017,Amortization!$A$17:$A$1017,$B342))</f>
        <v/>
      </c>
      <c r="D342" s="17" t="str">
        <f>IF($A342="","",SUMIFS(Amortization!F$17:F$1017,Amortization!$A$17:$A$1017,$B342))</f>
        <v/>
      </c>
      <c r="E342" s="17" t="str">
        <f>IF($A342="","",SUMIFS(Amortization!G$17:G$1017,Amortization!$A$17:$A$1017,$B342))</f>
        <v/>
      </c>
    </row>
    <row r="343" spans="2:5" hidden="1" x14ac:dyDescent="0.3">
      <c r="B343" s="1" t="str">
        <f t="shared" si="6"/>
        <v/>
      </c>
      <c r="C343" s="17" t="str">
        <f>IF($A343="","",SUMIFS(Amortization!E$17:E$1017,Amortization!$A$17:$A$1017,$B343))</f>
        <v/>
      </c>
      <c r="D343" s="17" t="str">
        <f>IF($A343="","",SUMIFS(Amortization!F$17:F$1017,Amortization!$A$17:$A$1017,$B343))</f>
        <v/>
      </c>
      <c r="E343" s="17" t="str">
        <f>IF($A343="","",SUMIFS(Amortization!G$17:G$1017,Amortization!$A$17:$A$1017,$B343))</f>
        <v/>
      </c>
    </row>
    <row r="344" spans="2:5" hidden="1" x14ac:dyDescent="0.3">
      <c r="B344" s="1" t="str">
        <f t="shared" si="6"/>
        <v/>
      </c>
      <c r="C344" s="17" t="str">
        <f>IF($A344="","",SUMIFS(Amortization!E$17:E$1017,Amortization!$A$17:$A$1017,$B344))</f>
        <v/>
      </c>
      <c r="D344" s="17" t="str">
        <f>IF($A344="","",SUMIFS(Amortization!F$17:F$1017,Amortization!$A$17:$A$1017,$B344))</f>
        <v/>
      </c>
      <c r="E344" s="17" t="str">
        <f>IF($A344="","",SUMIFS(Amortization!G$17:G$1017,Amortization!$A$17:$A$1017,$B344))</f>
        <v/>
      </c>
    </row>
    <row r="345" spans="2:5" hidden="1" x14ac:dyDescent="0.3">
      <c r="B345" s="1" t="str">
        <f t="shared" si="6"/>
        <v/>
      </c>
      <c r="C345" s="17" t="str">
        <f>IF($A345="","",SUMIFS(Amortization!E$17:E$1017,Amortization!$A$17:$A$1017,$B345))</f>
        <v/>
      </c>
      <c r="D345" s="17" t="str">
        <f>IF($A345="","",SUMIFS(Amortization!F$17:F$1017,Amortization!$A$17:$A$1017,$B345))</f>
        <v/>
      </c>
      <c r="E345" s="17" t="str">
        <f>IF($A345="","",SUMIFS(Amortization!G$17:G$1017,Amortization!$A$17:$A$1017,$B345))</f>
        <v/>
      </c>
    </row>
    <row r="346" spans="2:5" hidden="1" x14ac:dyDescent="0.3">
      <c r="B346" s="1" t="str">
        <f t="shared" si="6"/>
        <v/>
      </c>
      <c r="C346" s="17" t="str">
        <f>IF($A346="","",SUMIFS(Amortization!E$17:E$1017,Amortization!$A$17:$A$1017,$B346))</f>
        <v/>
      </c>
      <c r="D346" s="17" t="str">
        <f>IF($A346="","",SUMIFS(Amortization!F$17:F$1017,Amortization!$A$17:$A$1017,$B346))</f>
        <v/>
      </c>
      <c r="E346" s="17" t="str">
        <f>IF($A346="","",SUMIFS(Amortization!G$17:G$1017,Amortization!$A$17:$A$1017,$B346))</f>
        <v/>
      </c>
    </row>
    <row r="347" spans="2:5" hidden="1" x14ac:dyDescent="0.3">
      <c r="B347" s="1" t="str">
        <f t="shared" si="6"/>
        <v/>
      </c>
      <c r="C347" s="17" t="str">
        <f>IF($A347="","",SUMIFS(Amortization!E$17:E$1017,Amortization!$A$17:$A$1017,$B347))</f>
        <v/>
      </c>
      <c r="D347" s="17" t="str">
        <f>IF($A347="","",SUMIFS(Amortization!F$17:F$1017,Amortization!$A$17:$A$1017,$B347))</f>
        <v/>
      </c>
      <c r="E347" s="17" t="str">
        <f>IF($A347="","",SUMIFS(Amortization!G$17:G$1017,Amortization!$A$17:$A$1017,$B347))</f>
        <v/>
      </c>
    </row>
    <row r="348" spans="2:5" hidden="1" x14ac:dyDescent="0.3">
      <c r="B348" s="1" t="str">
        <f t="shared" si="6"/>
        <v/>
      </c>
      <c r="C348" s="17" t="str">
        <f>IF($A348="","",SUMIFS(Amortization!E$17:E$1017,Amortization!$A$17:$A$1017,$B348))</f>
        <v/>
      </c>
      <c r="D348" s="17" t="str">
        <f>IF($A348="","",SUMIFS(Amortization!F$17:F$1017,Amortization!$A$17:$A$1017,$B348))</f>
        <v/>
      </c>
      <c r="E348" s="17" t="str">
        <f>IF($A348="","",SUMIFS(Amortization!G$17:G$1017,Amortization!$A$17:$A$1017,$B348))</f>
        <v/>
      </c>
    </row>
    <row r="349" spans="2:5" hidden="1" x14ac:dyDescent="0.3">
      <c r="B349" s="1" t="str">
        <f t="shared" si="6"/>
        <v/>
      </c>
      <c r="C349" s="17" t="str">
        <f>IF($A349="","",SUMIFS(Amortization!E$17:E$1017,Amortization!$A$17:$A$1017,$B349))</f>
        <v/>
      </c>
      <c r="D349" s="17" t="str">
        <f>IF($A349="","",SUMIFS(Amortization!F$17:F$1017,Amortization!$A$17:$A$1017,$B349))</f>
        <v/>
      </c>
      <c r="E349" s="17" t="str">
        <f>IF($A349="","",SUMIFS(Amortization!G$17:G$1017,Amortization!$A$17:$A$1017,$B349))</f>
        <v/>
      </c>
    </row>
    <row r="350" spans="2:5" hidden="1" x14ac:dyDescent="0.3">
      <c r="B350" s="1" t="str">
        <f t="shared" si="6"/>
        <v/>
      </c>
      <c r="C350" s="17" t="str">
        <f>IF($A350="","",SUMIFS(Amortization!E$17:E$1017,Amortization!$A$17:$A$1017,$B350))</f>
        <v/>
      </c>
      <c r="D350" s="17" t="str">
        <f>IF($A350="","",SUMIFS(Amortization!F$17:F$1017,Amortization!$A$17:$A$1017,$B350))</f>
        <v/>
      </c>
      <c r="E350" s="17" t="str">
        <f>IF($A350="","",SUMIFS(Amortization!G$17:G$1017,Amortization!$A$17:$A$1017,$B350))</f>
        <v/>
      </c>
    </row>
    <row r="351" spans="2:5" hidden="1" x14ac:dyDescent="0.3">
      <c r="B351" s="1" t="str">
        <f t="shared" si="6"/>
        <v/>
      </c>
      <c r="C351" s="17" t="str">
        <f>IF($A351="","",SUMIFS(Amortization!E$17:E$1017,Amortization!$A$17:$A$1017,$B351))</f>
        <v/>
      </c>
      <c r="D351" s="17" t="str">
        <f>IF($A351="","",SUMIFS(Amortization!F$17:F$1017,Amortization!$A$17:$A$1017,$B351))</f>
        <v/>
      </c>
      <c r="E351" s="17" t="str">
        <f>IF($A351="","",SUMIFS(Amortization!G$17:G$1017,Amortization!$A$17:$A$1017,$B351))</f>
        <v/>
      </c>
    </row>
    <row r="352" spans="2:5" hidden="1" x14ac:dyDescent="0.3">
      <c r="B352" s="1" t="str">
        <f t="shared" si="6"/>
        <v/>
      </c>
      <c r="C352" s="17" t="str">
        <f>IF($A352="","",SUMIFS(Amortization!E$17:E$1017,Amortization!$A$17:$A$1017,$B352))</f>
        <v/>
      </c>
      <c r="D352" s="17" t="str">
        <f>IF($A352="","",SUMIFS(Amortization!F$17:F$1017,Amortization!$A$17:$A$1017,$B352))</f>
        <v/>
      </c>
      <c r="E352" s="17" t="str">
        <f>IF($A352="","",SUMIFS(Amortization!G$17:G$1017,Amortization!$A$17:$A$1017,$B352))</f>
        <v/>
      </c>
    </row>
    <row r="353" spans="2:5" hidden="1" x14ac:dyDescent="0.3">
      <c r="B353" s="1" t="str">
        <f t="shared" si="6"/>
        <v/>
      </c>
      <c r="C353" s="17" t="str">
        <f>IF($A353="","",SUMIFS(Amortization!E$17:E$1017,Amortization!$A$17:$A$1017,$B353))</f>
        <v/>
      </c>
      <c r="D353" s="17" t="str">
        <f>IF($A353="","",SUMIFS(Amortization!F$17:F$1017,Amortization!$A$17:$A$1017,$B353))</f>
        <v/>
      </c>
      <c r="E353" s="17" t="str">
        <f>IF($A353="","",SUMIFS(Amortization!G$17:G$1017,Amortization!$A$17:$A$1017,$B353))</f>
        <v/>
      </c>
    </row>
    <row r="354" spans="2:5" hidden="1" x14ac:dyDescent="0.3">
      <c r="B354" s="1" t="str">
        <f t="shared" si="6"/>
        <v/>
      </c>
      <c r="C354" s="17" t="str">
        <f>IF($A354="","",SUMIFS(Amortization!E$17:E$1017,Amortization!$A$17:$A$1017,$B354))</f>
        <v/>
      </c>
      <c r="D354" s="17" t="str">
        <f>IF($A354="","",SUMIFS(Amortization!F$17:F$1017,Amortization!$A$17:$A$1017,$B354))</f>
        <v/>
      </c>
      <c r="E354" s="17" t="str">
        <f>IF($A354="","",SUMIFS(Amortization!G$17:G$1017,Amortization!$A$17:$A$1017,$B354))</f>
        <v/>
      </c>
    </row>
    <row r="355" spans="2:5" hidden="1" x14ac:dyDescent="0.3">
      <c r="B355" s="1" t="str">
        <f t="shared" si="6"/>
        <v/>
      </c>
      <c r="C355" s="17" t="str">
        <f>IF($A355="","",SUMIFS(Amortization!E$17:E$1017,Amortization!$A$17:$A$1017,$B355))</f>
        <v/>
      </c>
      <c r="D355" s="17" t="str">
        <f>IF($A355="","",SUMIFS(Amortization!F$17:F$1017,Amortization!$A$17:$A$1017,$B355))</f>
        <v/>
      </c>
      <c r="E355" s="17" t="str">
        <f>IF($A355="","",SUMIFS(Amortization!G$17:G$1017,Amortization!$A$17:$A$1017,$B355))</f>
        <v/>
      </c>
    </row>
    <row r="356" spans="2:5" hidden="1" x14ac:dyDescent="0.3">
      <c r="B356" s="1" t="str">
        <f t="shared" si="6"/>
        <v/>
      </c>
      <c r="C356" s="17" t="str">
        <f>IF($A356="","",SUMIFS(Amortization!E$17:E$1017,Amortization!$A$17:$A$1017,$B356))</f>
        <v/>
      </c>
      <c r="D356" s="17" t="str">
        <f>IF($A356="","",SUMIFS(Amortization!F$17:F$1017,Amortization!$A$17:$A$1017,$B356))</f>
        <v/>
      </c>
      <c r="E356" s="17" t="str">
        <f>IF($A356="","",SUMIFS(Amortization!G$17:G$1017,Amortization!$A$17:$A$1017,$B356))</f>
        <v/>
      </c>
    </row>
    <row r="357" spans="2:5" hidden="1" x14ac:dyDescent="0.3">
      <c r="B357" s="1" t="str">
        <f t="shared" si="6"/>
        <v/>
      </c>
      <c r="C357" s="17" t="str">
        <f>IF($A357="","",SUMIFS(Amortization!E$17:E$1017,Amortization!$A$17:$A$1017,$B357))</f>
        <v/>
      </c>
      <c r="D357" s="17" t="str">
        <f>IF($A357="","",SUMIFS(Amortization!F$17:F$1017,Amortization!$A$17:$A$1017,$B357))</f>
        <v/>
      </c>
      <c r="E357" s="17" t="str">
        <f>IF($A357="","",SUMIFS(Amortization!G$17:G$1017,Amortization!$A$17:$A$1017,$B357))</f>
        <v/>
      </c>
    </row>
    <row r="358" spans="2:5" hidden="1" x14ac:dyDescent="0.3">
      <c r="B358" s="1" t="str">
        <f t="shared" si="6"/>
        <v/>
      </c>
      <c r="C358" s="17" t="str">
        <f>IF($A358="","",SUMIFS(Amortization!E$17:E$1017,Amortization!$A$17:$A$1017,$B358))</f>
        <v/>
      </c>
      <c r="D358" s="17" t="str">
        <f>IF($A358="","",SUMIFS(Amortization!F$17:F$1017,Amortization!$A$17:$A$1017,$B358))</f>
        <v/>
      </c>
      <c r="E358" s="17" t="str">
        <f>IF($A358="","",SUMIFS(Amortization!G$17:G$1017,Amortization!$A$17:$A$1017,$B358))</f>
        <v/>
      </c>
    </row>
    <row r="359" spans="2:5" hidden="1" x14ac:dyDescent="0.3">
      <c r="B359" s="1" t="str">
        <f t="shared" si="6"/>
        <v/>
      </c>
      <c r="C359" s="17" t="str">
        <f>IF($A359="","",SUMIFS(Amortization!E$17:E$1017,Amortization!$A$17:$A$1017,$B359))</f>
        <v/>
      </c>
      <c r="D359" s="17" t="str">
        <f>IF($A359="","",SUMIFS(Amortization!F$17:F$1017,Amortization!$A$17:$A$1017,$B359))</f>
        <v/>
      </c>
      <c r="E359" s="17" t="str">
        <f>IF($A359="","",SUMIFS(Amortization!G$17:G$1017,Amortization!$A$17:$A$1017,$B359))</f>
        <v/>
      </c>
    </row>
    <row r="360" spans="2:5" hidden="1" x14ac:dyDescent="0.3">
      <c r="B360" s="1" t="str">
        <f t="shared" si="6"/>
        <v/>
      </c>
      <c r="C360" s="17" t="str">
        <f>IF($A360="","",SUMIFS(Amortization!E$17:E$1017,Amortization!$A$17:$A$1017,$B360))</f>
        <v/>
      </c>
      <c r="D360" s="17" t="str">
        <f>IF($A360="","",SUMIFS(Amortization!F$17:F$1017,Amortization!$A$17:$A$1017,$B360))</f>
        <v/>
      </c>
      <c r="E360" s="17" t="str">
        <f>IF($A360="","",SUMIFS(Amortization!G$17:G$1017,Amortization!$A$17:$A$1017,$B360))</f>
        <v/>
      </c>
    </row>
    <row r="361" spans="2:5" hidden="1" x14ac:dyDescent="0.3">
      <c r="B361" s="1" t="str">
        <f t="shared" si="6"/>
        <v/>
      </c>
      <c r="C361" s="17" t="str">
        <f>IF($A361="","",SUMIFS(Amortization!E$17:E$1017,Amortization!$A$17:$A$1017,$B361))</f>
        <v/>
      </c>
      <c r="D361" s="17" t="str">
        <f>IF($A361="","",SUMIFS(Amortization!F$17:F$1017,Amortization!$A$17:$A$1017,$B361))</f>
        <v/>
      </c>
      <c r="E361" s="17" t="str">
        <f>IF($A361="","",SUMIFS(Amortization!G$17:G$1017,Amortization!$A$17:$A$1017,$B361))</f>
        <v/>
      </c>
    </row>
    <row r="362" spans="2:5" hidden="1" x14ac:dyDescent="0.3">
      <c r="B362" s="1" t="str">
        <f t="shared" si="6"/>
        <v/>
      </c>
      <c r="C362" s="17" t="str">
        <f>IF($A362="","",SUMIFS(Amortization!E$17:E$1017,Amortization!$A$17:$A$1017,$B362))</f>
        <v/>
      </c>
      <c r="D362" s="17" t="str">
        <f>IF($A362="","",SUMIFS(Amortization!F$17:F$1017,Amortization!$A$17:$A$1017,$B362))</f>
        <v/>
      </c>
      <c r="E362" s="17" t="str">
        <f>IF($A362="","",SUMIFS(Amortization!G$17:G$1017,Amortization!$A$17:$A$1017,$B362))</f>
        <v/>
      </c>
    </row>
    <row r="363" spans="2:5" hidden="1" x14ac:dyDescent="0.3">
      <c r="B363" s="1" t="str">
        <f t="shared" si="6"/>
        <v/>
      </c>
      <c r="C363" s="17" t="str">
        <f>IF($A363="","",SUMIFS(Amortization!E$17:E$1017,Amortization!$A$17:$A$1017,$B363))</f>
        <v/>
      </c>
      <c r="D363" s="17" t="str">
        <f>IF($A363="","",SUMIFS(Amortization!F$17:F$1017,Amortization!$A$17:$A$1017,$B363))</f>
        <v/>
      </c>
      <c r="E363" s="17" t="str">
        <f>IF($A363="","",SUMIFS(Amortization!G$17:G$1017,Amortization!$A$17:$A$1017,$B363))</f>
        <v/>
      </c>
    </row>
    <row r="364" spans="2:5" hidden="1" x14ac:dyDescent="0.3">
      <c r="B364" s="1" t="str">
        <f t="shared" si="6"/>
        <v/>
      </c>
      <c r="C364" s="17" t="str">
        <f>IF($A364="","",SUMIFS(Amortization!E$17:E$1017,Amortization!$A$17:$A$1017,$B364))</f>
        <v/>
      </c>
      <c r="D364" s="17" t="str">
        <f>IF($A364="","",SUMIFS(Amortization!F$17:F$1017,Amortization!$A$17:$A$1017,$B364))</f>
        <v/>
      </c>
      <c r="E364" s="17" t="str">
        <f>IF($A364="","",SUMIFS(Amortization!G$17:G$1017,Amortization!$A$17:$A$1017,$B364))</f>
        <v/>
      </c>
    </row>
    <row r="365" spans="2:5" hidden="1" x14ac:dyDescent="0.3">
      <c r="B365" s="1" t="str">
        <f t="shared" si="6"/>
        <v/>
      </c>
      <c r="C365" s="17" t="str">
        <f>IF($A365="","",SUMIFS(Amortization!E$17:E$1017,Amortization!$A$17:$A$1017,$B365))</f>
        <v/>
      </c>
      <c r="D365" s="17" t="str">
        <f>IF($A365="","",SUMIFS(Amortization!F$17:F$1017,Amortization!$A$17:$A$1017,$B365))</f>
        <v/>
      </c>
      <c r="E365" s="17" t="str">
        <f>IF($A365="","",SUMIFS(Amortization!G$17:G$1017,Amortization!$A$17:$A$1017,$B365))</f>
        <v/>
      </c>
    </row>
    <row r="366" spans="2:5" hidden="1" x14ac:dyDescent="0.3">
      <c r="B366" s="1" t="str">
        <f t="shared" si="6"/>
        <v/>
      </c>
      <c r="C366" s="17" t="str">
        <f>IF($A366="","",SUMIFS(Amortization!E$17:E$1017,Amortization!$A$17:$A$1017,$B366))</f>
        <v/>
      </c>
      <c r="D366" s="17" t="str">
        <f>IF($A366="","",SUMIFS(Amortization!F$17:F$1017,Amortization!$A$17:$A$1017,$B366))</f>
        <v/>
      </c>
      <c r="E366" s="17" t="str">
        <f>IF($A366="","",SUMIFS(Amortization!G$17:G$1017,Amortization!$A$17:$A$1017,$B366))</f>
        <v/>
      </c>
    </row>
    <row r="367" spans="2:5" hidden="1" x14ac:dyDescent="0.3">
      <c r="B367" s="1" t="str">
        <f t="shared" si="6"/>
        <v/>
      </c>
      <c r="C367" s="17" t="str">
        <f>IF($A367="","",SUMIFS(Amortization!E$17:E$1017,Amortization!$A$17:$A$1017,$B367))</f>
        <v/>
      </c>
      <c r="D367" s="17" t="str">
        <f>IF($A367="","",SUMIFS(Amortization!F$17:F$1017,Amortization!$A$17:$A$1017,$B367))</f>
        <v/>
      </c>
      <c r="E367" s="17" t="str">
        <f>IF($A367="","",SUMIFS(Amortization!G$17:G$1017,Amortization!$A$17:$A$1017,$B367))</f>
        <v/>
      </c>
    </row>
    <row r="368" spans="2:5" hidden="1" x14ac:dyDescent="0.3">
      <c r="B368" s="1" t="str">
        <f t="shared" si="6"/>
        <v/>
      </c>
      <c r="C368" s="17" t="str">
        <f>IF($A368="","",SUMIFS(Amortization!E$17:E$1017,Amortization!$A$17:$A$1017,$B368))</f>
        <v/>
      </c>
      <c r="D368" s="17" t="str">
        <f>IF($A368="","",SUMIFS(Amortization!F$17:F$1017,Amortization!$A$17:$A$1017,$B368))</f>
        <v/>
      </c>
      <c r="E368" s="17" t="str">
        <f>IF($A368="","",SUMIFS(Amortization!G$17:G$1017,Amortization!$A$17:$A$1017,$B368))</f>
        <v/>
      </c>
    </row>
    <row r="369" spans="2:5" hidden="1" x14ac:dyDescent="0.3">
      <c r="B369" s="1" t="str">
        <f t="shared" si="6"/>
        <v/>
      </c>
      <c r="C369" s="17" t="str">
        <f>IF($A369="","",SUMIFS(Amortization!E$17:E$1017,Amortization!$A$17:$A$1017,$B369))</f>
        <v/>
      </c>
      <c r="D369" s="17" t="str">
        <f>IF($A369="","",SUMIFS(Amortization!F$17:F$1017,Amortization!$A$17:$A$1017,$B369))</f>
        <v/>
      </c>
      <c r="E369" s="17" t="str">
        <f>IF($A369="","",SUMIFS(Amortization!G$17:G$1017,Amortization!$A$17:$A$1017,$B369))</f>
        <v/>
      </c>
    </row>
    <row r="370" spans="2:5" hidden="1" x14ac:dyDescent="0.3">
      <c r="B370" s="1" t="str">
        <f t="shared" si="6"/>
        <v/>
      </c>
      <c r="C370" s="17" t="str">
        <f>IF($A370="","",SUMIFS(Amortization!E$17:E$1017,Amortization!$A$17:$A$1017,$B370))</f>
        <v/>
      </c>
      <c r="D370" s="17" t="str">
        <f>IF($A370="","",SUMIFS(Amortization!F$17:F$1017,Amortization!$A$17:$A$1017,$B370))</f>
        <v/>
      </c>
      <c r="E370" s="17" t="str">
        <f>IF($A370="","",SUMIFS(Amortization!G$17:G$1017,Amortization!$A$17:$A$1017,$B370))</f>
        <v/>
      </c>
    </row>
    <row r="371" spans="2:5" hidden="1" x14ac:dyDescent="0.3">
      <c r="B371" s="1" t="str">
        <f t="shared" si="6"/>
        <v/>
      </c>
      <c r="C371" s="17" t="str">
        <f>IF($A371="","",SUMIFS(Amortization!E$17:E$1017,Amortization!$A$17:$A$1017,$B371))</f>
        <v/>
      </c>
      <c r="D371" s="17" t="str">
        <f>IF($A371="","",SUMIFS(Amortization!F$17:F$1017,Amortization!$A$17:$A$1017,$B371))</f>
        <v/>
      </c>
      <c r="E371" s="17" t="str">
        <f>IF($A371="","",SUMIFS(Amortization!G$17:G$1017,Amortization!$A$17:$A$1017,$B371))</f>
        <v/>
      </c>
    </row>
    <row r="372" spans="2:5" hidden="1" x14ac:dyDescent="0.3">
      <c r="B372" s="1" t="str">
        <f t="shared" si="6"/>
        <v/>
      </c>
      <c r="C372" s="17" t="str">
        <f>IF($A372="","",SUMIFS(Amortization!E$17:E$1017,Amortization!$A$17:$A$1017,$B372))</f>
        <v/>
      </c>
      <c r="D372" s="17" t="str">
        <f>IF($A372="","",SUMIFS(Amortization!F$17:F$1017,Amortization!$A$17:$A$1017,$B372))</f>
        <v/>
      </c>
      <c r="E372" s="17" t="str">
        <f>IF($A372="","",SUMIFS(Amortization!G$17:G$1017,Amortization!$A$17:$A$1017,$B372))</f>
        <v/>
      </c>
    </row>
    <row r="373" spans="2:5" hidden="1" x14ac:dyDescent="0.3">
      <c r="B373" s="1" t="str">
        <f t="shared" si="6"/>
        <v/>
      </c>
      <c r="C373" s="17" t="str">
        <f>IF($A373="","",SUMIFS(Amortization!E$17:E$1017,Amortization!$A$17:$A$1017,$B373))</f>
        <v/>
      </c>
      <c r="D373" s="17" t="str">
        <f>IF($A373="","",SUMIFS(Amortization!F$17:F$1017,Amortization!$A$17:$A$1017,$B373))</f>
        <v/>
      </c>
      <c r="E373" s="17" t="str">
        <f>IF($A373="","",SUMIFS(Amortization!G$17:G$1017,Amortization!$A$17:$A$1017,$B373))</f>
        <v/>
      </c>
    </row>
    <row r="374" spans="2:5" hidden="1" x14ac:dyDescent="0.3">
      <c r="B374" s="1" t="str">
        <f t="shared" si="6"/>
        <v/>
      </c>
      <c r="C374" s="17" t="str">
        <f>IF($A374="","",SUMIFS(Amortization!E$17:E$1017,Amortization!$A$17:$A$1017,$B374))</f>
        <v/>
      </c>
      <c r="D374" s="17" t="str">
        <f>IF($A374="","",SUMIFS(Amortization!F$17:F$1017,Amortization!$A$17:$A$1017,$B374))</f>
        <v/>
      </c>
      <c r="E374" s="17" t="str">
        <f>IF($A374="","",SUMIFS(Amortization!G$17:G$1017,Amortization!$A$17:$A$1017,$B374))</f>
        <v/>
      </c>
    </row>
    <row r="375" spans="2:5" hidden="1" x14ac:dyDescent="0.3">
      <c r="B375" s="1" t="str">
        <f t="shared" si="6"/>
        <v/>
      </c>
      <c r="C375" s="17" t="str">
        <f>IF($A375="","",SUMIFS(Amortization!E$17:E$1017,Amortization!$A$17:$A$1017,$B375))</f>
        <v/>
      </c>
      <c r="D375" s="17" t="str">
        <f>IF($A375="","",SUMIFS(Amortization!F$17:F$1017,Amortization!$A$17:$A$1017,$B375))</f>
        <v/>
      </c>
      <c r="E375" s="17" t="str">
        <f>IF($A375="","",SUMIFS(Amortization!G$17:G$1017,Amortization!$A$17:$A$1017,$B375))</f>
        <v/>
      </c>
    </row>
    <row r="376" spans="2:5" hidden="1" x14ac:dyDescent="0.3">
      <c r="B376" s="1" t="str">
        <f t="shared" si="6"/>
        <v/>
      </c>
      <c r="C376" s="17" t="str">
        <f>IF($A376="","",SUMIFS(Amortization!E$17:E$1017,Amortization!$A$17:$A$1017,$B376))</f>
        <v/>
      </c>
      <c r="D376" s="17" t="str">
        <f>IF($A376="","",SUMIFS(Amortization!F$17:F$1017,Amortization!$A$17:$A$1017,$B376))</f>
        <v/>
      </c>
      <c r="E376" s="17" t="str">
        <f>IF($A376="","",SUMIFS(Amortization!G$17:G$1017,Amortization!$A$17:$A$1017,$B376))</f>
        <v/>
      </c>
    </row>
    <row r="377" spans="2:5" hidden="1" x14ac:dyDescent="0.3">
      <c r="B377" s="1" t="str">
        <f t="shared" si="6"/>
        <v/>
      </c>
      <c r="C377" s="17" t="str">
        <f>IF($A377="","",SUMIFS(Amortization!E$17:E$1017,Amortization!$A$17:$A$1017,$B377))</f>
        <v/>
      </c>
      <c r="D377" s="17" t="str">
        <f>IF($A377="","",SUMIFS(Amortization!F$17:F$1017,Amortization!$A$17:$A$1017,$B377))</f>
        <v/>
      </c>
      <c r="E377" s="17" t="str">
        <f>IF($A377="","",SUMIFS(Amortization!G$17:G$1017,Amortization!$A$17:$A$1017,$B377))</f>
        <v/>
      </c>
    </row>
    <row r="378" spans="2:5" hidden="1" x14ac:dyDescent="0.3">
      <c r="B378" s="1" t="str">
        <f t="shared" si="6"/>
        <v/>
      </c>
      <c r="C378" s="17" t="str">
        <f>IF($A378="","",SUMIFS(Amortization!E$17:E$1017,Amortization!$A$17:$A$1017,$B378))</f>
        <v/>
      </c>
      <c r="D378" s="17" t="str">
        <f>IF($A378="","",SUMIFS(Amortization!F$17:F$1017,Amortization!$A$17:$A$1017,$B378))</f>
        <v/>
      </c>
      <c r="E378" s="17" t="str">
        <f>IF($A378="","",SUMIFS(Amortization!G$17:G$1017,Amortization!$A$17:$A$1017,$B378))</f>
        <v/>
      </c>
    </row>
    <row r="379" spans="2:5" hidden="1" x14ac:dyDescent="0.3">
      <c r="B379" s="1" t="str">
        <f t="shared" si="6"/>
        <v/>
      </c>
      <c r="C379" s="17" t="str">
        <f>IF($A379="","",SUMIFS(Amortization!E$17:E$1017,Amortization!$A$17:$A$1017,$B379))</f>
        <v/>
      </c>
      <c r="D379" s="17" t="str">
        <f>IF($A379="","",SUMIFS(Amortization!F$17:F$1017,Amortization!$A$17:$A$1017,$B379))</f>
        <v/>
      </c>
      <c r="E379" s="17" t="str">
        <f>IF($A379="","",SUMIFS(Amortization!G$17:G$1017,Amortization!$A$17:$A$1017,$B379))</f>
        <v/>
      </c>
    </row>
    <row r="380" spans="2:5" hidden="1" x14ac:dyDescent="0.3">
      <c r="B380" s="1" t="str">
        <f t="shared" si="6"/>
        <v/>
      </c>
      <c r="C380" s="17" t="str">
        <f>IF($A380="","",SUMIFS(Amortization!E$17:E$1017,Amortization!$A$17:$A$1017,$B380))</f>
        <v/>
      </c>
      <c r="D380" s="17" t="str">
        <f>IF($A380="","",SUMIFS(Amortization!F$17:F$1017,Amortization!$A$17:$A$1017,$B380))</f>
        <v/>
      </c>
      <c r="E380" s="17" t="str">
        <f>IF($A380="","",SUMIFS(Amortization!G$17:G$1017,Amortization!$A$17:$A$1017,$B380))</f>
        <v/>
      </c>
    </row>
    <row r="381" spans="2:5" hidden="1" x14ac:dyDescent="0.3">
      <c r="B381" s="1" t="str">
        <f t="shared" si="6"/>
        <v/>
      </c>
      <c r="C381" s="17" t="str">
        <f>IF($A381="","",SUMIFS(Amortization!E$17:E$1017,Amortization!$A$17:$A$1017,$B381))</f>
        <v/>
      </c>
      <c r="D381" s="17" t="str">
        <f>IF($A381="","",SUMIFS(Amortization!F$17:F$1017,Amortization!$A$17:$A$1017,$B381))</f>
        <v/>
      </c>
      <c r="E381" s="17" t="str">
        <f>IF($A381="","",SUMIFS(Amortization!G$17:G$1017,Amortization!$A$17:$A$1017,$B381))</f>
        <v/>
      </c>
    </row>
    <row r="382" spans="2:5" hidden="1" x14ac:dyDescent="0.3">
      <c r="B382" s="1" t="str">
        <f t="shared" si="6"/>
        <v/>
      </c>
      <c r="C382" s="17" t="str">
        <f>IF($A382="","",SUMIFS(Amortization!E$17:E$1017,Amortization!$A$17:$A$1017,$B382))</f>
        <v/>
      </c>
      <c r="D382" s="17" t="str">
        <f>IF($A382="","",SUMIFS(Amortization!F$17:F$1017,Amortization!$A$17:$A$1017,$B382))</f>
        <v/>
      </c>
      <c r="E382" s="17" t="str">
        <f>IF($A382="","",SUMIFS(Amortization!G$17:G$1017,Amortization!$A$17:$A$1017,$B382))</f>
        <v/>
      </c>
    </row>
    <row r="383" spans="2:5" hidden="1" x14ac:dyDescent="0.3">
      <c r="B383" s="1" t="str">
        <f t="shared" si="6"/>
        <v/>
      </c>
      <c r="C383" s="17" t="str">
        <f>IF($A383="","",SUMIFS(Amortization!E$17:E$1017,Amortization!$A$17:$A$1017,$B383))</f>
        <v/>
      </c>
      <c r="D383" s="17" t="str">
        <f>IF($A383="","",SUMIFS(Amortization!F$17:F$1017,Amortization!$A$17:$A$1017,$B383))</f>
        <v/>
      </c>
      <c r="E383" s="17" t="str">
        <f>IF($A383="","",SUMIFS(Amortization!G$17:G$1017,Amortization!$A$17:$A$1017,$B383))</f>
        <v/>
      </c>
    </row>
    <row r="384" spans="2:5" hidden="1" x14ac:dyDescent="0.3">
      <c r="B384" s="1" t="str">
        <f t="shared" si="6"/>
        <v/>
      </c>
      <c r="C384" s="17" t="str">
        <f>IF($A384="","",SUMIFS(Amortization!E$17:E$1017,Amortization!$A$17:$A$1017,$B384))</f>
        <v/>
      </c>
      <c r="D384" s="17" t="str">
        <f>IF($A384="","",SUMIFS(Amortization!F$17:F$1017,Amortization!$A$17:$A$1017,$B384))</f>
        <v/>
      </c>
      <c r="E384" s="17" t="str">
        <f>IF($A384="","",SUMIFS(Amortization!G$17:G$1017,Amortization!$A$17:$A$1017,$B384))</f>
        <v/>
      </c>
    </row>
    <row r="385" spans="2:5" hidden="1" x14ac:dyDescent="0.3">
      <c r="B385" s="1" t="str">
        <f t="shared" si="6"/>
        <v/>
      </c>
      <c r="C385" s="17" t="str">
        <f>IF($A385="","",SUMIFS(Amortization!E$17:E$1017,Amortization!$A$17:$A$1017,$B385))</f>
        <v/>
      </c>
      <c r="D385" s="17" t="str">
        <f>IF($A385="","",SUMIFS(Amortization!F$17:F$1017,Amortization!$A$17:$A$1017,$B385))</f>
        <v/>
      </c>
      <c r="E385" s="17" t="str">
        <f>IF($A385="","",SUMIFS(Amortization!G$17:G$1017,Amortization!$A$17:$A$1017,$B385))</f>
        <v/>
      </c>
    </row>
    <row r="386" spans="2:5" hidden="1" x14ac:dyDescent="0.3">
      <c r="B386" s="1" t="str">
        <f t="shared" si="6"/>
        <v/>
      </c>
      <c r="C386" s="17" t="str">
        <f>IF($A386="","",SUMIFS(Amortization!E$17:E$1017,Amortization!$A$17:$A$1017,$B386))</f>
        <v/>
      </c>
      <c r="D386" s="17" t="str">
        <f>IF($A386="","",SUMIFS(Amortization!F$17:F$1017,Amortization!$A$17:$A$1017,$B386))</f>
        <v/>
      </c>
      <c r="E386" s="17" t="str">
        <f>IF($A386="","",SUMIFS(Amortization!G$17:G$1017,Amortization!$A$17:$A$1017,$B386))</f>
        <v/>
      </c>
    </row>
    <row r="387" spans="2:5" hidden="1" x14ac:dyDescent="0.3">
      <c r="B387" s="1" t="str">
        <f t="shared" si="6"/>
        <v/>
      </c>
      <c r="C387" s="17" t="str">
        <f>IF($A387="","",SUMIFS(Amortization!E$17:E$1017,Amortization!$A$17:$A$1017,$B387))</f>
        <v/>
      </c>
      <c r="D387" s="17" t="str">
        <f>IF($A387="","",SUMIFS(Amortization!F$17:F$1017,Amortization!$A$17:$A$1017,$B387))</f>
        <v/>
      </c>
      <c r="E387" s="17" t="str">
        <f>IF($A387="","",SUMIFS(Amortization!G$17:G$1017,Amortization!$A$17:$A$1017,$B387))</f>
        <v/>
      </c>
    </row>
    <row r="388" spans="2:5" hidden="1" x14ac:dyDescent="0.3">
      <c r="B388" s="1" t="str">
        <f t="shared" si="6"/>
        <v/>
      </c>
      <c r="C388" s="17" t="str">
        <f>IF($A388="","",SUMIFS(Amortization!E$17:E$1017,Amortization!$A$17:$A$1017,$B388))</f>
        <v/>
      </c>
      <c r="D388" s="17" t="str">
        <f>IF($A388="","",SUMIFS(Amortization!F$17:F$1017,Amortization!$A$17:$A$1017,$B388))</f>
        <v/>
      </c>
      <c r="E388" s="17" t="str">
        <f>IF($A388="","",SUMIFS(Amortization!G$17:G$1017,Amortization!$A$17:$A$1017,$B388))</f>
        <v/>
      </c>
    </row>
    <row r="389" spans="2:5" hidden="1" x14ac:dyDescent="0.3">
      <c r="B389" s="1" t="str">
        <f t="shared" si="6"/>
        <v/>
      </c>
      <c r="C389" s="17" t="str">
        <f>IF($A389="","",SUMIFS(Amortization!E$17:E$1017,Amortization!$A$17:$A$1017,$B389))</f>
        <v/>
      </c>
      <c r="D389" s="17" t="str">
        <f>IF($A389="","",SUMIFS(Amortization!F$17:F$1017,Amortization!$A$17:$A$1017,$B389))</f>
        <v/>
      </c>
      <c r="E389" s="17" t="str">
        <f>IF($A389="","",SUMIFS(Amortization!G$17:G$1017,Amortization!$A$17:$A$1017,$B389))</f>
        <v/>
      </c>
    </row>
    <row r="390" spans="2:5" hidden="1" x14ac:dyDescent="0.3">
      <c r="B390" s="1" t="str">
        <f t="shared" si="6"/>
        <v/>
      </c>
      <c r="C390" s="17" t="str">
        <f>IF($A390="","",SUMIFS(Amortization!E$17:E$1017,Amortization!$A$17:$A$1017,$B390))</f>
        <v/>
      </c>
      <c r="D390" s="17" t="str">
        <f>IF($A390="","",SUMIFS(Amortization!F$17:F$1017,Amortization!$A$17:$A$1017,$B390))</f>
        <v/>
      </c>
      <c r="E390" s="17" t="str">
        <f>IF($A390="","",SUMIFS(Amortization!G$17:G$1017,Amortization!$A$17:$A$1017,$B390))</f>
        <v/>
      </c>
    </row>
    <row r="391" spans="2:5" hidden="1" x14ac:dyDescent="0.3">
      <c r="B391" s="1" t="str">
        <f t="shared" si="6"/>
        <v/>
      </c>
      <c r="C391" s="17" t="str">
        <f>IF($A391="","",SUMIFS(Amortization!E$17:E$1017,Amortization!$A$17:$A$1017,$B391))</f>
        <v/>
      </c>
      <c r="D391" s="17" t="str">
        <f>IF($A391="","",SUMIFS(Amortization!F$17:F$1017,Amortization!$A$17:$A$1017,$B391))</f>
        <v/>
      </c>
      <c r="E391" s="17" t="str">
        <f>IF($A391="","",SUMIFS(Amortization!G$17:G$1017,Amortization!$A$17:$A$1017,$B391))</f>
        <v/>
      </c>
    </row>
    <row r="392" spans="2:5" hidden="1" x14ac:dyDescent="0.3">
      <c r="B392" s="1" t="str">
        <f t="shared" si="6"/>
        <v/>
      </c>
      <c r="C392" s="17" t="str">
        <f>IF($A392="","",SUMIFS(Amortization!E$17:E$1017,Amortization!$A$17:$A$1017,$B392))</f>
        <v/>
      </c>
      <c r="D392" s="17" t="str">
        <f>IF($A392="","",SUMIFS(Amortization!F$17:F$1017,Amortization!$A$17:$A$1017,$B392))</f>
        <v/>
      </c>
      <c r="E392" s="17" t="str">
        <f>IF($A392="","",SUMIFS(Amortization!G$17:G$1017,Amortization!$A$17:$A$1017,$B392))</f>
        <v/>
      </c>
    </row>
    <row r="393" spans="2:5" hidden="1" x14ac:dyDescent="0.3">
      <c r="B393" s="1" t="str">
        <f t="shared" si="6"/>
        <v/>
      </c>
      <c r="C393" s="17" t="str">
        <f>IF($A393="","",SUMIFS(Amortization!E$17:E$1017,Amortization!$A$17:$A$1017,$B393))</f>
        <v/>
      </c>
      <c r="D393" s="17" t="str">
        <f>IF($A393="","",SUMIFS(Amortization!F$17:F$1017,Amortization!$A$17:$A$1017,$B393))</f>
        <v/>
      </c>
      <c r="E393" s="17" t="str">
        <f>IF($A393="","",SUMIFS(Amortization!G$17:G$1017,Amortization!$A$17:$A$1017,$B393))</f>
        <v/>
      </c>
    </row>
    <row r="394" spans="2:5" hidden="1" x14ac:dyDescent="0.3">
      <c r="B394" s="1" t="str">
        <f t="shared" si="6"/>
        <v/>
      </c>
      <c r="C394" s="17" t="str">
        <f>IF($A394="","",SUMIFS(Amortization!E$17:E$1017,Amortization!$A$17:$A$1017,$B394))</f>
        <v/>
      </c>
      <c r="D394" s="17" t="str">
        <f>IF($A394="","",SUMIFS(Amortization!F$17:F$1017,Amortization!$A$17:$A$1017,$B394))</f>
        <v/>
      </c>
      <c r="E394" s="17" t="str">
        <f>IF($A394="","",SUMIFS(Amortization!G$17:G$1017,Amortization!$A$17:$A$1017,$B394))</f>
        <v/>
      </c>
    </row>
    <row r="395" spans="2:5" hidden="1" x14ac:dyDescent="0.3">
      <c r="B395" s="1" t="str">
        <f t="shared" si="6"/>
        <v/>
      </c>
      <c r="C395" s="17" t="str">
        <f>IF($A395="","",SUMIFS(Amortization!E$17:E$1017,Amortization!$A$17:$A$1017,$B395))</f>
        <v/>
      </c>
      <c r="D395" s="17" t="str">
        <f>IF($A395="","",SUMIFS(Amortization!F$17:F$1017,Amortization!$A$17:$A$1017,$B395))</f>
        <v/>
      </c>
      <c r="E395" s="17" t="str">
        <f>IF($A395="","",SUMIFS(Amortization!G$17:G$1017,Amortization!$A$17:$A$1017,$B395))</f>
        <v/>
      </c>
    </row>
    <row r="396" spans="2:5" hidden="1" x14ac:dyDescent="0.3">
      <c r="B396" s="1" t="str">
        <f t="shared" si="6"/>
        <v/>
      </c>
      <c r="C396" s="17" t="str">
        <f>IF($A396="","",SUMIFS(Amortization!E$17:E$1017,Amortization!$A$17:$A$1017,$B396))</f>
        <v/>
      </c>
      <c r="D396" s="17" t="str">
        <f>IF($A396="","",SUMIFS(Amortization!F$17:F$1017,Amortization!$A$17:$A$1017,$B396))</f>
        <v/>
      </c>
      <c r="E396" s="17" t="str">
        <f>IF($A396="","",SUMIFS(Amortization!G$17:G$1017,Amortization!$A$17:$A$1017,$B396))</f>
        <v/>
      </c>
    </row>
    <row r="397" spans="2:5" hidden="1" x14ac:dyDescent="0.3">
      <c r="B397" s="1" t="str">
        <f t="shared" si="6"/>
        <v/>
      </c>
      <c r="C397" s="17" t="str">
        <f>IF($A397="","",SUMIFS(Amortization!E$17:E$1017,Amortization!$A$17:$A$1017,$B397))</f>
        <v/>
      </c>
      <c r="D397" s="17" t="str">
        <f>IF($A397="","",SUMIFS(Amortization!F$17:F$1017,Amortization!$A$17:$A$1017,$B397))</f>
        <v/>
      </c>
      <c r="E397" s="17" t="str">
        <f>IF($A397="","",SUMIFS(Amortization!G$17:G$1017,Amortization!$A$17:$A$1017,$B397))</f>
        <v/>
      </c>
    </row>
    <row r="398" spans="2:5" hidden="1" x14ac:dyDescent="0.3">
      <c r="B398" s="1" t="str">
        <f t="shared" si="6"/>
        <v/>
      </c>
      <c r="C398" s="17" t="str">
        <f>IF($A398="","",SUMIFS(Amortization!E$17:E$1017,Amortization!$A$17:$A$1017,$B398))</f>
        <v/>
      </c>
      <c r="D398" s="17" t="str">
        <f>IF($A398="","",SUMIFS(Amortization!F$17:F$1017,Amortization!$A$17:$A$1017,$B398))</f>
        <v/>
      </c>
      <c r="E398" s="17" t="str">
        <f>IF($A398="","",SUMIFS(Amortization!G$17:G$1017,Amortization!$A$17:$A$1017,$B398))</f>
        <v/>
      </c>
    </row>
    <row r="399" spans="2:5" hidden="1" x14ac:dyDescent="0.3">
      <c r="B399" s="1" t="str">
        <f t="shared" si="6"/>
        <v/>
      </c>
      <c r="C399" s="17" t="str">
        <f>IF($A399="","",SUMIFS(Amortization!E$17:E$1017,Amortization!$A$17:$A$1017,$B399))</f>
        <v/>
      </c>
      <c r="D399" s="17" t="str">
        <f>IF($A399="","",SUMIFS(Amortization!F$17:F$1017,Amortization!$A$17:$A$1017,$B399))</f>
        <v/>
      </c>
      <c r="E399" s="17" t="str">
        <f>IF($A399="","",SUMIFS(Amortization!G$17:G$1017,Amortization!$A$17:$A$1017,$B399))</f>
        <v/>
      </c>
    </row>
    <row r="400" spans="2:5" hidden="1" x14ac:dyDescent="0.3">
      <c r="B400" s="1" t="str">
        <f t="shared" si="6"/>
        <v/>
      </c>
      <c r="C400" s="17" t="str">
        <f>IF($A400="","",SUMIFS(Amortization!E$17:E$1017,Amortization!$A$17:$A$1017,$B400))</f>
        <v/>
      </c>
      <c r="D400" s="17" t="str">
        <f>IF($A400="","",SUMIFS(Amortization!F$17:F$1017,Amortization!$A$17:$A$1017,$B400))</f>
        <v/>
      </c>
      <c r="E400" s="17" t="str">
        <f>IF($A400="","",SUMIFS(Amortization!G$17:G$1017,Amortization!$A$17:$A$1017,$B400))</f>
        <v/>
      </c>
    </row>
    <row r="401" spans="2:5" hidden="1" x14ac:dyDescent="0.3">
      <c r="B401" s="1" t="str">
        <f t="shared" si="6"/>
        <v/>
      </c>
      <c r="C401" s="17" t="str">
        <f>IF($A401="","",SUMIFS(Amortization!E$17:E$1017,Amortization!$A$17:$A$1017,$B401))</f>
        <v/>
      </c>
      <c r="D401" s="17" t="str">
        <f>IF($A401="","",SUMIFS(Amortization!F$17:F$1017,Amortization!$A$17:$A$1017,$B401))</f>
        <v/>
      </c>
      <c r="E401" s="17" t="str">
        <f>IF($A401="","",SUMIFS(Amortization!G$17:G$1017,Amortization!$A$17:$A$1017,$B401))</f>
        <v/>
      </c>
    </row>
    <row r="402" spans="2:5" hidden="1" x14ac:dyDescent="0.3">
      <c r="B402" s="1" t="str">
        <f t="shared" si="6"/>
        <v/>
      </c>
      <c r="C402" s="17" t="str">
        <f>IF($A402="","",SUMIFS(Amortization!E$17:E$1017,Amortization!$A$17:$A$1017,$B402))</f>
        <v/>
      </c>
      <c r="D402" s="17" t="str">
        <f>IF($A402="","",SUMIFS(Amortization!F$17:F$1017,Amortization!$A$17:$A$1017,$B402))</f>
        <v/>
      </c>
      <c r="E402" s="17" t="str">
        <f>IF($A402="","",SUMIFS(Amortization!G$17:G$1017,Amortization!$A$17:$A$1017,$B402))</f>
        <v/>
      </c>
    </row>
    <row r="403" spans="2:5" hidden="1" x14ac:dyDescent="0.3">
      <c r="B403" s="1" t="str">
        <f t="shared" ref="B403:B466" si="7">IF(A403="","",B402+1)</f>
        <v/>
      </c>
      <c r="C403" s="17" t="str">
        <f>IF($A403="","",SUMIFS(Amortization!E$17:E$1017,Amortization!$A$17:$A$1017,$B403))</f>
        <v/>
      </c>
      <c r="D403" s="17" t="str">
        <f>IF($A403="","",SUMIFS(Amortization!F$17:F$1017,Amortization!$A$17:$A$1017,$B403))</f>
        <v/>
      </c>
      <c r="E403" s="17" t="str">
        <f>IF($A403="","",SUMIFS(Amortization!G$17:G$1017,Amortization!$A$17:$A$1017,$B403))</f>
        <v/>
      </c>
    </row>
    <row r="404" spans="2:5" hidden="1" x14ac:dyDescent="0.3">
      <c r="B404" s="1" t="str">
        <f t="shared" si="7"/>
        <v/>
      </c>
      <c r="C404" s="17" t="str">
        <f>IF($A404="","",SUMIFS(Amortization!E$17:E$1017,Amortization!$A$17:$A$1017,$B404))</f>
        <v/>
      </c>
      <c r="D404" s="17" t="str">
        <f>IF($A404="","",SUMIFS(Amortization!F$17:F$1017,Amortization!$A$17:$A$1017,$B404))</f>
        <v/>
      </c>
      <c r="E404" s="17" t="str">
        <f>IF($A404="","",SUMIFS(Amortization!G$17:G$1017,Amortization!$A$17:$A$1017,$B404))</f>
        <v/>
      </c>
    </row>
    <row r="405" spans="2:5" hidden="1" x14ac:dyDescent="0.3">
      <c r="B405" s="1" t="str">
        <f t="shared" si="7"/>
        <v/>
      </c>
      <c r="C405" s="17" t="str">
        <f>IF($A405="","",SUMIFS(Amortization!E$17:E$1017,Amortization!$A$17:$A$1017,$B405))</f>
        <v/>
      </c>
      <c r="D405" s="17" t="str">
        <f>IF($A405="","",SUMIFS(Amortization!F$17:F$1017,Amortization!$A$17:$A$1017,$B405))</f>
        <v/>
      </c>
      <c r="E405" s="17" t="str">
        <f>IF($A405="","",SUMIFS(Amortization!G$17:G$1017,Amortization!$A$17:$A$1017,$B405))</f>
        <v/>
      </c>
    </row>
    <row r="406" spans="2:5" hidden="1" x14ac:dyDescent="0.3">
      <c r="B406" s="1" t="str">
        <f t="shared" si="7"/>
        <v/>
      </c>
      <c r="C406" s="17" t="str">
        <f>IF($A406="","",SUMIFS(Amortization!E$17:E$1017,Amortization!$A$17:$A$1017,$B406))</f>
        <v/>
      </c>
      <c r="D406" s="17" t="str">
        <f>IF($A406="","",SUMIFS(Amortization!F$17:F$1017,Amortization!$A$17:$A$1017,$B406))</f>
        <v/>
      </c>
      <c r="E406" s="17" t="str">
        <f>IF($A406="","",SUMIFS(Amortization!G$17:G$1017,Amortization!$A$17:$A$1017,$B406))</f>
        <v/>
      </c>
    </row>
    <row r="407" spans="2:5" hidden="1" x14ac:dyDescent="0.3">
      <c r="B407" s="1" t="str">
        <f t="shared" si="7"/>
        <v/>
      </c>
      <c r="C407" s="17" t="str">
        <f>IF($A407="","",SUMIFS(Amortization!E$17:E$1017,Amortization!$A$17:$A$1017,$B407))</f>
        <v/>
      </c>
      <c r="D407" s="17" t="str">
        <f>IF($A407="","",SUMIFS(Amortization!F$17:F$1017,Amortization!$A$17:$A$1017,$B407))</f>
        <v/>
      </c>
      <c r="E407" s="17" t="str">
        <f>IF($A407="","",SUMIFS(Amortization!G$17:G$1017,Amortization!$A$17:$A$1017,$B407))</f>
        <v/>
      </c>
    </row>
    <row r="408" spans="2:5" hidden="1" x14ac:dyDescent="0.3">
      <c r="B408" s="1" t="str">
        <f t="shared" si="7"/>
        <v/>
      </c>
      <c r="C408" s="17" t="str">
        <f>IF($A408="","",SUMIFS(Amortization!E$17:E$1017,Amortization!$A$17:$A$1017,$B408))</f>
        <v/>
      </c>
      <c r="D408" s="17" t="str">
        <f>IF($A408="","",SUMIFS(Amortization!F$17:F$1017,Amortization!$A$17:$A$1017,$B408))</f>
        <v/>
      </c>
      <c r="E408" s="17" t="str">
        <f>IF($A408="","",SUMIFS(Amortization!G$17:G$1017,Amortization!$A$17:$A$1017,$B408))</f>
        <v/>
      </c>
    </row>
    <row r="409" spans="2:5" hidden="1" x14ac:dyDescent="0.3">
      <c r="B409" s="1" t="str">
        <f t="shared" si="7"/>
        <v/>
      </c>
      <c r="C409" s="17" t="str">
        <f>IF($A409="","",SUMIFS(Amortization!E$17:E$1017,Amortization!$A$17:$A$1017,$B409))</f>
        <v/>
      </c>
      <c r="D409" s="17" t="str">
        <f>IF($A409="","",SUMIFS(Amortization!F$17:F$1017,Amortization!$A$17:$A$1017,$B409))</f>
        <v/>
      </c>
      <c r="E409" s="17" t="str">
        <f>IF($A409="","",SUMIFS(Amortization!G$17:G$1017,Amortization!$A$17:$A$1017,$B409))</f>
        <v/>
      </c>
    </row>
    <row r="410" spans="2:5" hidden="1" x14ac:dyDescent="0.3">
      <c r="B410" s="1" t="str">
        <f t="shared" si="7"/>
        <v/>
      </c>
      <c r="C410" s="17" t="str">
        <f>IF($A410="","",SUMIFS(Amortization!E$17:E$1017,Amortization!$A$17:$A$1017,$B410))</f>
        <v/>
      </c>
      <c r="D410" s="17" t="str">
        <f>IF($A410="","",SUMIFS(Amortization!F$17:F$1017,Amortization!$A$17:$A$1017,$B410))</f>
        <v/>
      </c>
      <c r="E410" s="17" t="str">
        <f>IF($A410="","",SUMIFS(Amortization!G$17:G$1017,Amortization!$A$17:$A$1017,$B410))</f>
        <v/>
      </c>
    </row>
    <row r="411" spans="2:5" hidden="1" x14ac:dyDescent="0.3">
      <c r="B411" s="1" t="str">
        <f t="shared" si="7"/>
        <v/>
      </c>
      <c r="C411" s="17" t="str">
        <f>IF($A411="","",SUMIFS(Amortization!E$17:E$1017,Amortization!$A$17:$A$1017,$B411))</f>
        <v/>
      </c>
      <c r="D411" s="17" t="str">
        <f>IF($A411="","",SUMIFS(Amortization!F$17:F$1017,Amortization!$A$17:$A$1017,$B411))</f>
        <v/>
      </c>
      <c r="E411" s="17" t="str">
        <f>IF($A411="","",SUMIFS(Amortization!G$17:G$1017,Amortization!$A$17:$A$1017,$B411))</f>
        <v/>
      </c>
    </row>
    <row r="412" spans="2:5" hidden="1" x14ac:dyDescent="0.3">
      <c r="B412" s="1" t="str">
        <f t="shared" si="7"/>
        <v/>
      </c>
      <c r="C412" s="17" t="str">
        <f>IF($A412="","",SUMIFS(Amortization!E$17:E$1017,Amortization!$A$17:$A$1017,$B412))</f>
        <v/>
      </c>
      <c r="D412" s="17" t="str">
        <f>IF($A412="","",SUMIFS(Amortization!F$17:F$1017,Amortization!$A$17:$A$1017,$B412))</f>
        <v/>
      </c>
      <c r="E412" s="17" t="str">
        <f>IF($A412="","",SUMIFS(Amortization!G$17:G$1017,Amortization!$A$17:$A$1017,$B412))</f>
        <v/>
      </c>
    </row>
    <row r="413" spans="2:5" hidden="1" x14ac:dyDescent="0.3">
      <c r="B413" s="1" t="str">
        <f t="shared" si="7"/>
        <v/>
      </c>
      <c r="C413" s="17" t="str">
        <f>IF($A413="","",SUMIFS(Amortization!E$17:E$1017,Amortization!$A$17:$A$1017,$B413))</f>
        <v/>
      </c>
      <c r="D413" s="17" t="str">
        <f>IF($A413="","",SUMIFS(Amortization!F$17:F$1017,Amortization!$A$17:$A$1017,$B413))</f>
        <v/>
      </c>
      <c r="E413" s="17" t="str">
        <f>IF($A413="","",SUMIFS(Amortization!G$17:G$1017,Amortization!$A$17:$A$1017,$B413))</f>
        <v/>
      </c>
    </row>
    <row r="414" spans="2:5" hidden="1" x14ac:dyDescent="0.3">
      <c r="B414" s="1" t="str">
        <f t="shared" si="7"/>
        <v/>
      </c>
      <c r="C414" s="17" t="str">
        <f>IF($A414="","",SUMIFS(Amortization!E$17:E$1017,Amortization!$A$17:$A$1017,$B414))</f>
        <v/>
      </c>
      <c r="D414" s="17" t="str">
        <f>IF($A414="","",SUMIFS(Amortization!F$17:F$1017,Amortization!$A$17:$A$1017,$B414))</f>
        <v/>
      </c>
      <c r="E414" s="17" t="str">
        <f>IF($A414="","",SUMIFS(Amortization!G$17:G$1017,Amortization!$A$17:$A$1017,$B414))</f>
        <v/>
      </c>
    </row>
    <row r="415" spans="2:5" hidden="1" x14ac:dyDescent="0.3">
      <c r="B415" s="1" t="str">
        <f t="shared" si="7"/>
        <v/>
      </c>
      <c r="C415" s="17" t="str">
        <f>IF($A415="","",SUMIFS(Amortization!E$17:E$1017,Amortization!$A$17:$A$1017,$B415))</f>
        <v/>
      </c>
      <c r="D415" s="17" t="str">
        <f>IF($A415="","",SUMIFS(Amortization!F$17:F$1017,Amortization!$A$17:$A$1017,$B415))</f>
        <v/>
      </c>
      <c r="E415" s="17" t="str">
        <f>IF($A415="","",SUMIFS(Amortization!G$17:G$1017,Amortization!$A$17:$A$1017,$B415))</f>
        <v/>
      </c>
    </row>
    <row r="416" spans="2:5" hidden="1" x14ac:dyDescent="0.3">
      <c r="B416" s="1" t="str">
        <f t="shared" si="7"/>
        <v/>
      </c>
      <c r="C416" s="17" t="str">
        <f>IF($A416="","",SUMIFS(Amortization!E$17:E$1017,Amortization!$A$17:$A$1017,$B416))</f>
        <v/>
      </c>
      <c r="D416" s="17" t="str">
        <f>IF($A416="","",SUMIFS(Amortization!F$17:F$1017,Amortization!$A$17:$A$1017,$B416))</f>
        <v/>
      </c>
      <c r="E416" s="17" t="str">
        <f>IF($A416="","",SUMIFS(Amortization!G$17:G$1017,Amortization!$A$17:$A$1017,$B416))</f>
        <v/>
      </c>
    </row>
    <row r="417" spans="2:5" hidden="1" x14ac:dyDescent="0.3">
      <c r="B417" s="1" t="str">
        <f t="shared" si="7"/>
        <v/>
      </c>
      <c r="C417" s="17" t="str">
        <f>IF($A417="","",SUMIFS(Amortization!E$17:E$1017,Amortization!$A$17:$A$1017,$B417))</f>
        <v/>
      </c>
      <c r="D417" s="17" t="str">
        <f>IF($A417="","",SUMIFS(Amortization!F$17:F$1017,Amortization!$A$17:$A$1017,$B417))</f>
        <v/>
      </c>
      <c r="E417" s="17" t="str">
        <f>IF($A417="","",SUMIFS(Amortization!G$17:G$1017,Amortization!$A$17:$A$1017,$B417))</f>
        <v/>
      </c>
    </row>
    <row r="418" spans="2:5" hidden="1" x14ac:dyDescent="0.3">
      <c r="B418" s="1" t="str">
        <f t="shared" si="7"/>
        <v/>
      </c>
      <c r="C418" s="17" t="str">
        <f>IF($A418="","",SUMIFS(Amortization!E$17:E$1017,Amortization!$A$17:$A$1017,$B418))</f>
        <v/>
      </c>
      <c r="D418" s="17" t="str">
        <f>IF($A418="","",SUMIFS(Amortization!F$17:F$1017,Amortization!$A$17:$A$1017,$B418))</f>
        <v/>
      </c>
      <c r="E418" s="17" t="str">
        <f>IF($A418="","",SUMIFS(Amortization!G$17:G$1017,Amortization!$A$17:$A$1017,$B418))</f>
        <v/>
      </c>
    </row>
    <row r="419" spans="2:5" hidden="1" x14ac:dyDescent="0.3">
      <c r="B419" s="1" t="str">
        <f t="shared" si="7"/>
        <v/>
      </c>
      <c r="C419" s="17" t="str">
        <f>IF($A419="","",SUMIFS(Amortization!E$17:E$1017,Amortization!$A$17:$A$1017,$B419))</f>
        <v/>
      </c>
      <c r="D419" s="17" t="str">
        <f>IF($A419="","",SUMIFS(Amortization!F$17:F$1017,Amortization!$A$17:$A$1017,$B419))</f>
        <v/>
      </c>
      <c r="E419" s="17" t="str">
        <f>IF($A419="","",SUMIFS(Amortization!G$17:G$1017,Amortization!$A$17:$A$1017,$B419))</f>
        <v/>
      </c>
    </row>
    <row r="420" spans="2:5" hidden="1" x14ac:dyDescent="0.3">
      <c r="B420" s="1" t="str">
        <f t="shared" si="7"/>
        <v/>
      </c>
      <c r="C420" s="17" t="str">
        <f>IF($A420="","",SUMIFS(Amortization!E$17:E$1017,Amortization!$A$17:$A$1017,$B420))</f>
        <v/>
      </c>
      <c r="D420" s="17" t="str">
        <f>IF($A420="","",SUMIFS(Amortization!F$17:F$1017,Amortization!$A$17:$A$1017,$B420))</f>
        <v/>
      </c>
      <c r="E420" s="17" t="str">
        <f>IF($A420="","",SUMIFS(Amortization!G$17:G$1017,Amortization!$A$17:$A$1017,$B420))</f>
        <v/>
      </c>
    </row>
    <row r="421" spans="2:5" hidden="1" x14ac:dyDescent="0.3">
      <c r="B421" s="1" t="str">
        <f t="shared" si="7"/>
        <v/>
      </c>
      <c r="C421" s="17" t="str">
        <f>IF($A421="","",SUMIFS(Amortization!E$17:E$1017,Amortization!$A$17:$A$1017,$B421))</f>
        <v/>
      </c>
      <c r="D421" s="17" t="str">
        <f>IF($A421="","",SUMIFS(Amortization!F$17:F$1017,Amortization!$A$17:$A$1017,$B421))</f>
        <v/>
      </c>
      <c r="E421" s="17" t="str">
        <f>IF($A421="","",SUMIFS(Amortization!G$17:G$1017,Amortization!$A$17:$A$1017,$B421))</f>
        <v/>
      </c>
    </row>
    <row r="422" spans="2:5" hidden="1" x14ac:dyDescent="0.3">
      <c r="B422" s="1" t="str">
        <f t="shared" si="7"/>
        <v/>
      </c>
      <c r="C422" s="17" t="str">
        <f>IF($A422="","",SUMIFS(Amortization!E$17:E$1017,Amortization!$A$17:$A$1017,$B422))</f>
        <v/>
      </c>
      <c r="D422" s="17" t="str">
        <f>IF($A422="","",SUMIFS(Amortization!F$17:F$1017,Amortization!$A$17:$A$1017,$B422))</f>
        <v/>
      </c>
      <c r="E422" s="17" t="str">
        <f>IF($A422="","",SUMIFS(Amortization!G$17:G$1017,Amortization!$A$17:$A$1017,$B422))</f>
        <v/>
      </c>
    </row>
    <row r="423" spans="2:5" hidden="1" x14ac:dyDescent="0.3">
      <c r="B423" s="1" t="str">
        <f t="shared" si="7"/>
        <v/>
      </c>
      <c r="C423" s="17" t="str">
        <f>IF($A423="","",SUMIFS(Amortization!E$17:E$1017,Amortization!$A$17:$A$1017,$B423))</f>
        <v/>
      </c>
      <c r="D423" s="17" t="str">
        <f>IF($A423="","",SUMIFS(Amortization!F$17:F$1017,Amortization!$A$17:$A$1017,$B423))</f>
        <v/>
      </c>
      <c r="E423" s="17" t="str">
        <f>IF($A423="","",SUMIFS(Amortization!G$17:G$1017,Amortization!$A$17:$A$1017,$B423))</f>
        <v/>
      </c>
    </row>
    <row r="424" spans="2:5" hidden="1" x14ac:dyDescent="0.3">
      <c r="B424" s="1" t="str">
        <f t="shared" si="7"/>
        <v/>
      </c>
      <c r="C424" s="17" t="str">
        <f>IF($A424="","",SUMIFS(Amortization!E$17:E$1017,Amortization!$A$17:$A$1017,$B424))</f>
        <v/>
      </c>
      <c r="D424" s="17" t="str">
        <f>IF($A424="","",SUMIFS(Amortization!F$17:F$1017,Amortization!$A$17:$A$1017,$B424))</f>
        <v/>
      </c>
      <c r="E424" s="17" t="str">
        <f>IF($A424="","",SUMIFS(Amortization!G$17:G$1017,Amortization!$A$17:$A$1017,$B424))</f>
        <v/>
      </c>
    </row>
    <row r="425" spans="2:5" hidden="1" x14ac:dyDescent="0.3">
      <c r="B425" s="1" t="str">
        <f t="shared" si="7"/>
        <v/>
      </c>
      <c r="C425" s="17" t="str">
        <f>IF($A425="","",SUMIFS(Amortization!E$17:E$1017,Amortization!$A$17:$A$1017,$B425))</f>
        <v/>
      </c>
      <c r="D425" s="17" t="str">
        <f>IF($A425="","",SUMIFS(Amortization!F$17:F$1017,Amortization!$A$17:$A$1017,$B425))</f>
        <v/>
      </c>
      <c r="E425" s="17" t="str">
        <f>IF($A425="","",SUMIFS(Amortization!G$17:G$1017,Amortization!$A$17:$A$1017,$B425))</f>
        <v/>
      </c>
    </row>
    <row r="426" spans="2:5" hidden="1" x14ac:dyDescent="0.3">
      <c r="B426" s="1" t="str">
        <f t="shared" si="7"/>
        <v/>
      </c>
      <c r="C426" s="17" t="str">
        <f>IF($A426="","",SUMIFS(Amortization!E$17:E$1017,Amortization!$A$17:$A$1017,$B426))</f>
        <v/>
      </c>
      <c r="D426" s="17" t="str">
        <f>IF($A426="","",SUMIFS(Amortization!F$17:F$1017,Amortization!$A$17:$A$1017,$B426))</f>
        <v/>
      </c>
      <c r="E426" s="17" t="str">
        <f>IF($A426="","",SUMIFS(Amortization!G$17:G$1017,Amortization!$A$17:$A$1017,$B426))</f>
        <v/>
      </c>
    </row>
    <row r="427" spans="2:5" hidden="1" x14ac:dyDescent="0.3">
      <c r="B427" s="1" t="str">
        <f t="shared" si="7"/>
        <v/>
      </c>
      <c r="C427" s="17" t="str">
        <f>IF($A427="","",SUMIFS(Amortization!E$17:E$1017,Amortization!$A$17:$A$1017,$B427))</f>
        <v/>
      </c>
      <c r="D427" s="17" t="str">
        <f>IF($A427="","",SUMIFS(Amortization!F$17:F$1017,Amortization!$A$17:$A$1017,$B427))</f>
        <v/>
      </c>
      <c r="E427" s="17" t="str">
        <f>IF($A427="","",SUMIFS(Amortization!G$17:G$1017,Amortization!$A$17:$A$1017,$B427))</f>
        <v/>
      </c>
    </row>
    <row r="428" spans="2:5" hidden="1" x14ac:dyDescent="0.3">
      <c r="B428" s="1" t="str">
        <f t="shared" si="7"/>
        <v/>
      </c>
      <c r="C428" s="17" t="str">
        <f>IF($A428="","",SUMIFS(Amortization!E$17:E$1017,Amortization!$A$17:$A$1017,$B428))</f>
        <v/>
      </c>
      <c r="D428" s="17" t="str">
        <f>IF($A428="","",SUMIFS(Amortization!F$17:F$1017,Amortization!$A$17:$A$1017,$B428))</f>
        <v/>
      </c>
      <c r="E428" s="17" t="str">
        <f>IF($A428="","",SUMIFS(Amortization!G$17:G$1017,Amortization!$A$17:$A$1017,$B428))</f>
        <v/>
      </c>
    </row>
    <row r="429" spans="2:5" hidden="1" x14ac:dyDescent="0.3">
      <c r="B429" s="1" t="str">
        <f t="shared" si="7"/>
        <v/>
      </c>
      <c r="C429" s="17" t="str">
        <f>IF($A429="","",SUMIFS(Amortization!E$17:E$1017,Amortization!$A$17:$A$1017,$B429))</f>
        <v/>
      </c>
      <c r="D429" s="17" t="str">
        <f>IF($A429="","",SUMIFS(Amortization!F$17:F$1017,Amortization!$A$17:$A$1017,$B429))</f>
        <v/>
      </c>
      <c r="E429" s="17" t="str">
        <f>IF($A429="","",SUMIFS(Amortization!G$17:G$1017,Amortization!$A$17:$A$1017,$B429))</f>
        <v/>
      </c>
    </row>
    <row r="430" spans="2:5" hidden="1" x14ac:dyDescent="0.3">
      <c r="B430" s="1" t="str">
        <f t="shared" si="7"/>
        <v/>
      </c>
      <c r="C430" s="17" t="str">
        <f>IF($A430="","",SUMIFS(Amortization!E$17:E$1017,Amortization!$A$17:$A$1017,$B430))</f>
        <v/>
      </c>
      <c r="D430" s="17" t="str">
        <f>IF($A430="","",SUMIFS(Amortization!F$17:F$1017,Amortization!$A$17:$A$1017,$B430))</f>
        <v/>
      </c>
      <c r="E430" s="17" t="str">
        <f>IF($A430="","",SUMIFS(Amortization!G$17:G$1017,Amortization!$A$17:$A$1017,$B430))</f>
        <v/>
      </c>
    </row>
    <row r="431" spans="2:5" hidden="1" x14ac:dyDescent="0.3">
      <c r="B431" s="1" t="str">
        <f t="shared" si="7"/>
        <v/>
      </c>
      <c r="C431" s="17" t="str">
        <f>IF($A431="","",SUMIFS(Amortization!E$17:E$1017,Amortization!$A$17:$A$1017,$B431))</f>
        <v/>
      </c>
      <c r="D431" s="17" t="str">
        <f>IF($A431="","",SUMIFS(Amortization!F$17:F$1017,Amortization!$A$17:$A$1017,$B431))</f>
        <v/>
      </c>
      <c r="E431" s="17" t="str">
        <f>IF($A431="","",SUMIFS(Amortization!G$17:G$1017,Amortization!$A$17:$A$1017,$B431))</f>
        <v/>
      </c>
    </row>
    <row r="432" spans="2:5" hidden="1" x14ac:dyDescent="0.3">
      <c r="B432" s="1" t="str">
        <f t="shared" si="7"/>
        <v/>
      </c>
      <c r="C432" s="17" t="str">
        <f>IF($A432="","",SUMIFS(Amortization!E$17:E$1017,Amortization!$A$17:$A$1017,$B432))</f>
        <v/>
      </c>
      <c r="D432" s="17" t="str">
        <f>IF($A432="","",SUMIFS(Amortization!F$17:F$1017,Amortization!$A$17:$A$1017,$B432))</f>
        <v/>
      </c>
      <c r="E432" s="17" t="str">
        <f>IF($A432="","",SUMIFS(Amortization!G$17:G$1017,Amortization!$A$17:$A$1017,$B432))</f>
        <v/>
      </c>
    </row>
    <row r="433" spans="2:5" hidden="1" x14ac:dyDescent="0.3">
      <c r="B433" s="1" t="str">
        <f t="shared" si="7"/>
        <v/>
      </c>
      <c r="C433" s="17" t="str">
        <f>IF($A433="","",SUMIFS(Amortization!E$17:E$1017,Amortization!$A$17:$A$1017,$B433))</f>
        <v/>
      </c>
      <c r="D433" s="17" t="str">
        <f>IF($A433="","",SUMIFS(Amortization!F$17:F$1017,Amortization!$A$17:$A$1017,$B433))</f>
        <v/>
      </c>
      <c r="E433" s="17" t="str">
        <f>IF($A433="","",SUMIFS(Amortization!G$17:G$1017,Amortization!$A$17:$A$1017,$B433))</f>
        <v/>
      </c>
    </row>
    <row r="434" spans="2:5" hidden="1" x14ac:dyDescent="0.3">
      <c r="B434" s="1" t="str">
        <f t="shared" si="7"/>
        <v/>
      </c>
      <c r="C434" s="17" t="str">
        <f>IF($A434="","",SUMIFS(Amortization!E$17:E$1017,Amortization!$A$17:$A$1017,$B434))</f>
        <v/>
      </c>
      <c r="D434" s="17" t="str">
        <f>IF($A434="","",SUMIFS(Amortization!F$17:F$1017,Amortization!$A$17:$A$1017,$B434))</f>
        <v/>
      </c>
      <c r="E434" s="17" t="str">
        <f>IF($A434="","",SUMIFS(Amortization!G$17:G$1017,Amortization!$A$17:$A$1017,$B434))</f>
        <v/>
      </c>
    </row>
    <row r="435" spans="2:5" hidden="1" x14ac:dyDescent="0.3">
      <c r="B435" s="1" t="str">
        <f t="shared" si="7"/>
        <v/>
      </c>
      <c r="C435" s="17" t="str">
        <f>IF($A435="","",SUMIFS(Amortization!E$17:E$1017,Amortization!$A$17:$A$1017,$B435))</f>
        <v/>
      </c>
      <c r="D435" s="17" t="str">
        <f>IF($A435="","",SUMIFS(Amortization!F$17:F$1017,Amortization!$A$17:$A$1017,$B435))</f>
        <v/>
      </c>
      <c r="E435" s="17" t="str">
        <f>IF($A435="","",SUMIFS(Amortization!G$17:G$1017,Amortization!$A$17:$A$1017,$B435))</f>
        <v/>
      </c>
    </row>
    <row r="436" spans="2:5" hidden="1" x14ac:dyDescent="0.3">
      <c r="B436" s="1" t="str">
        <f t="shared" si="7"/>
        <v/>
      </c>
      <c r="C436" s="17" t="str">
        <f>IF($A436="","",SUMIFS(Amortization!E$17:E$1017,Amortization!$A$17:$A$1017,$B436))</f>
        <v/>
      </c>
      <c r="D436" s="17" t="str">
        <f>IF($A436="","",SUMIFS(Amortization!F$17:F$1017,Amortization!$A$17:$A$1017,$B436))</f>
        <v/>
      </c>
      <c r="E436" s="17" t="str">
        <f>IF($A436="","",SUMIFS(Amortization!G$17:G$1017,Amortization!$A$17:$A$1017,$B436))</f>
        <v/>
      </c>
    </row>
    <row r="437" spans="2:5" hidden="1" x14ac:dyDescent="0.3">
      <c r="B437" s="1" t="str">
        <f t="shared" si="7"/>
        <v/>
      </c>
      <c r="C437" s="17" t="str">
        <f>IF($A437="","",SUMIFS(Amortization!E$17:E$1017,Amortization!$A$17:$A$1017,$B437))</f>
        <v/>
      </c>
      <c r="D437" s="17" t="str">
        <f>IF($A437="","",SUMIFS(Amortization!F$17:F$1017,Amortization!$A$17:$A$1017,$B437))</f>
        <v/>
      </c>
      <c r="E437" s="17" t="str">
        <f>IF($A437="","",SUMIFS(Amortization!G$17:G$1017,Amortization!$A$17:$A$1017,$B437))</f>
        <v/>
      </c>
    </row>
    <row r="438" spans="2:5" hidden="1" x14ac:dyDescent="0.3">
      <c r="B438" s="1" t="str">
        <f t="shared" si="7"/>
        <v/>
      </c>
      <c r="C438" s="17" t="str">
        <f>IF($A438="","",SUMIFS(Amortization!E$17:E$1017,Amortization!$A$17:$A$1017,$B438))</f>
        <v/>
      </c>
      <c r="D438" s="17" t="str">
        <f>IF($A438="","",SUMIFS(Amortization!F$17:F$1017,Amortization!$A$17:$A$1017,$B438))</f>
        <v/>
      </c>
      <c r="E438" s="17" t="str">
        <f>IF($A438="","",SUMIFS(Amortization!G$17:G$1017,Amortization!$A$17:$A$1017,$B438))</f>
        <v/>
      </c>
    </row>
    <row r="439" spans="2:5" hidden="1" x14ac:dyDescent="0.3">
      <c r="B439" s="1" t="str">
        <f t="shared" si="7"/>
        <v/>
      </c>
      <c r="C439" s="17" t="str">
        <f>IF($A439="","",SUMIFS(Amortization!E$17:E$1017,Amortization!$A$17:$A$1017,$B439))</f>
        <v/>
      </c>
      <c r="D439" s="17" t="str">
        <f>IF($A439="","",SUMIFS(Amortization!F$17:F$1017,Amortization!$A$17:$A$1017,$B439))</f>
        <v/>
      </c>
      <c r="E439" s="17" t="str">
        <f>IF($A439="","",SUMIFS(Amortization!G$17:G$1017,Amortization!$A$17:$A$1017,$B439))</f>
        <v/>
      </c>
    </row>
    <row r="440" spans="2:5" hidden="1" x14ac:dyDescent="0.3">
      <c r="B440" s="1" t="str">
        <f t="shared" si="7"/>
        <v/>
      </c>
      <c r="C440" s="17" t="str">
        <f>IF($A440="","",SUMIFS(Amortization!E$17:E$1017,Amortization!$A$17:$A$1017,$B440))</f>
        <v/>
      </c>
      <c r="D440" s="17" t="str">
        <f>IF($A440="","",SUMIFS(Amortization!F$17:F$1017,Amortization!$A$17:$A$1017,$B440))</f>
        <v/>
      </c>
      <c r="E440" s="17" t="str">
        <f>IF($A440="","",SUMIFS(Amortization!G$17:G$1017,Amortization!$A$17:$A$1017,$B440))</f>
        <v/>
      </c>
    </row>
    <row r="441" spans="2:5" hidden="1" x14ac:dyDescent="0.3">
      <c r="B441" s="1" t="str">
        <f t="shared" si="7"/>
        <v/>
      </c>
      <c r="C441" s="17" t="str">
        <f>IF($A441="","",SUMIFS(Amortization!E$17:E$1017,Amortization!$A$17:$A$1017,$B441))</f>
        <v/>
      </c>
      <c r="D441" s="17" t="str">
        <f>IF($A441="","",SUMIFS(Amortization!F$17:F$1017,Amortization!$A$17:$A$1017,$B441))</f>
        <v/>
      </c>
      <c r="E441" s="17" t="str">
        <f>IF($A441="","",SUMIFS(Amortization!G$17:G$1017,Amortization!$A$17:$A$1017,$B441))</f>
        <v/>
      </c>
    </row>
    <row r="442" spans="2:5" hidden="1" x14ac:dyDescent="0.3">
      <c r="B442" s="1" t="str">
        <f t="shared" si="7"/>
        <v/>
      </c>
      <c r="C442" s="17" t="str">
        <f>IF($A442="","",SUMIFS(Amortization!E$17:E$1017,Amortization!$A$17:$A$1017,$B442))</f>
        <v/>
      </c>
      <c r="D442" s="17" t="str">
        <f>IF($A442="","",SUMIFS(Amortization!F$17:F$1017,Amortization!$A$17:$A$1017,$B442))</f>
        <v/>
      </c>
      <c r="E442" s="17" t="str">
        <f>IF($A442="","",SUMIFS(Amortization!G$17:G$1017,Amortization!$A$17:$A$1017,$B442))</f>
        <v/>
      </c>
    </row>
    <row r="443" spans="2:5" hidden="1" x14ac:dyDescent="0.3">
      <c r="B443" s="1" t="str">
        <f t="shared" si="7"/>
        <v/>
      </c>
      <c r="C443" s="17" t="str">
        <f>IF($A443="","",SUMIFS(Amortization!E$17:E$1017,Amortization!$A$17:$A$1017,$B443))</f>
        <v/>
      </c>
      <c r="D443" s="17" t="str">
        <f>IF($A443="","",SUMIFS(Amortization!F$17:F$1017,Amortization!$A$17:$A$1017,$B443))</f>
        <v/>
      </c>
      <c r="E443" s="17" t="str">
        <f>IF($A443="","",SUMIFS(Amortization!G$17:G$1017,Amortization!$A$17:$A$1017,$B443))</f>
        <v/>
      </c>
    </row>
    <row r="444" spans="2:5" hidden="1" x14ac:dyDescent="0.3">
      <c r="B444" s="1" t="str">
        <f t="shared" si="7"/>
        <v/>
      </c>
      <c r="C444" s="17" t="str">
        <f>IF($A444="","",SUMIFS(Amortization!E$17:E$1017,Amortization!$A$17:$A$1017,$B444))</f>
        <v/>
      </c>
      <c r="D444" s="17" t="str">
        <f>IF($A444="","",SUMIFS(Amortization!F$17:F$1017,Amortization!$A$17:$A$1017,$B444))</f>
        <v/>
      </c>
      <c r="E444" s="17" t="str">
        <f>IF($A444="","",SUMIFS(Amortization!G$17:G$1017,Amortization!$A$17:$A$1017,$B444))</f>
        <v/>
      </c>
    </row>
    <row r="445" spans="2:5" hidden="1" x14ac:dyDescent="0.3">
      <c r="B445" s="1" t="str">
        <f t="shared" si="7"/>
        <v/>
      </c>
      <c r="C445" s="17" t="str">
        <f>IF($A445="","",SUMIFS(Amortization!E$17:E$1017,Amortization!$A$17:$A$1017,$B445))</f>
        <v/>
      </c>
      <c r="D445" s="17" t="str">
        <f>IF($A445="","",SUMIFS(Amortization!F$17:F$1017,Amortization!$A$17:$A$1017,$B445))</f>
        <v/>
      </c>
      <c r="E445" s="17" t="str">
        <f>IF($A445="","",SUMIFS(Amortization!G$17:G$1017,Amortization!$A$17:$A$1017,$B445))</f>
        <v/>
      </c>
    </row>
    <row r="446" spans="2:5" hidden="1" x14ac:dyDescent="0.3">
      <c r="B446" s="1" t="str">
        <f t="shared" si="7"/>
        <v/>
      </c>
      <c r="C446" s="17" t="str">
        <f>IF($A446="","",SUMIFS(Amortization!E$17:E$1017,Amortization!$A$17:$A$1017,$B446))</f>
        <v/>
      </c>
      <c r="D446" s="17" t="str">
        <f>IF($A446="","",SUMIFS(Amortization!F$17:F$1017,Amortization!$A$17:$A$1017,$B446))</f>
        <v/>
      </c>
      <c r="E446" s="17" t="str">
        <f>IF($A446="","",SUMIFS(Amortization!G$17:G$1017,Amortization!$A$17:$A$1017,$B446))</f>
        <v/>
      </c>
    </row>
    <row r="447" spans="2:5" hidden="1" x14ac:dyDescent="0.3">
      <c r="B447" s="1" t="str">
        <f t="shared" si="7"/>
        <v/>
      </c>
      <c r="C447" s="17" t="str">
        <f>IF($A447="","",SUMIFS(Amortization!E$17:E$1017,Amortization!$A$17:$A$1017,$B447))</f>
        <v/>
      </c>
      <c r="D447" s="17" t="str">
        <f>IF($A447="","",SUMIFS(Amortization!F$17:F$1017,Amortization!$A$17:$A$1017,$B447))</f>
        <v/>
      </c>
      <c r="E447" s="17" t="str">
        <f>IF($A447="","",SUMIFS(Amortization!G$17:G$1017,Amortization!$A$17:$A$1017,$B447))</f>
        <v/>
      </c>
    </row>
    <row r="448" spans="2:5" hidden="1" x14ac:dyDescent="0.3">
      <c r="B448" s="1" t="str">
        <f t="shared" si="7"/>
        <v/>
      </c>
      <c r="C448" s="17" t="str">
        <f>IF($A448="","",SUMIFS(Amortization!E$17:E$1017,Amortization!$A$17:$A$1017,$B448))</f>
        <v/>
      </c>
      <c r="D448" s="17" t="str">
        <f>IF($A448="","",SUMIFS(Amortization!F$17:F$1017,Amortization!$A$17:$A$1017,$B448))</f>
        <v/>
      </c>
      <c r="E448" s="17" t="str">
        <f>IF($A448="","",SUMIFS(Amortization!G$17:G$1017,Amortization!$A$17:$A$1017,$B448))</f>
        <v/>
      </c>
    </row>
    <row r="449" spans="2:5" hidden="1" x14ac:dyDescent="0.3">
      <c r="B449" s="1" t="str">
        <f t="shared" si="7"/>
        <v/>
      </c>
      <c r="C449" s="17" t="str">
        <f>IF($A449="","",SUMIFS(Amortization!E$17:E$1017,Amortization!$A$17:$A$1017,$B449))</f>
        <v/>
      </c>
      <c r="D449" s="17" t="str">
        <f>IF($A449="","",SUMIFS(Amortization!F$17:F$1017,Amortization!$A$17:$A$1017,$B449))</f>
        <v/>
      </c>
      <c r="E449" s="17" t="str">
        <f>IF($A449="","",SUMIFS(Amortization!G$17:G$1017,Amortization!$A$17:$A$1017,$B449))</f>
        <v/>
      </c>
    </row>
    <row r="450" spans="2:5" hidden="1" x14ac:dyDescent="0.3">
      <c r="B450" s="1" t="str">
        <f t="shared" si="7"/>
        <v/>
      </c>
      <c r="C450" s="17" t="str">
        <f>IF($A450="","",SUMIFS(Amortization!E$17:E$1017,Amortization!$A$17:$A$1017,$B450))</f>
        <v/>
      </c>
      <c r="D450" s="17" t="str">
        <f>IF($A450="","",SUMIFS(Amortization!F$17:F$1017,Amortization!$A$17:$A$1017,$B450))</f>
        <v/>
      </c>
      <c r="E450" s="17" t="str">
        <f>IF($A450="","",SUMIFS(Amortization!G$17:G$1017,Amortization!$A$17:$A$1017,$B450))</f>
        <v/>
      </c>
    </row>
    <row r="451" spans="2:5" hidden="1" x14ac:dyDescent="0.3">
      <c r="B451" s="1" t="str">
        <f t="shared" si="7"/>
        <v/>
      </c>
      <c r="C451" s="17" t="str">
        <f>IF($A451="","",SUMIFS(Amortization!E$17:E$1017,Amortization!$A$17:$A$1017,$B451))</f>
        <v/>
      </c>
      <c r="D451" s="17" t="str">
        <f>IF($A451="","",SUMIFS(Amortization!F$17:F$1017,Amortization!$A$17:$A$1017,$B451))</f>
        <v/>
      </c>
      <c r="E451" s="17" t="str">
        <f>IF($A451="","",SUMIFS(Amortization!G$17:G$1017,Amortization!$A$17:$A$1017,$B451))</f>
        <v/>
      </c>
    </row>
    <row r="452" spans="2:5" hidden="1" x14ac:dyDescent="0.3">
      <c r="B452" s="1" t="str">
        <f t="shared" si="7"/>
        <v/>
      </c>
      <c r="C452" s="17" t="str">
        <f>IF($A452="","",SUMIFS(Amortization!E$17:E$1017,Amortization!$A$17:$A$1017,$B452))</f>
        <v/>
      </c>
      <c r="D452" s="17" t="str">
        <f>IF($A452="","",SUMIFS(Amortization!F$17:F$1017,Amortization!$A$17:$A$1017,$B452))</f>
        <v/>
      </c>
      <c r="E452" s="17" t="str">
        <f>IF($A452="","",SUMIFS(Amortization!G$17:G$1017,Amortization!$A$17:$A$1017,$B452))</f>
        <v/>
      </c>
    </row>
    <row r="453" spans="2:5" hidden="1" x14ac:dyDescent="0.3">
      <c r="B453" s="1" t="str">
        <f t="shared" si="7"/>
        <v/>
      </c>
      <c r="C453" s="17" t="str">
        <f>IF($A453="","",SUMIFS(Amortization!E$17:E$1017,Amortization!$A$17:$A$1017,$B453))</f>
        <v/>
      </c>
      <c r="D453" s="17" t="str">
        <f>IF($A453="","",SUMIFS(Amortization!F$17:F$1017,Amortization!$A$17:$A$1017,$B453))</f>
        <v/>
      </c>
      <c r="E453" s="17" t="str">
        <f>IF($A453="","",SUMIFS(Amortization!G$17:G$1017,Amortization!$A$17:$A$1017,$B453))</f>
        <v/>
      </c>
    </row>
    <row r="454" spans="2:5" hidden="1" x14ac:dyDescent="0.3">
      <c r="B454" s="1" t="str">
        <f t="shared" si="7"/>
        <v/>
      </c>
      <c r="C454" s="17" t="str">
        <f>IF($A454="","",SUMIFS(Amortization!E$17:E$1017,Amortization!$A$17:$A$1017,$B454))</f>
        <v/>
      </c>
      <c r="D454" s="17" t="str">
        <f>IF($A454="","",SUMIFS(Amortization!F$17:F$1017,Amortization!$A$17:$A$1017,$B454))</f>
        <v/>
      </c>
      <c r="E454" s="17" t="str">
        <f>IF($A454="","",SUMIFS(Amortization!G$17:G$1017,Amortization!$A$17:$A$1017,$B454))</f>
        <v/>
      </c>
    </row>
    <row r="455" spans="2:5" hidden="1" x14ac:dyDescent="0.3">
      <c r="B455" s="1" t="str">
        <f t="shared" si="7"/>
        <v/>
      </c>
      <c r="C455" s="17" t="str">
        <f>IF($A455="","",SUMIFS(Amortization!E$17:E$1017,Amortization!$A$17:$A$1017,$B455))</f>
        <v/>
      </c>
      <c r="D455" s="17" t="str">
        <f>IF($A455="","",SUMIFS(Amortization!F$17:F$1017,Amortization!$A$17:$A$1017,$B455))</f>
        <v/>
      </c>
      <c r="E455" s="17" t="str">
        <f>IF($A455="","",SUMIFS(Amortization!G$17:G$1017,Amortization!$A$17:$A$1017,$B455))</f>
        <v/>
      </c>
    </row>
    <row r="456" spans="2:5" hidden="1" x14ac:dyDescent="0.3">
      <c r="B456" s="1" t="str">
        <f t="shared" si="7"/>
        <v/>
      </c>
      <c r="C456" s="17" t="str">
        <f>IF($A456="","",SUMIFS(Amortization!E$17:E$1017,Amortization!$A$17:$A$1017,$B456))</f>
        <v/>
      </c>
      <c r="D456" s="17" t="str">
        <f>IF($A456="","",SUMIFS(Amortization!F$17:F$1017,Amortization!$A$17:$A$1017,$B456))</f>
        <v/>
      </c>
      <c r="E456" s="17" t="str">
        <f>IF($A456="","",SUMIFS(Amortization!G$17:G$1017,Amortization!$A$17:$A$1017,$B456))</f>
        <v/>
      </c>
    </row>
    <row r="457" spans="2:5" hidden="1" x14ac:dyDescent="0.3">
      <c r="B457" s="1" t="str">
        <f t="shared" si="7"/>
        <v/>
      </c>
      <c r="C457" s="17" t="str">
        <f>IF($A457="","",SUMIFS(Amortization!E$17:E$1017,Amortization!$A$17:$A$1017,$B457))</f>
        <v/>
      </c>
      <c r="D457" s="17" t="str">
        <f>IF($A457="","",SUMIFS(Amortization!F$17:F$1017,Amortization!$A$17:$A$1017,$B457))</f>
        <v/>
      </c>
      <c r="E457" s="17" t="str">
        <f>IF($A457="","",SUMIFS(Amortization!G$17:G$1017,Amortization!$A$17:$A$1017,$B457))</f>
        <v/>
      </c>
    </row>
    <row r="458" spans="2:5" hidden="1" x14ac:dyDescent="0.3">
      <c r="B458" s="1" t="str">
        <f t="shared" si="7"/>
        <v/>
      </c>
      <c r="C458" s="17" t="str">
        <f>IF($A458="","",SUMIFS(Amortization!E$17:E$1017,Amortization!$A$17:$A$1017,$B458))</f>
        <v/>
      </c>
      <c r="D458" s="17" t="str">
        <f>IF($A458="","",SUMIFS(Amortization!F$17:F$1017,Amortization!$A$17:$A$1017,$B458))</f>
        <v/>
      </c>
      <c r="E458" s="17" t="str">
        <f>IF($A458="","",SUMIFS(Amortization!G$17:G$1017,Amortization!$A$17:$A$1017,$B458))</f>
        <v/>
      </c>
    </row>
    <row r="459" spans="2:5" hidden="1" x14ac:dyDescent="0.3">
      <c r="B459" s="1" t="str">
        <f t="shared" si="7"/>
        <v/>
      </c>
      <c r="C459" s="17" t="str">
        <f>IF($A459="","",SUMIFS(Amortization!E$17:E$1017,Amortization!$A$17:$A$1017,$B459))</f>
        <v/>
      </c>
      <c r="D459" s="17" t="str">
        <f>IF($A459="","",SUMIFS(Amortization!F$17:F$1017,Amortization!$A$17:$A$1017,$B459))</f>
        <v/>
      </c>
      <c r="E459" s="17" t="str">
        <f>IF($A459="","",SUMIFS(Amortization!G$17:G$1017,Amortization!$A$17:$A$1017,$B459))</f>
        <v/>
      </c>
    </row>
    <row r="460" spans="2:5" hidden="1" x14ac:dyDescent="0.3">
      <c r="B460" s="1" t="str">
        <f t="shared" si="7"/>
        <v/>
      </c>
      <c r="C460" s="17" t="str">
        <f>IF($A460="","",SUMIFS(Amortization!E$17:E$1017,Amortization!$A$17:$A$1017,$B460))</f>
        <v/>
      </c>
      <c r="D460" s="17" t="str">
        <f>IF($A460="","",SUMIFS(Amortization!F$17:F$1017,Amortization!$A$17:$A$1017,$B460))</f>
        <v/>
      </c>
      <c r="E460" s="17" t="str">
        <f>IF($A460="","",SUMIFS(Amortization!G$17:G$1017,Amortization!$A$17:$A$1017,$B460))</f>
        <v/>
      </c>
    </row>
    <row r="461" spans="2:5" hidden="1" x14ac:dyDescent="0.3">
      <c r="B461" s="1" t="str">
        <f t="shared" si="7"/>
        <v/>
      </c>
      <c r="C461" s="17" t="str">
        <f>IF($A461="","",SUMIFS(Amortization!E$17:E$1017,Amortization!$A$17:$A$1017,$B461))</f>
        <v/>
      </c>
      <c r="D461" s="17" t="str">
        <f>IF($A461="","",SUMIFS(Amortization!F$17:F$1017,Amortization!$A$17:$A$1017,$B461))</f>
        <v/>
      </c>
      <c r="E461" s="17" t="str">
        <f>IF($A461="","",SUMIFS(Amortization!G$17:G$1017,Amortization!$A$17:$A$1017,$B461))</f>
        <v/>
      </c>
    </row>
    <row r="462" spans="2:5" hidden="1" x14ac:dyDescent="0.3">
      <c r="B462" s="1" t="str">
        <f t="shared" si="7"/>
        <v/>
      </c>
      <c r="C462" s="17" t="str">
        <f>IF($A462="","",SUMIFS(Amortization!E$17:E$1017,Amortization!$A$17:$A$1017,$B462))</f>
        <v/>
      </c>
      <c r="D462" s="17" t="str">
        <f>IF($A462="","",SUMIFS(Amortization!F$17:F$1017,Amortization!$A$17:$A$1017,$B462))</f>
        <v/>
      </c>
      <c r="E462" s="17" t="str">
        <f>IF($A462="","",SUMIFS(Amortization!G$17:G$1017,Amortization!$A$17:$A$1017,$B462))</f>
        <v/>
      </c>
    </row>
    <row r="463" spans="2:5" hidden="1" x14ac:dyDescent="0.3">
      <c r="B463" s="1" t="str">
        <f t="shared" si="7"/>
        <v/>
      </c>
      <c r="C463" s="17" t="str">
        <f>IF($A463="","",SUMIFS(Amortization!E$17:E$1017,Amortization!$A$17:$A$1017,$B463))</f>
        <v/>
      </c>
      <c r="D463" s="17" t="str">
        <f>IF($A463="","",SUMIFS(Amortization!F$17:F$1017,Amortization!$A$17:$A$1017,$B463))</f>
        <v/>
      </c>
      <c r="E463" s="17" t="str">
        <f>IF($A463="","",SUMIFS(Amortization!G$17:G$1017,Amortization!$A$17:$A$1017,$B463))</f>
        <v/>
      </c>
    </row>
    <row r="464" spans="2:5" hidden="1" x14ac:dyDescent="0.3">
      <c r="B464" s="1" t="str">
        <f t="shared" si="7"/>
        <v/>
      </c>
      <c r="C464" s="17" t="str">
        <f>IF($A464="","",SUMIFS(Amortization!E$17:E$1017,Amortization!$A$17:$A$1017,$B464))</f>
        <v/>
      </c>
      <c r="D464" s="17" t="str">
        <f>IF($A464="","",SUMIFS(Amortization!F$17:F$1017,Amortization!$A$17:$A$1017,$B464))</f>
        <v/>
      </c>
      <c r="E464" s="17" t="str">
        <f>IF($A464="","",SUMIFS(Amortization!G$17:G$1017,Amortization!$A$17:$A$1017,$B464))</f>
        <v/>
      </c>
    </row>
    <row r="465" spans="2:5" hidden="1" x14ac:dyDescent="0.3">
      <c r="B465" s="1" t="str">
        <f t="shared" si="7"/>
        <v/>
      </c>
      <c r="C465" s="17" t="str">
        <f>IF($A465="","",SUMIFS(Amortization!E$17:E$1017,Amortization!$A$17:$A$1017,$B465))</f>
        <v/>
      </c>
      <c r="D465" s="17" t="str">
        <f>IF($A465="","",SUMIFS(Amortization!F$17:F$1017,Amortization!$A$17:$A$1017,$B465))</f>
        <v/>
      </c>
      <c r="E465" s="17" t="str">
        <f>IF($A465="","",SUMIFS(Amortization!G$17:G$1017,Amortization!$A$17:$A$1017,$B465))</f>
        <v/>
      </c>
    </row>
    <row r="466" spans="2:5" hidden="1" x14ac:dyDescent="0.3">
      <c r="B466" s="1" t="str">
        <f t="shared" si="7"/>
        <v/>
      </c>
      <c r="C466" s="17" t="str">
        <f>IF($A466="","",SUMIFS(Amortization!E$17:E$1017,Amortization!$A$17:$A$1017,$B466))</f>
        <v/>
      </c>
      <c r="D466" s="17" t="str">
        <f>IF($A466="","",SUMIFS(Amortization!F$17:F$1017,Amortization!$A$17:$A$1017,$B466))</f>
        <v/>
      </c>
      <c r="E466" s="17" t="str">
        <f>IF($A466="","",SUMIFS(Amortization!G$17:G$1017,Amortization!$A$17:$A$1017,$B466))</f>
        <v/>
      </c>
    </row>
    <row r="467" spans="2:5" hidden="1" x14ac:dyDescent="0.3">
      <c r="B467" s="1" t="str">
        <f t="shared" ref="B467:B530" si="8">IF(A467="","",B466+1)</f>
        <v/>
      </c>
      <c r="C467" s="17" t="str">
        <f>IF($A467="","",SUMIFS(Amortization!E$17:E$1017,Amortization!$A$17:$A$1017,$B467))</f>
        <v/>
      </c>
      <c r="D467" s="17" t="str">
        <f>IF($A467="","",SUMIFS(Amortization!F$17:F$1017,Amortization!$A$17:$A$1017,$B467))</f>
        <v/>
      </c>
      <c r="E467" s="17" t="str">
        <f>IF($A467="","",SUMIFS(Amortization!G$17:G$1017,Amortization!$A$17:$A$1017,$B467))</f>
        <v/>
      </c>
    </row>
    <row r="468" spans="2:5" hidden="1" x14ac:dyDescent="0.3">
      <c r="B468" s="1" t="str">
        <f t="shared" si="8"/>
        <v/>
      </c>
      <c r="C468" s="17" t="str">
        <f>IF($A468="","",SUMIFS(Amortization!E$17:E$1017,Amortization!$A$17:$A$1017,$B468))</f>
        <v/>
      </c>
      <c r="D468" s="17" t="str">
        <f>IF($A468="","",SUMIFS(Amortization!F$17:F$1017,Amortization!$A$17:$A$1017,$B468))</f>
        <v/>
      </c>
      <c r="E468" s="17" t="str">
        <f>IF($A468="","",SUMIFS(Amortization!G$17:G$1017,Amortization!$A$17:$A$1017,$B468))</f>
        <v/>
      </c>
    </row>
    <row r="469" spans="2:5" hidden="1" x14ac:dyDescent="0.3">
      <c r="B469" s="1" t="str">
        <f t="shared" si="8"/>
        <v/>
      </c>
      <c r="C469" s="17" t="str">
        <f>IF($A469="","",SUMIFS(Amortization!E$17:E$1017,Amortization!$A$17:$A$1017,$B469))</f>
        <v/>
      </c>
      <c r="D469" s="17" t="str">
        <f>IF($A469="","",SUMIFS(Amortization!F$17:F$1017,Amortization!$A$17:$A$1017,$B469))</f>
        <v/>
      </c>
      <c r="E469" s="17" t="str">
        <f>IF($A469="","",SUMIFS(Amortization!G$17:G$1017,Amortization!$A$17:$A$1017,$B469))</f>
        <v/>
      </c>
    </row>
    <row r="470" spans="2:5" hidden="1" x14ac:dyDescent="0.3">
      <c r="B470" s="1" t="str">
        <f t="shared" si="8"/>
        <v/>
      </c>
      <c r="C470" s="17" t="str">
        <f>IF($A470="","",SUMIFS(Amortization!E$17:E$1017,Amortization!$A$17:$A$1017,$B470))</f>
        <v/>
      </c>
      <c r="D470" s="17" t="str">
        <f>IF($A470="","",SUMIFS(Amortization!F$17:F$1017,Amortization!$A$17:$A$1017,$B470))</f>
        <v/>
      </c>
      <c r="E470" s="17" t="str">
        <f>IF($A470="","",SUMIFS(Amortization!G$17:G$1017,Amortization!$A$17:$A$1017,$B470))</f>
        <v/>
      </c>
    </row>
    <row r="471" spans="2:5" hidden="1" x14ac:dyDescent="0.3">
      <c r="B471" s="1" t="str">
        <f t="shared" si="8"/>
        <v/>
      </c>
      <c r="C471" s="17" t="str">
        <f>IF($A471="","",SUMIFS(Amortization!E$17:E$1017,Amortization!$A$17:$A$1017,$B471))</f>
        <v/>
      </c>
      <c r="D471" s="17" t="str">
        <f>IF($A471="","",SUMIFS(Amortization!F$17:F$1017,Amortization!$A$17:$A$1017,$B471))</f>
        <v/>
      </c>
      <c r="E471" s="17" t="str">
        <f>IF($A471="","",SUMIFS(Amortization!G$17:G$1017,Amortization!$A$17:$A$1017,$B471))</f>
        <v/>
      </c>
    </row>
    <row r="472" spans="2:5" hidden="1" x14ac:dyDescent="0.3">
      <c r="B472" s="1" t="str">
        <f t="shared" si="8"/>
        <v/>
      </c>
      <c r="C472" s="17" t="str">
        <f>IF($A472="","",SUMIFS(Amortization!E$17:E$1017,Amortization!$A$17:$A$1017,$B472))</f>
        <v/>
      </c>
      <c r="D472" s="17" t="str">
        <f>IF($A472="","",SUMIFS(Amortization!F$17:F$1017,Amortization!$A$17:$A$1017,$B472))</f>
        <v/>
      </c>
      <c r="E472" s="17" t="str">
        <f>IF($A472="","",SUMIFS(Amortization!G$17:G$1017,Amortization!$A$17:$A$1017,$B472))</f>
        <v/>
      </c>
    </row>
    <row r="473" spans="2:5" hidden="1" x14ac:dyDescent="0.3">
      <c r="B473" s="1" t="str">
        <f t="shared" si="8"/>
        <v/>
      </c>
      <c r="C473" s="17" t="str">
        <f>IF($A473="","",SUMIFS(Amortization!E$17:E$1017,Amortization!$A$17:$A$1017,$B473))</f>
        <v/>
      </c>
      <c r="D473" s="17" t="str">
        <f>IF($A473="","",SUMIFS(Amortization!F$17:F$1017,Amortization!$A$17:$A$1017,$B473))</f>
        <v/>
      </c>
      <c r="E473" s="17" t="str">
        <f>IF($A473="","",SUMIFS(Amortization!G$17:G$1017,Amortization!$A$17:$A$1017,$B473))</f>
        <v/>
      </c>
    </row>
    <row r="474" spans="2:5" hidden="1" x14ac:dyDescent="0.3">
      <c r="B474" s="1" t="str">
        <f t="shared" si="8"/>
        <v/>
      </c>
      <c r="C474" s="17" t="str">
        <f>IF($A474="","",SUMIFS(Amortization!E$17:E$1017,Amortization!$A$17:$A$1017,$B474))</f>
        <v/>
      </c>
      <c r="D474" s="17" t="str">
        <f>IF($A474="","",SUMIFS(Amortization!F$17:F$1017,Amortization!$A$17:$A$1017,$B474))</f>
        <v/>
      </c>
      <c r="E474" s="17" t="str">
        <f>IF($A474="","",SUMIFS(Amortization!G$17:G$1017,Amortization!$A$17:$A$1017,$B474))</f>
        <v/>
      </c>
    </row>
    <row r="475" spans="2:5" hidden="1" x14ac:dyDescent="0.3">
      <c r="B475" s="1" t="str">
        <f t="shared" si="8"/>
        <v/>
      </c>
      <c r="C475" s="17" t="str">
        <f>IF($A475="","",SUMIFS(Amortization!E$17:E$1017,Amortization!$A$17:$A$1017,$B475))</f>
        <v/>
      </c>
      <c r="D475" s="17" t="str">
        <f>IF($A475="","",SUMIFS(Amortization!F$17:F$1017,Amortization!$A$17:$A$1017,$B475))</f>
        <v/>
      </c>
      <c r="E475" s="17" t="str">
        <f>IF($A475="","",SUMIFS(Amortization!G$17:G$1017,Amortization!$A$17:$A$1017,$B475))</f>
        <v/>
      </c>
    </row>
    <row r="476" spans="2:5" hidden="1" x14ac:dyDescent="0.3">
      <c r="B476" s="1" t="str">
        <f t="shared" si="8"/>
        <v/>
      </c>
      <c r="C476" s="17" t="str">
        <f>IF($A476="","",SUMIFS(Amortization!E$17:E$1017,Amortization!$A$17:$A$1017,$B476))</f>
        <v/>
      </c>
      <c r="D476" s="17" t="str">
        <f>IF($A476="","",SUMIFS(Amortization!F$17:F$1017,Amortization!$A$17:$A$1017,$B476))</f>
        <v/>
      </c>
      <c r="E476" s="17" t="str">
        <f>IF($A476="","",SUMIFS(Amortization!G$17:G$1017,Amortization!$A$17:$A$1017,$B476))</f>
        <v/>
      </c>
    </row>
    <row r="477" spans="2:5" hidden="1" x14ac:dyDescent="0.3">
      <c r="B477" s="1" t="str">
        <f t="shared" si="8"/>
        <v/>
      </c>
      <c r="C477" s="17" t="str">
        <f>IF($A477="","",SUMIFS(Amortization!E$17:E$1017,Amortization!$A$17:$A$1017,$B477))</f>
        <v/>
      </c>
      <c r="D477" s="17" t="str">
        <f>IF($A477="","",SUMIFS(Amortization!F$17:F$1017,Amortization!$A$17:$A$1017,$B477))</f>
        <v/>
      </c>
      <c r="E477" s="17" t="str">
        <f>IF($A477="","",SUMIFS(Amortization!G$17:G$1017,Amortization!$A$17:$A$1017,$B477))</f>
        <v/>
      </c>
    </row>
    <row r="478" spans="2:5" hidden="1" x14ac:dyDescent="0.3">
      <c r="B478" s="1" t="str">
        <f t="shared" si="8"/>
        <v/>
      </c>
      <c r="C478" s="17" t="str">
        <f>IF($A478="","",SUMIFS(Amortization!E$17:E$1017,Amortization!$A$17:$A$1017,$B478))</f>
        <v/>
      </c>
      <c r="D478" s="17" t="str">
        <f>IF($A478="","",SUMIFS(Amortization!F$17:F$1017,Amortization!$A$17:$A$1017,$B478))</f>
        <v/>
      </c>
      <c r="E478" s="17" t="str">
        <f>IF($A478="","",SUMIFS(Amortization!G$17:G$1017,Amortization!$A$17:$A$1017,$B478))</f>
        <v/>
      </c>
    </row>
    <row r="479" spans="2:5" hidden="1" x14ac:dyDescent="0.3">
      <c r="B479" s="1" t="str">
        <f t="shared" si="8"/>
        <v/>
      </c>
      <c r="C479" s="17" t="str">
        <f>IF($A479="","",SUMIFS(Amortization!E$17:E$1017,Amortization!$A$17:$A$1017,$B479))</f>
        <v/>
      </c>
      <c r="D479" s="17" t="str">
        <f>IF($A479="","",SUMIFS(Amortization!F$17:F$1017,Amortization!$A$17:$A$1017,$B479))</f>
        <v/>
      </c>
      <c r="E479" s="17" t="str">
        <f>IF($A479="","",SUMIFS(Amortization!G$17:G$1017,Amortization!$A$17:$A$1017,$B479))</f>
        <v/>
      </c>
    </row>
    <row r="480" spans="2:5" hidden="1" x14ac:dyDescent="0.3">
      <c r="B480" s="1" t="str">
        <f t="shared" si="8"/>
        <v/>
      </c>
      <c r="C480" s="17" t="str">
        <f>IF($A480="","",SUMIFS(Amortization!E$17:E$1017,Amortization!$A$17:$A$1017,$B480))</f>
        <v/>
      </c>
      <c r="D480" s="17" t="str">
        <f>IF($A480="","",SUMIFS(Amortization!F$17:F$1017,Amortization!$A$17:$A$1017,$B480))</f>
        <v/>
      </c>
      <c r="E480" s="17" t="str">
        <f>IF($A480="","",SUMIFS(Amortization!G$17:G$1017,Amortization!$A$17:$A$1017,$B480))</f>
        <v/>
      </c>
    </row>
    <row r="481" spans="2:5" hidden="1" x14ac:dyDescent="0.3">
      <c r="B481" s="1" t="str">
        <f t="shared" si="8"/>
        <v/>
      </c>
      <c r="C481" s="17" t="str">
        <f>IF($A481="","",SUMIFS(Amortization!E$17:E$1017,Amortization!$A$17:$A$1017,$B481))</f>
        <v/>
      </c>
      <c r="D481" s="17" t="str">
        <f>IF($A481="","",SUMIFS(Amortization!F$17:F$1017,Amortization!$A$17:$A$1017,$B481))</f>
        <v/>
      </c>
      <c r="E481" s="17" t="str">
        <f>IF($A481="","",SUMIFS(Amortization!G$17:G$1017,Amortization!$A$17:$A$1017,$B481))</f>
        <v/>
      </c>
    </row>
    <row r="482" spans="2:5" hidden="1" x14ac:dyDescent="0.3">
      <c r="B482" s="1" t="str">
        <f t="shared" si="8"/>
        <v/>
      </c>
      <c r="C482" s="17" t="str">
        <f>IF($A482="","",SUMIFS(Amortization!E$17:E$1017,Amortization!$A$17:$A$1017,$B482))</f>
        <v/>
      </c>
      <c r="D482" s="17" t="str">
        <f>IF($A482="","",SUMIFS(Amortization!F$17:F$1017,Amortization!$A$17:$A$1017,$B482))</f>
        <v/>
      </c>
      <c r="E482" s="17" t="str">
        <f>IF($A482="","",SUMIFS(Amortization!G$17:G$1017,Amortization!$A$17:$A$1017,$B482))</f>
        <v/>
      </c>
    </row>
    <row r="483" spans="2:5" hidden="1" x14ac:dyDescent="0.3">
      <c r="B483" s="1" t="str">
        <f t="shared" si="8"/>
        <v/>
      </c>
      <c r="C483" s="17" t="str">
        <f>IF($A483="","",SUMIFS(Amortization!E$17:E$1017,Amortization!$A$17:$A$1017,$B483))</f>
        <v/>
      </c>
      <c r="D483" s="17" t="str">
        <f>IF($A483="","",SUMIFS(Amortization!F$17:F$1017,Amortization!$A$17:$A$1017,$B483))</f>
        <v/>
      </c>
      <c r="E483" s="17" t="str">
        <f>IF($A483="","",SUMIFS(Amortization!G$17:G$1017,Amortization!$A$17:$A$1017,$B483))</f>
        <v/>
      </c>
    </row>
    <row r="484" spans="2:5" hidden="1" x14ac:dyDescent="0.3">
      <c r="B484" s="1" t="str">
        <f t="shared" si="8"/>
        <v/>
      </c>
      <c r="C484" s="17" t="str">
        <f>IF($A484="","",SUMIFS(Amortization!E$17:E$1017,Amortization!$A$17:$A$1017,$B484))</f>
        <v/>
      </c>
      <c r="D484" s="17" t="str">
        <f>IF($A484="","",SUMIFS(Amortization!F$17:F$1017,Amortization!$A$17:$A$1017,$B484))</f>
        <v/>
      </c>
      <c r="E484" s="17" t="str">
        <f>IF($A484="","",SUMIFS(Amortization!G$17:G$1017,Amortization!$A$17:$A$1017,$B484))</f>
        <v/>
      </c>
    </row>
    <row r="485" spans="2:5" hidden="1" x14ac:dyDescent="0.3">
      <c r="B485" s="1" t="str">
        <f t="shared" si="8"/>
        <v/>
      </c>
      <c r="C485" s="17" t="str">
        <f>IF($A485="","",SUMIFS(Amortization!E$17:E$1017,Amortization!$A$17:$A$1017,$B485))</f>
        <v/>
      </c>
      <c r="D485" s="17" t="str">
        <f>IF($A485="","",SUMIFS(Amortization!F$17:F$1017,Amortization!$A$17:$A$1017,$B485))</f>
        <v/>
      </c>
      <c r="E485" s="17" t="str">
        <f>IF($A485="","",SUMIFS(Amortization!G$17:G$1017,Amortization!$A$17:$A$1017,$B485))</f>
        <v/>
      </c>
    </row>
    <row r="486" spans="2:5" hidden="1" x14ac:dyDescent="0.3">
      <c r="B486" s="1" t="str">
        <f t="shared" si="8"/>
        <v/>
      </c>
      <c r="C486" s="17" t="str">
        <f>IF($A486="","",SUMIFS(Amortization!E$17:E$1017,Amortization!$A$17:$A$1017,$B486))</f>
        <v/>
      </c>
      <c r="D486" s="17" t="str">
        <f>IF($A486="","",SUMIFS(Amortization!F$17:F$1017,Amortization!$A$17:$A$1017,$B486))</f>
        <v/>
      </c>
      <c r="E486" s="17" t="str">
        <f>IF($A486="","",SUMIFS(Amortization!G$17:G$1017,Amortization!$A$17:$A$1017,$B486))</f>
        <v/>
      </c>
    </row>
    <row r="487" spans="2:5" hidden="1" x14ac:dyDescent="0.3">
      <c r="B487" s="1" t="str">
        <f t="shared" si="8"/>
        <v/>
      </c>
      <c r="C487" s="17" t="str">
        <f>IF($A487="","",SUMIFS(Amortization!E$17:E$1017,Amortization!$A$17:$A$1017,$B487))</f>
        <v/>
      </c>
      <c r="D487" s="17" t="str">
        <f>IF($A487="","",SUMIFS(Amortization!F$17:F$1017,Amortization!$A$17:$A$1017,$B487))</f>
        <v/>
      </c>
      <c r="E487" s="17" t="str">
        <f>IF($A487="","",SUMIFS(Amortization!G$17:G$1017,Amortization!$A$17:$A$1017,$B487))</f>
        <v/>
      </c>
    </row>
    <row r="488" spans="2:5" hidden="1" x14ac:dyDescent="0.3">
      <c r="B488" s="1" t="str">
        <f t="shared" si="8"/>
        <v/>
      </c>
      <c r="C488" s="17" t="str">
        <f>IF($A488="","",SUMIFS(Amortization!E$17:E$1017,Amortization!$A$17:$A$1017,$B488))</f>
        <v/>
      </c>
      <c r="D488" s="17" t="str">
        <f>IF($A488="","",SUMIFS(Amortization!F$17:F$1017,Amortization!$A$17:$A$1017,$B488))</f>
        <v/>
      </c>
      <c r="E488" s="17" t="str">
        <f>IF($A488="","",SUMIFS(Amortization!G$17:G$1017,Amortization!$A$17:$A$1017,$B488))</f>
        <v/>
      </c>
    </row>
    <row r="489" spans="2:5" hidden="1" x14ac:dyDescent="0.3">
      <c r="B489" s="1" t="str">
        <f t="shared" si="8"/>
        <v/>
      </c>
      <c r="C489" s="17" t="str">
        <f>IF($A489="","",SUMIFS(Amortization!E$17:E$1017,Amortization!$A$17:$A$1017,$B489))</f>
        <v/>
      </c>
      <c r="D489" s="17" t="str">
        <f>IF($A489="","",SUMIFS(Amortization!F$17:F$1017,Amortization!$A$17:$A$1017,$B489))</f>
        <v/>
      </c>
      <c r="E489" s="17" t="str">
        <f>IF($A489="","",SUMIFS(Amortization!G$17:G$1017,Amortization!$A$17:$A$1017,$B489))</f>
        <v/>
      </c>
    </row>
    <row r="490" spans="2:5" hidden="1" x14ac:dyDescent="0.3">
      <c r="B490" s="1" t="str">
        <f t="shared" si="8"/>
        <v/>
      </c>
      <c r="C490" s="17" t="str">
        <f>IF($A490="","",SUMIFS(Amortization!E$17:E$1017,Amortization!$A$17:$A$1017,$B490))</f>
        <v/>
      </c>
      <c r="D490" s="17" t="str">
        <f>IF($A490="","",SUMIFS(Amortization!F$17:F$1017,Amortization!$A$17:$A$1017,$B490))</f>
        <v/>
      </c>
      <c r="E490" s="17" t="str">
        <f>IF($A490="","",SUMIFS(Amortization!G$17:G$1017,Amortization!$A$17:$A$1017,$B490))</f>
        <v/>
      </c>
    </row>
    <row r="491" spans="2:5" hidden="1" x14ac:dyDescent="0.3">
      <c r="B491" s="1" t="str">
        <f t="shared" si="8"/>
        <v/>
      </c>
      <c r="C491" s="17" t="str">
        <f>IF($A491="","",SUMIFS(Amortization!E$17:E$1017,Amortization!$A$17:$A$1017,$B491))</f>
        <v/>
      </c>
      <c r="D491" s="17" t="str">
        <f>IF($A491="","",SUMIFS(Amortization!F$17:F$1017,Amortization!$A$17:$A$1017,$B491))</f>
        <v/>
      </c>
      <c r="E491" s="17" t="str">
        <f>IF($A491="","",SUMIFS(Amortization!G$17:G$1017,Amortization!$A$17:$A$1017,$B491))</f>
        <v/>
      </c>
    </row>
    <row r="492" spans="2:5" hidden="1" x14ac:dyDescent="0.3">
      <c r="B492" s="1" t="str">
        <f t="shared" si="8"/>
        <v/>
      </c>
      <c r="C492" s="17" t="str">
        <f>IF($A492="","",SUMIFS(Amortization!E$17:E$1017,Amortization!$A$17:$A$1017,$B492))</f>
        <v/>
      </c>
      <c r="D492" s="17" t="str">
        <f>IF($A492="","",SUMIFS(Amortization!F$17:F$1017,Amortization!$A$17:$A$1017,$B492))</f>
        <v/>
      </c>
      <c r="E492" s="17" t="str">
        <f>IF($A492="","",SUMIFS(Amortization!G$17:G$1017,Amortization!$A$17:$A$1017,$B492))</f>
        <v/>
      </c>
    </row>
    <row r="493" spans="2:5" hidden="1" x14ac:dyDescent="0.3">
      <c r="B493" s="1" t="str">
        <f t="shared" si="8"/>
        <v/>
      </c>
      <c r="C493" s="17" t="str">
        <f>IF($A493="","",SUMIFS(Amortization!E$17:E$1017,Amortization!$A$17:$A$1017,$B493))</f>
        <v/>
      </c>
      <c r="D493" s="17" t="str">
        <f>IF($A493="","",SUMIFS(Amortization!F$17:F$1017,Amortization!$A$17:$A$1017,$B493))</f>
        <v/>
      </c>
      <c r="E493" s="17" t="str">
        <f>IF($A493="","",SUMIFS(Amortization!G$17:G$1017,Amortization!$A$17:$A$1017,$B493))</f>
        <v/>
      </c>
    </row>
    <row r="494" spans="2:5" hidden="1" x14ac:dyDescent="0.3">
      <c r="B494" s="1" t="str">
        <f t="shared" si="8"/>
        <v/>
      </c>
      <c r="C494" s="17" t="str">
        <f>IF($A494="","",SUMIFS(Amortization!E$17:E$1017,Amortization!$A$17:$A$1017,$B494))</f>
        <v/>
      </c>
      <c r="D494" s="17" t="str">
        <f>IF($A494="","",SUMIFS(Amortization!F$17:F$1017,Amortization!$A$17:$A$1017,$B494))</f>
        <v/>
      </c>
      <c r="E494" s="17" t="str">
        <f>IF($A494="","",SUMIFS(Amortization!G$17:G$1017,Amortization!$A$17:$A$1017,$B494))</f>
        <v/>
      </c>
    </row>
    <row r="495" spans="2:5" hidden="1" x14ac:dyDescent="0.3">
      <c r="B495" s="1" t="str">
        <f t="shared" si="8"/>
        <v/>
      </c>
      <c r="C495" s="17" t="str">
        <f>IF($A495="","",SUMIFS(Amortization!E$17:E$1017,Amortization!$A$17:$A$1017,$B495))</f>
        <v/>
      </c>
      <c r="D495" s="17" t="str">
        <f>IF($A495="","",SUMIFS(Amortization!F$17:F$1017,Amortization!$A$17:$A$1017,$B495))</f>
        <v/>
      </c>
      <c r="E495" s="17" t="str">
        <f>IF($A495="","",SUMIFS(Amortization!G$17:G$1017,Amortization!$A$17:$A$1017,$B495))</f>
        <v/>
      </c>
    </row>
    <row r="496" spans="2:5" hidden="1" x14ac:dyDescent="0.3">
      <c r="B496" s="1" t="str">
        <f t="shared" si="8"/>
        <v/>
      </c>
      <c r="C496" s="17" t="str">
        <f>IF($A496="","",SUMIFS(Amortization!E$17:E$1017,Amortization!$A$17:$A$1017,$B496))</f>
        <v/>
      </c>
      <c r="D496" s="17" t="str">
        <f>IF($A496="","",SUMIFS(Amortization!F$17:F$1017,Amortization!$A$17:$A$1017,$B496))</f>
        <v/>
      </c>
      <c r="E496" s="17" t="str">
        <f>IF($A496="","",SUMIFS(Amortization!G$17:G$1017,Amortization!$A$17:$A$1017,$B496))</f>
        <v/>
      </c>
    </row>
    <row r="497" spans="2:5" hidden="1" x14ac:dyDescent="0.3">
      <c r="B497" s="1" t="str">
        <f t="shared" si="8"/>
        <v/>
      </c>
      <c r="C497" s="17" t="str">
        <f>IF($A497="","",SUMIFS(Amortization!E$17:E$1017,Amortization!$A$17:$A$1017,$B497))</f>
        <v/>
      </c>
      <c r="D497" s="17" t="str">
        <f>IF($A497="","",SUMIFS(Amortization!F$17:F$1017,Amortization!$A$17:$A$1017,$B497))</f>
        <v/>
      </c>
      <c r="E497" s="17" t="str">
        <f>IF($A497="","",SUMIFS(Amortization!G$17:G$1017,Amortization!$A$17:$A$1017,$B497))</f>
        <v/>
      </c>
    </row>
    <row r="498" spans="2:5" hidden="1" x14ac:dyDescent="0.3">
      <c r="B498" s="1" t="str">
        <f t="shared" si="8"/>
        <v/>
      </c>
      <c r="C498" s="17" t="str">
        <f>IF($A498="","",SUMIFS(Amortization!E$17:E$1017,Amortization!$A$17:$A$1017,$B498))</f>
        <v/>
      </c>
      <c r="D498" s="17" t="str">
        <f>IF($A498="","",SUMIFS(Amortization!F$17:F$1017,Amortization!$A$17:$A$1017,$B498))</f>
        <v/>
      </c>
      <c r="E498" s="17" t="str">
        <f>IF($A498="","",SUMIFS(Amortization!G$17:G$1017,Amortization!$A$17:$A$1017,$B498))</f>
        <v/>
      </c>
    </row>
    <row r="499" spans="2:5" hidden="1" x14ac:dyDescent="0.3">
      <c r="B499" s="1" t="str">
        <f t="shared" si="8"/>
        <v/>
      </c>
      <c r="C499" s="17" t="str">
        <f>IF($A499="","",SUMIFS(Amortization!E$17:E$1017,Amortization!$A$17:$A$1017,$B499))</f>
        <v/>
      </c>
      <c r="D499" s="17" t="str">
        <f>IF($A499="","",SUMIFS(Amortization!F$17:F$1017,Amortization!$A$17:$A$1017,$B499))</f>
        <v/>
      </c>
      <c r="E499" s="17" t="str">
        <f>IF($A499="","",SUMIFS(Amortization!G$17:G$1017,Amortization!$A$17:$A$1017,$B499))</f>
        <v/>
      </c>
    </row>
    <row r="500" spans="2:5" hidden="1" x14ac:dyDescent="0.3">
      <c r="B500" s="1" t="str">
        <f t="shared" si="8"/>
        <v/>
      </c>
      <c r="C500" s="17" t="str">
        <f>IF($A500="","",SUMIFS(Amortization!E$17:E$1017,Amortization!$A$17:$A$1017,$B500))</f>
        <v/>
      </c>
      <c r="D500" s="17" t="str">
        <f>IF($A500="","",SUMIFS(Amortization!F$17:F$1017,Amortization!$A$17:$A$1017,$B500))</f>
        <v/>
      </c>
      <c r="E500" s="17" t="str">
        <f>IF($A500="","",SUMIFS(Amortization!G$17:G$1017,Amortization!$A$17:$A$1017,$B500))</f>
        <v/>
      </c>
    </row>
    <row r="501" spans="2:5" hidden="1" x14ac:dyDescent="0.3">
      <c r="B501" s="1" t="str">
        <f t="shared" si="8"/>
        <v/>
      </c>
      <c r="C501" s="17" t="str">
        <f>IF($A501="","",SUMIFS(Amortization!E$17:E$1017,Amortization!$A$17:$A$1017,$B501))</f>
        <v/>
      </c>
      <c r="D501" s="17" t="str">
        <f>IF($A501="","",SUMIFS(Amortization!F$17:F$1017,Amortization!$A$17:$A$1017,$B501))</f>
        <v/>
      </c>
      <c r="E501" s="17" t="str">
        <f>IF($A501="","",SUMIFS(Amortization!G$17:G$1017,Amortization!$A$17:$A$1017,$B501))</f>
        <v/>
      </c>
    </row>
    <row r="502" spans="2:5" hidden="1" x14ac:dyDescent="0.3">
      <c r="B502" s="1" t="str">
        <f t="shared" si="8"/>
        <v/>
      </c>
      <c r="C502" s="17" t="str">
        <f>IF($A502="","",SUMIFS(Amortization!E$17:E$1017,Amortization!$A$17:$A$1017,$B502))</f>
        <v/>
      </c>
      <c r="D502" s="17" t="str">
        <f>IF($A502="","",SUMIFS(Amortization!F$17:F$1017,Amortization!$A$17:$A$1017,$B502))</f>
        <v/>
      </c>
      <c r="E502" s="17" t="str">
        <f>IF($A502="","",SUMIFS(Amortization!G$17:G$1017,Amortization!$A$17:$A$1017,$B502))</f>
        <v/>
      </c>
    </row>
    <row r="503" spans="2:5" hidden="1" x14ac:dyDescent="0.3">
      <c r="B503" s="1" t="str">
        <f t="shared" si="8"/>
        <v/>
      </c>
      <c r="C503" s="17" t="str">
        <f>IF($A503="","",SUMIFS(Amortization!E$17:E$1017,Amortization!$A$17:$A$1017,$B503))</f>
        <v/>
      </c>
      <c r="D503" s="17" t="str">
        <f>IF($A503="","",SUMIFS(Amortization!F$17:F$1017,Amortization!$A$17:$A$1017,$B503))</f>
        <v/>
      </c>
      <c r="E503" s="17" t="str">
        <f>IF($A503="","",SUMIFS(Amortization!G$17:G$1017,Amortization!$A$17:$A$1017,$B503))</f>
        <v/>
      </c>
    </row>
    <row r="504" spans="2:5" hidden="1" x14ac:dyDescent="0.3">
      <c r="B504" s="1" t="str">
        <f t="shared" si="8"/>
        <v/>
      </c>
      <c r="C504" s="17" t="str">
        <f>IF($A504="","",SUMIFS(Amortization!E$17:E$1017,Amortization!$A$17:$A$1017,$B504))</f>
        <v/>
      </c>
      <c r="D504" s="17" t="str">
        <f>IF($A504="","",SUMIFS(Amortization!F$17:F$1017,Amortization!$A$17:$A$1017,$B504))</f>
        <v/>
      </c>
      <c r="E504" s="17" t="str">
        <f>IF($A504="","",SUMIFS(Amortization!G$17:G$1017,Amortization!$A$17:$A$1017,$B504))</f>
        <v/>
      </c>
    </row>
    <row r="505" spans="2:5" hidden="1" x14ac:dyDescent="0.3">
      <c r="B505" s="1" t="str">
        <f t="shared" si="8"/>
        <v/>
      </c>
      <c r="C505" s="17" t="str">
        <f>IF($A505="","",SUMIFS(Amortization!E$17:E$1017,Amortization!$A$17:$A$1017,$B505))</f>
        <v/>
      </c>
      <c r="D505" s="17" t="str">
        <f>IF($A505="","",SUMIFS(Amortization!F$17:F$1017,Amortization!$A$17:$A$1017,$B505))</f>
        <v/>
      </c>
      <c r="E505" s="17" t="str">
        <f>IF($A505="","",SUMIFS(Amortization!G$17:G$1017,Amortization!$A$17:$A$1017,$B505))</f>
        <v/>
      </c>
    </row>
    <row r="506" spans="2:5" hidden="1" x14ac:dyDescent="0.3">
      <c r="B506" s="1" t="str">
        <f t="shared" si="8"/>
        <v/>
      </c>
      <c r="C506" s="17" t="str">
        <f>IF($A506="","",SUMIFS(Amortization!E$17:E$1017,Amortization!$A$17:$A$1017,$B506))</f>
        <v/>
      </c>
      <c r="D506" s="17" t="str">
        <f>IF($A506="","",SUMIFS(Amortization!F$17:F$1017,Amortization!$A$17:$A$1017,$B506))</f>
        <v/>
      </c>
      <c r="E506" s="17" t="str">
        <f>IF($A506="","",SUMIFS(Amortization!G$17:G$1017,Amortization!$A$17:$A$1017,$B506))</f>
        <v/>
      </c>
    </row>
    <row r="507" spans="2:5" hidden="1" x14ac:dyDescent="0.3">
      <c r="B507" s="1" t="str">
        <f t="shared" si="8"/>
        <v/>
      </c>
      <c r="C507" s="17" t="str">
        <f>IF($A507="","",SUMIFS(Amortization!E$17:E$1017,Amortization!$A$17:$A$1017,$B507))</f>
        <v/>
      </c>
      <c r="D507" s="17" t="str">
        <f>IF($A507="","",SUMIFS(Amortization!F$17:F$1017,Amortization!$A$17:$A$1017,$B507))</f>
        <v/>
      </c>
      <c r="E507" s="17" t="str">
        <f>IF($A507="","",SUMIFS(Amortization!G$17:G$1017,Amortization!$A$17:$A$1017,$B507))</f>
        <v/>
      </c>
    </row>
    <row r="508" spans="2:5" hidden="1" x14ac:dyDescent="0.3">
      <c r="B508" s="1" t="str">
        <f t="shared" si="8"/>
        <v/>
      </c>
      <c r="C508" s="17" t="str">
        <f>IF($A508="","",SUMIFS(Amortization!E$17:E$1017,Amortization!$A$17:$A$1017,$B508))</f>
        <v/>
      </c>
      <c r="D508" s="17" t="str">
        <f>IF($A508="","",SUMIFS(Amortization!F$17:F$1017,Amortization!$A$17:$A$1017,$B508))</f>
        <v/>
      </c>
      <c r="E508" s="17" t="str">
        <f>IF($A508="","",SUMIFS(Amortization!G$17:G$1017,Amortization!$A$17:$A$1017,$B508))</f>
        <v/>
      </c>
    </row>
    <row r="509" spans="2:5" hidden="1" x14ac:dyDescent="0.3">
      <c r="B509" s="1" t="str">
        <f t="shared" si="8"/>
        <v/>
      </c>
      <c r="C509" s="17" t="str">
        <f>IF($A509="","",SUMIFS(Amortization!E$17:E$1017,Amortization!$A$17:$A$1017,$B509))</f>
        <v/>
      </c>
      <c r="D509" s="17" t="str">
        <f>IF($A509="","",SUMIFS(Amortization!F$17:F$1017,Amortization!$A$17:$A$1017,$B509))</f>
        <v/>
      </c>
      <c r="E509" s="17" t="str">
        <f>IF($A509="","",SUMIFS(Amortization!G$17:G$1017,Amortization!$A$17:$A$1017,$B509))</f>
        <v/>
      </c>
    </row>
    <row r="510" spans="2:5" hidden="1" x14ac:dyDescent="0.3">
      <c r="B510" s="1" t="str">
        <f t="shared" si="8"/>
        <v/>
      </c>
      <c r="C510" s="17" t="str">
        <f>IF($A510="","",SUMIFS(Amortization!E$17:E$1017,Amortization!$A$17:$A$1017,$B510))</f>
        <v/>
      </c>
      <c r="D510" s="17" t="str">
        <f>IF($A510="","",SUMIFS(Amortization!F$17:F$1017,Amortization!$A$17:$A$1017,$B510))</f>
        <v/>
      </c>
      <c r="E510" s="17" t="str">
        <f>IF($A510="","",SUMIFS(Amortization!G$17:G$1017,Amortization!$A$17:$A$1017,$B510))</f>
        <v/>
      </c>
    </row>
    <row r="511" spans="2:5" hidden="1" x14ac:dyDescent="0.3">
      <c r="B511" s="1" t="str">
        <f t="shared" si="8"/>
        <v/>
      </c>
      <c r="C511" s="17" t="str">
        <f>IF($A511="","",SUMIFS(Amortization!E$17:E$1017,Amortization!$A$17:$A$1017,$B511))</f>
        <v/>
      </c>
      <c r="D511" s="17" t="str">
        <f>IF($A511="","",SUMIFS(Amortization!F$17:F$1017,Amortization!$A$17:$A$1017,$B511))</f>
        <v/>
      </c>
      <c r="E511" s="17" t="str">
        <f>IF($A511="","",SUMIFS(Amortization!G$17:G$1017,Amortization!$A$17:$A$1017,$B511))</f>
        <v/>
      </c>
    </row>
    <row r="512" spans="2:5" hidden="1" x14ac:dyDescent="0.3">
      <c r="B512" s="1" t="str">
        <f t="shared" si="8"/>
        <v/>
      </c>
      <c r="C512" s="17" t="str">
        <f>IF($A512="","",SUMIFS(Amortization!E$17:E$1017,Amortization!$A$17:$A$1017,$B512))</f>
        <v/>
      </c>
      <c r="D512" s="17" t="str">
        <f>IF($A512="","",SUMIFS(Amortization!F$17:F$1017,Amortization!$A$17:$A$1017,$B512))</f>
        <v/>
      </c>
      <c r="E512" s="17" t="str">
        <f>IF($A512="","",SUMIFS(Amortization!G$17:G$1017,Amortization!$A$17:$A$1017,$B512))</f>
        <v/>
      </c>
    </row>
    <row r="513" spans="2:5" hidden="1" x14ac:dyDescent="0.3">
      <c r="B513" s="1" t="str">
        <f t="shared" si="8"/>
        <v/>
      </c>
      <c r="C513" s="17" t="str">
        <f>IF($A513="","",SUMIFS(Amortization!E$17:E$1017,Amortization!$A$17:$A$1017,$B513))</f>
        <v/>
      </c>
      <c r="D513" s="17" t="str">
        <f>IF($A513="","",SUMIFS(Amortization!F$17:F$1017,Amortization!$A$17:$A$1017,$B513))</f>
        <v/>
      </c>
      <c r="E513" s="17" t="str">
        <f>IF($A513="","",SUMIFS(Amortization!G$17:G$1017,Amortization!$A$17:$A$1017,$B513))</f>
        <v/>
      </c>
    </row>
    <row r="514" spans="2:5" hidden="1" x14ac:dyDescent="0.3">
      <c r="B514" s="1" t="str">
        <f t="shared" si="8"/>
        <v/>
      </c>
      <c r="C514" s="17" t="str">
        <f>IF($A514="","",SUMIFS(Amortization!E$17:E$1017,Amortization!$A$17:$A$1017,$B514))</f>
        <v/>
      </c>
      <c r="D514" s="17" t="str">
        <f>IF($A514="","",SUMIFS(Amortization!F$17:F$1017,Amortization!$A$17:$A$1017,$B514))</f>
        <v/>
      </c>
      <c r="E514" s="17" t="str">
        <f>IF($A514="","",SUMIFS(Amortization!G$17:G$1017,Amortization!$A$17:$A$1017,$B514))</f>
        <v/>
      </c>
    </row>
    <row r="515" spans="2:5" hidden="1" x14ac:dyDescent="0.3">
      <c r="B515" s="1" t="str">
        <f t="shared" si="8"/>
        <v/>
      </c>
      <c r="C515" s="17" t="str">
        <f>IF($A515="","",SUMIFS(Amortization!E$17:E$1017,Amortization!$A$17:$A$1017,$B515))</f>
        <v/>
      </c>
      <c r="D515" s="17" t="str">
        <f>IF($A515="","",SUMIFS(Amortization!F$17:F$1017,Amortization!$A$17:$A$1017,$B515))</f>
        <v/>
      </c>
      <c r="E515" s="17" t="str">
        <f>IF($A515="","",SUMIFS(Amortization!G$17:G$1017,Amortization!$A$17:$A$1017,$B515))</f>
        <v/>
      </c>
    </row>
    <row r="516" spans="2:5" hidden="1" x14ac:dyDescent="0.3">
      <c r="B516" s="1" t="str">
        <f t="shared" si="8"/>
        <v/>
      </c>
      <c r="C516" s="17" t="str">
        <f>IF($A516="","",SUMIFS(Amortization!E$17:E$1017,Amortization!$A$17:$A$1017,$B516))</f>
        <v/>
      </c>
      <c r="D516" s="17" t="str">
        <f>IF($A516="","",SUMIFS(Amortization!F$17:F$1017,Amortization!$A$17:$A$1017,$B516))</f>
        <v/>
      </c>
      <c r="E516" s="17" t="str">
        <f>IF($A516="","",SUMIFS(Amortization!G$17:G$1017,Amortization!$A$17:$A$1017,$B516))</f>
        <v/>
      </c>
    </row>
    <row r="517" spans="2:5" hidden="1" x14ac:dyDescent="0.3">
      <c r="B517" s="1" t="str">
        <f t="shared" si="8"/>
        <v/>
      </c>
      <c r="C517" s="17" t="str">
        <f>IF($A517="","",SUMIFS(Amortization!E$17:E$1017,Amortization!$A$17:$A$1017,$B517))</f>
        <v/>
      </c>
      <c r="D517" s="17" t="str">
        <f>IF($A517="","",SUMIFS(Amortization!F$17:F$1017,Amortization!$A$17:$A$1017,$B517))</f>
        <v/>
      </c>
      <c r="E517" s="17" t="str">
        <f>IF($A517="","",SUMIFS(Amortization!G$17:G$1017,Amortization!$A$17:$A$1017,$B517))</f>
        <v/>
      </c>
    </row>
    <row r="518" spans="2:5" hidden="1" x14ac:dyDescent="0.3">
      <c r="B518" s="1" t="str">
        <f t="shared" si="8"/>
        <v/>
      </c>
      <c r="C518" s="17" t="str">
        <f>IF($A518="","",SUMIFS(Amortization!E$17:E$1017,Amortization!$A$17:$A$1017,$B518))</f>
        <v/>
      </c>
      <c r="D518" s="17" t="str">
        <f>IF($A518="","",SUMIFS(Amortization!F$17:F$1017,Amortization!$A$17:$A$1017,$B518))</f>
        <v/>
      </c>
      <c r="E518" s="17" t="str">
        <f>IF($A518="","",SUMIFS(Amortization!G$17:G$1017,Amortization!$A$17:$A$1017,$B518))</f>
        <v/>
      </c>
    </row>
    <row r="519" spans="2:5" hidden="1" x14ac:dyDescent="0.3">
      <c r="B519" s="1" t="str">
        <f t="shared" si="8"/>
        <v/>
      </c>
      <c r="C519" s="17" t="str">
        <f>IF($A519="","",SUMIFS(Amortization!E$17:E$1017,Amortization!$A$17:$A$1017,$B519))</f>
        <v/>
      </c>
      <c r="D519" s="17" t="str">
        <f>IF($A519="","",SUMIFS(Amortization!F$17:F$1017,Amortization!$A$17:$A$1017,$B519))</f>
        <v/>
      </c>
      <c r="E519" s="17" t="str">
        <f>IF($A519="","",SUMIFS(Amortization!G$17:G$1017,Amortization!$A$17:$A$1017,$B519))</f>
        <v/>
      </c>
    </row>
    <row r="520" spans="2:5" hidden="1" x14ac:dyDescent="0.3">
      <c r="B520" s="1" t="str">
        <f t="shared" si="8"/>
        <v/>
      </c>
      <c r="C520" s="17" t="str">
        <f>IF($A520="","",SUMIFS(Amortization!E$17:E$1017,Amortization!$A$17:$A$1017,$B520))</f>
        <v/>
      </c>
      <c r="D520" s="17" t="str">
        <f>IF($A520="","",SUMIFS(Amortization!F$17:F$1017,Amortization!$A$17:$A$1017,$B520))</f>
        <v/>
      </c>
      <c r="E520" s="17" t="str">
        <f>IF($A520="","",SUMIFS(Amortization!G$17:G$1017,Amortization!$A$17:$A$1017,$B520))</f>
        <v/>
      </c>
    </row>
    <row r="521" spans="2:5" hidden="1" x14ac:dyDescent="0.3">
      <c r="B521" s="1" t="str">
        <f t="shared" si="8"/>
        <v/>
      </c>
      <c r="C521" s="17" t="str">
        <f>IF($A521="","",SUMIFS(Amortization!E$17:E$1017,Amortization!$A$17:$A$1017,$B521))</f>
        <v/>
      </c>
      <c r="D521" s="17" t="str">
        <f>IF($A521="","",SUMIFS(Amortization!F$17:F$1017,Amortization!$A$17:$A$1017,$B521))</f>
        <v/>
      </c>
      <c r="E521" s="17" t="str">
        <f>IF($A521="","",SUMIFS(Amortization!G$17:G$1017,Amortization!$A$17:$A$1017,$B521))</f>
        <v/>
      </c>
    </row>
    <row r="522" spans="2:5" hidden="1" x14ac:dyDescent="0.3">
      <c r="B522" s="1" t="str">
        <f t="shared" si="8"/>
        <v/>
      </c>
      <c r="C522" s="17" t="str">
        <f>IF($A522="","",SUMIFS(Amortization!E$17:E$1017,Amortization!$A$17:$A$1017,$B522))</f>
        <v/>
      </c>
      <c r="D522" s="17" t="str">
        <f>IF($A522="","",SUMIFS(Amortization!F$17:F$1017,Amortization!$A$17:$A$1017,$B522))</f>
        <v/>
      </c>
      <c r="E522" s="17" t="str">
        <f>IF($A522="","",SUMIFS(Amortization!G$17:G$1017,Amortization!$A$17:$A$1017,$B522))</f>
        <v/>
      </c>
    </row>
    <row r="523" spans="2:5" hidden="1" x14ac:dyDescent="0.3">
      <c r="B523" s="1" t="str">
        <f t="shared" si="8"/>
        <v/>
      </c>
      <c r="C523" s="17" t="str">
        <f>IF($A523="","",SUMIFS(Amortization!E$17:E$1017,Amortization!$A$17:$A$1017,$B523))</f>
        <v/>
      </c>
      <c r="D523" s="17" t="str">
        <f>IF($A523="","",SUMIFS(Amortization!F$17:F$1017,Amortization!$A$17:$A$1017,$B523))</f>
        <v/>
      </c>
      <c r="E523" s="17" t="str">
        <f>IF($A523="","",SUMIFS(Amortization!G$17:G$1017,Amortization!$A$17:$A$1017,$B523))</f>
        <v/>
      </c>
    </row>
    <row r="524" spans="2:5" hidden="1" x14ac:dyDescent="0.3">
      <c r="B524" s="1" t="str">
        <f t="shared" si="8"/>
        <v/>
      </c>
      <c r="C524" s="17" t="str">
        <f>IF($A524="","",SUMIFS(Amortization!E$17:E$1017,Amortization!$A$17:$A$1017,$B524))</f>
        <v/>
      </c>
      <c r="D524" s="17" t="str">
        <f>IF($A524="","",SUMIFS(Amortization!F$17:F$1017,Amortization!$A$17:$A$1017,$B524))</f>
        <v/>
      </c>
      <c r="E524" s="17" t="str">
        <f>IF($A524="","",SUMIFS(Amortization!G$17:G$1017,Amortization!$A$17:$A$1017,$B524))</f>
        <v/>
      </c>
    </row>
    <row r="525" spans="2:5" hidden="1" x14ac:dyDescent="0.3">
      <c r="B525" s="1" t="str">
        <f t="shared" si="8"/>
        <v/>
      </c>
      <c r="C525" s="17" t="str">
        <f>IF($A525="","",SUMIFS(Amortization!E$17:E$1017,Amortization!$A$17:$A$1017,$B525))</f>
        <v/>
      </c>
      <c r="D525" s="17" t="str">
        <f>IF($A525="","",SUMIFS(Amortization!F$17:F$1017,Amortization!$A$17:$A$1017,$B525))</f>
        <v/>
      </c>
      <c r="E525" s="17" t="str">
        <f>IF($A525="","",SUMIFS(Amortization!G$17:G$1017,Amortization!$A$17:$A$1017,$B525))</f>
        <v/>
      </c>
    </row>
    <row r="526" spans="2:5" hidden="1" x14ac:dyDescent="0.3">
      <c r="B526" s="1" t="str">
        <f t="shared" si="8"/>
        <v/>
      </c>
      <c r="C526" s="17" t="str">
        <f>IF($A526="","",SUMIFS(Amortization!E$17:E$1017,Amortization!$A$17:$A$1017,$B526))</f>
        <v/>
      </c>
      <c r="D526" s="17" t="str">
        <f>IF($A526="","",SUMIFS(Amortization!F$17:F$1017,Amortization!$A$17:$A$1017,$B526))</f>
        <v/>
      </c>
      <c r="E526" s="17" t="str">
        <f>IF($A526="","",SUMIFS(Amortization!G$17:G$1017,Amortization!$A$17:$A$1017,$B526))</f>
        <v/>
      </c>
    </row>
    <row r="527" spans="2:5" hidden="1" x14ac:dyDescent="0.3">
      <c r="B527" s="1" t="str">
        <f t="shared" si="8"/>
        <v/>
      </c>
      <c r="C527" s="17" t="str">
        <f>IF($A527="","",SUMIFS(Amortization!E$17:E$1017,Amortization!$A$17:$A$1017,$B527))</f>
        <v/>
      </c>
      <c r="D527" s="17" t="str">
        <f>IF($A527="","",SUMIFS(Amortization!F$17:F$1017,Amortization!$A$17:$A$1017,$B527))</f>
        <v/>
      </c>
      <c r="E527" s="17" t="str">
        <f>IF($A527="","",SUMIFS(Amortization!G$17:G$1017,Amortization!$A$17:$A$1017,$B527))</f>
        <v/>
      </c>
    </row>
    <row r="528" spans="2:5" hidden="1" x14ac:dyDescent="0.3">
      <c r="B528" s="1" t="str">
        <f t="shared" si="8"/>
        <v/>
      </c>
      <c r="C528" s="17" t="str">
        <f>IF($A528="","",SUMIFS(Amortization!E$17:E$1017,Amortization!$A$17:$A$1017,$B528))</f>
        <v/>
      </c>
      <c r="D528" s="17" t="str">
        <f>IF($A528="","",SUMIFS(Amortization!F$17:F$1017,Amortization!$A$17:$A$1017,$B528))</f>
        <v/>
      </c>
      <c r="E528" s="17" t="str">
        <f>IF($A528="","",SUMIFS(Amortization!G$17:G$1017,Amortization!$A$17:$A$1017,$B528))</f>
        <v/>
      </c>
    </row>
    <row r="529" spans="2:5" hidden="1" x14ac:dyDescent="0.3">
      <c r="B529" s="1" t="str">
        <f t="shared" si="8"/>
        <v/>
      </c>
      <c r="C529" s="17" t="str">
        <f>IF($A529="","",SUMIFS(Amortization!E$17:E$1017,Amortization!$A$17:$A$1017,$B529))</f>
        <v/>
      </c>
      <c r="D529" s="17" t="str">
        <f>IF($A529="","",SUMIFS(Amortization!F$17:F$1017,Amortization!$A$17:$A$1017,$B529))</f>
        <v/>
      </c>
      <c r="E529" s="17" t="str">
        <f>IF($A529="","",SUMIFS(Amortization!G$17:G$1017,Amortization!$A$17:$A$1017,$B529))</f>
        <v/>
      </c>
    </row>
    <row r="530" spans="2:5" hidden="1" x14ac:dyDescent="0.3">
      <c r="B530" s="1" t="str">
        <f t="shared" si="8"/>
        <v/>
      </c>
      <c r="C530" s="17" t="str">
        <f>IF($A530="","",SUMIFS(Amortization!E$17:E$1017,Amortization!$A$17:$A$1017,$B530))</f>
        <v/>
      </c>
      <c r="D530" s="17" t="str">
        <f>IF($A530="","",SUMIFS(Amortization!F$17:F$1017,Amortization!$A$17:$A$1017,$B530))</f>
        <v/>
      </c>
      <c r="E530" s="17" t="str">
        <f>IF($A530="","",SUMIFS(Amortization!G$17:G$1017,Amortization!$A$17:$A$1017,$B530))</f>
        <v/>
      </c>
    </row>
    <row r="531" spans="2:5" hidden="1" x14ac:dyDescent="0.3">
      <c r="B531" s="1" t="str">
        <f t="shared" ref="B531:B594" si="9">IF(A531="","",B530+1)</f>
        <v/>
      </c>
      <c r="C531" s="17" t="str">
        <f>IF($A531="","",SUMIFS(Amortization!E$17:E$1017,Amortization!$A$17:$A$1017,$B531))</f>
        <v/>
      </c>
      <c r="D531" s="17" t="str">
        <f>IF($A531="","",SUMIFS(Amortization!F$17:F$1017,Amortization!$A$17:$A$1017,$B531))</f>
        <v/>
      </c>
      <c r="E531" s="17" t="str">
        <f>IF($A531="","",SUMIFS(Amortization!G$17:G$1017,Amortization!$A$17:$A$1017,$B531))</f>
        <v/>
      </c>
    </row>
    <row r="532" spans="2:5" hidden="1" x14ac:dyDescent="0.3">
      <c r="B532" s="1" t="str">
        <f t="shared" si="9"/>
        <v/>
      </c>
      <c r="C532" s="17" t="str">
        <f>IF($A532="","",SUMIFS(Amortization!E$17:E$1017,Amortization!$A$17:$A$1017,$B532))</f>
        <v/>
      </c>
      <c r="D532" s="17" t="str">
        <f>IF($A532="","",SUMIFS(Amortization!F$17:F$1017,Amortization!$A$17:$A$1017,$B532))</f>
        <v/>
      </c>
      <c r="E532" s="17" t="str">
        <f>IF($A532="","",SUMIFS(Amortization!G$17:G$1017,Amortization!$A$17:$A$1017,$B532))</f>
        <v/>
      </c>
    </row>
    <row r="533" spans="2:5" hidden="1" x14ac:dyDescent="0.3">
      <c r="B533" s="1" t="str">
        <f t="shared" si="9"/>
        <v/>
      </c>
      <c r="C533" s="17" t="str">
        <f>IF($A533="","",SUMIFS(Amortization!E$17:E$1017,Amortization!$A$17:$A$1017,$B533))</f>
        <v/>
      </c>
      <c r="D533" s="17" t="str">
        <f>IF($A533="","",SUMIFS(Amortization!F$17:F$1017,Amortization!$A$17:$A$1017,$B533))</f>
        <v/>
      </c>
      <c r="E533" s="17" t="str">
        <f>IF($A533="","",SUMIFS(Amortization!G$17:G$1017,Amortization!$A$17:$A$1017,$B533))</f>
        <v/>
      </c>
    </row>
    <row r="534" spans="2:5" hidden="1" x14ac:dyDescent="0.3">
      <c r="B534" s="1" t="str">
        <f t="shared" si="9"/>
        <v/>
      </c>
      <c r="C534" s="17" t="str">
        <f>IF($A534="","",SUMIFS(Amortization!E$17:E$1017,Amortization!$A$17:$A$1017,$B534))</f>
        <v/>
      </c>
      <c r="D534" s="17" t="str">
        <f>IF($A534="","",SUMIFS(Amortization!F$17:F$1017,Amortization!$A$17:$A$1017,$B534))</f>
        <v/>
      </c>
      <c r="E534" s="17" t="str">
        <f>IF($A534="","",SUMIFS(Amortization!G$17:G$1017,Amortization!$A$17:$A$1017,$B534))</f>
        <v/>
      </c>
    </row>
    <row r="535" spans="2:5" hidden="1" x14ac:dyDescent="0.3">
      <c r="B535" s="1" t="str">
        <f t="shared" si="9"/>
        <v/>
      </c>
      <c r="C535" s="17" t="str">
        <f>IF($A535="","",SUMIFS(Amortization!E$17:E$1017,Amortization!$A$17:$A$1017,$B535))</f>
        <v/>
      </c>
      <c r="D535" s="17" t="str">
        <f>IF($A535="","",SUMIFS(Amortization!F$17:F$1017,Amortization!$A$17:$A$1017,$B535))</f>
        <v/>
      </c>
      <c r="E535" s="17" t="str">
        <f>IF($A535="","",SUMIFS(Amortization!G$17:G$1017,Amortization!$A$17:$A$1017,$B535))</f>
        <v/>
      </c>
    </row>
    <row r="536" spans="2:5" hidden="1" x14ac:dyDescent="0.3">
      <c r="B536" s="1" t="str">
        <f t="shared" si="9"/>
        <v/>
      </c>
      <c r="C536" s="17" t="str">
        <f>IF($A536="","",SUMIFS(Amortization!E$17:E$1017,Amortization!$A$17:$A$1017,$B536))</f>
        <v/>
      </c>
      <c r="D536" s="17" t="str">
        <f>IF($A536="","",SUMIFS(Amortization!F$17:F$1017,Amortization!$A$17:$A$1017,$B536))</f>
        <v/>
      </c>
      <c r="E536" s="17" t="str">
        <f>IF($A536="","",SUMIFS(Amortization!G$17:G$1017,Amortization!$A$17:$A$1017,$B536))</f>
        <v/>
      </c>
    </row>
    <row r="537" spans="2:5" hidden="1" x14ac:dyDescent="0.3">
      <c r="B537" s="1" t="str">
        <f t="shared" si="9"/>
        <v/>
      </c>
      <c r="C537" s="17" t="str">
        <f>IF($A537="","",SUMIFS(Amortization!E$17:E$1017,Amortization!$A$17:$A$1017,$B537))</f>
        <v/>
      </c>
      <c r="D537" s="17" t="str">
        <f>IF($A537="","",SUMIFS(Amortization!F$17:F$1017,Amortization!$A$17:$A$1017,$B537))</f>
        <v/>
      </c>
      <c r="E537" s="17" t="str">
        <f>IF($A537="","",SUMIFS(Amortization!G$17:G$1017,Amortization!$A$17:$A$1017,$B537))</f>
        <v/>
      </c>
    </row>
    <row r="538" spans="2:5" hidden="1" x14ac:dyDescent="0.3">
      <c r="B538" s="1" t="str">
        <f t="shared" si="9"/>
        <v/>
      </c>
      <c r="C538" s="17" t="str">
        <f>IF($A538="","",SUMIFS(Amortization!E$17:E$1017,Amortization!$A$17:$A$1017,$B538))</f>
        <v/>
      </c>
      <c r="D538" s="17" t="str">
        <f>IF($A538="","",SUMIFS(Amortization!F$17:F$1017,Amortization!$A$17:$A$1017,$B538))</f>
        <v/>
      </c>
      <c r="E538" s="17" t="str">
        <f>IF($A538="","",SUMIFS(Amortization!G$17:G$1017,Amortization!$A$17:$A$1017,$B538))</f>
        <v/>
      </c>
    </row>
    <row r="539" spans="2:5" hidden="1" x14ac:dyDescent="0.3">
      <c r="B539" s="1" t="str">
        <f t="shared" si="9"/>
        <v/>
      </c>
      <c r="C539" s="17" t="str">
        <f>IF($A539="","",SUMIFS(Amortization!E$17:E$1017,Amortization!$A$17:$A$1017,$B539))</f>
        <v/>
      </c>
      <c r="D539" s="17" t="str">
        <f>IF($A539="","",SUMIFS(Amortization!F$17:F$1017,Amortization!$A$17:$A$1017,$B539))</f>
        <v/>
      </c>
      <c r="E539" s="17" t="str">
        <f>IF($A539="","",SUMIFS(Amortization!G$17:G$1017,Amortization!$A$17:$A$1017,$B539))</f>
        <v/>
      </c>
    </row>
    <row r="540" spans="2:5" hidden="1" x14ac:dyDescent="0.3">
      <c r="B540" s="1" t="str">
        <f t="shared" si="9"/>
        <v/>
      </c>
      <c r="C540" s="17" t="str">
        <f>IF($A540="","",SUMIFS(Amortization!E$17:E$1017,Amortization!$A$17:$A$1017,$B540))</f>
        <v/>
      </c>
      <c r="D540" s="17" t="str">
        <f>IF($A540="","",SUMIFS(Amortization!F$17:F$1017,Amortization!$A$17:$A$1017,$B540))</f>
        <v/>
      </c>
      <c r="E540" s="17" t="str">
        <f>IF($A540="","",SUMIFS(Amortization!G$17:G$1017,Amortization!$A$17:$A$1017,$B540))</f>
        <v/>
      </c>
    </row>
    <row r="541" spans="2:5" hidden="1" x14ac:dyDescent="0.3">
      <c r="B541" s="1" t="str">
        <f t="shared" si="9"/>
        <v/>
      </c>
      <c r="C541" s="17" t="str">
        <f>IF($A541="","",SUMIFS(Amortization!E$17:E$1017,Amortization!$A$17:$A$1017,$B541))</f>
        <v/>
      </c>
      <c r="D541" s="17" t="str">
        <f>IF($A541="","",SUMIFS(Amortization!F$17:F$1017,Amortization!$A$17:$A$1017,$B541))</f>
        <v/>
      </c>
      <c r="E541" s="17" t="str">
        <f>IF($A541="","",SUMIFS(Amortization!G$17:G$1017,Amortization!$A$17:$A$1017,$B541))</f>
        <v/>
      </c>
    </row>
    <row r="542" spans="2:5" hidden="1" x14ac:dyDescent="0.3">
      <c r="B542" s="1" t="str">
        <f t="shared" si="9"/>
        <v/>
      </c>
      <c r="C542" s="17" t="str">
        <f>IF($A542="","",SUMIFS(Amortization!E$17:E$1017,Amortization!$A$17:$A$1017,$B542))</f>
        <v/>
      </c>
      <c r="D542" s="17" t="str">
        <f>IF($A542="","",SUMIFS(Amortization!F$17:F$1017,Amortization!$A$17:$A$1017,$B542))</f>
        <v/>
      </c>
      <c r="E542" s="17" t="str">
        <f>IF($A542="","",SUMIFS(Amortization!G$17:G$1017,Amortization!$A$17:$A$1017,$B542))</f>
        <v/>
      </c>
    </row>
    <row r="543" spans="2:5" hidden="1" x14ac:dyDescent="0.3">
      <c r="B543" s="1" t="str">
        <f t="shared" si="9"/>
        <v/>
      </c>
      <c r="C543" s="17" t="str">
        <f>IF($A543="","",SUMIFS(Amortization!E$17:E$1017,Amortization!$A$17:$A$1017,$B543))</f>
        <v/>
      </c>
      <c r="D543" s="17" t="str">
        <f>IF($A543="","",SUMIFS(Amortization!F$17:F$1017,Amortization!$A$17:$A$1017,$B543))</f>
        <v/>
      </c>
      <c r="E543" s="17" t="str">
        <f>IF($A543="","",SUMIFS(Amortization!G$17:G$1017,Amortization!$A$17:$A$1017,$B543))</f>
        <v/>
      </c>
    </row>
    <row r="544" spans="2:5" hidden="1" x14ac:dyDescent="0.3">
      <c r="B544" s="1" t="str">
        <f t="shared" si="9"/>
        <v/>
      </c>
      <c r="C544" s="17" t="str">
        <f>IF($A544="","",SUMIFS(Amortization!E$17:E$1017,Amortization!$A$17:$A$1017,$B544))</f>
        <v/>
      </c>
      <c r="D544" s="17" t="str">
        <f>IF($A544="","",SUMIFS(Amortization!F$17:F$1017,Amortization!$A$17:$A$1017,$B544))</f>
        <v/>
      </c>
      <c r="E544" s="17" t="str">
        <f>IF($A544="","",SUMIFS(Amortization!G$17:G$1017,Amortization!$A$17:$A$1017,$B544))</f>
        <v/>
      </c>
    </row>
    <row r="545" spans="2:5" hidden="1" x14ac:dyDescent="0.3">
      <c r="B545" s="1" t="str">
        <f t="shared" si="9"/>
        <v/>
      </c>
      <c r="C545" s="17" t="str">
        <f>IF($A545="","",SUMIFS(Amortization!E$17:E$1017,Amortization!$A$17:$A$1017,$B545))</f>
        <v/>
      </c>
      <c r="D545" s="17" t="str">
        <f>IF($A545="","",SUMIFS(Amortization!F$17:F$1017,Amortization!$A$17:$A$1017,$B545))</f>
        <v/>
      </c>
      <c r="E545" s="17" t="str">
        <f>IF($A545="","",SUMIFS(Amortization!G$17:G$1017,Amortization!$A$17:$A$1017,$B545))</f>
        <v/>
      </c>
    </row>
    <row r="546" spans="2:5" hidden="1" x14ac:dyDescent="0.3">
      <c r="B546" s="1" t="str">
        <f t="shared" si="9"/>
        <v/>
      </c>
      <c r="C546" s="17" t="str">
        <f>IF($A546="","",SUMIFS(Amortization!E$17:E$1017,Amortization!$A$17:$A$1017,$B546))</f>
        <v/>
      </c>
      <c r="D546" s="17" t="str">
        <f>IF($A546="","",SUMIFS(Amortization!F$17:F$1017,Amortization!$A$17:$A$1017,$B546))</f>
        <v/>
      </c>
      <c r="E546" s="17" t="str">
        <f>IF($A546="","",SUMIFS(Amortization!G$17:G$1017,Amortization!$A$17:$A$1017,$B546))</f>
        <v/>
      </c>
    </row>
    <row r="547" spans="2:5" hidden="1" x14ac:dyDescent="0.3">
      <c r="B547" s="1" t="str">
        <f t="shared" si="9"/>
        <v/>
      </c>
      <c r="C547" s="17" t="str">
        <f>IF($A547="","",SUMIFS(Amortization!E$17:E$1017,Amortization!$A$17:$A$1017,$B547))</f>
        <v/>
      </c>
      <c r="D547" s="17" t="str">
        <f>IF($A547="","",SUMIFS(Amortization!F$17:F$1017,Amortization!$A$17:$A$1017,$B547))</f>
        <v/>
      </c>
      <c r="E547" s="17" t="str">
        <f>IF($A547="","",SUMIFS(Amortization!G$17:G$1017,Amortization!$A$17:$A$1017,$B547))</f>
        <v/>
      </c>
    </row>
    <row r="548" spans="2:5" hidden="1" x14ac:dyDescent="0.3">
      <c r="B548" s="1" t="str">
        <f t="shared" si="9"/>
        <v/>
      </c>
      <c r="C548" s="17" t="str">
        <f>IF($A548="","",SUMIFS(Amortization!E$17:E$1017,Amortization!$A$17:$A$1017,$B548))</f>
        <v/>
      </c>
      <c r="D548" s="17" t="str">
        <f>IF($A548="","",SUMIFS(Amortization!F$17:F$1017,Amortization!$A$17:$A$1017,$B548))</f>
        <v/>
      </c>
      <c r="E548" s="17" t="str">
        <f>IF($A548="","",SUMIFS(Amortization!G$17:G$1017,Amortization!$A$17:$A$1017,$B548))</f>
        <v/>
      </c>
    </row>
    <row r="549" spans="2:5" hidden="1" x14ac:dyDescent="0.3">
      <c r="B549" s="1" t="str">
        <f t="shared" si="9"/>
        <v/>
      </c>
      <c r="C549" s="17" t="str">
        <f>IF($A549="","",SUMIFS(Amortization!E$17:E$1017,Amortization!$A$17:$A$1017,$B549))</f>
        <v/>
      </c>
      <c r="D549" s="17" t="str">
        <f>IF($A549="","",SUMIFS(Amortization!F$17:F$1017,Amortization!$A$17:$A$1017,$B549))</f>
        <v/>
      </c>
      <c r="E549" s="17" t="str">
        <f>IF($A549="","",SUMIFS(Amortization!G$17:G$1017,Amortization!$A$17:$A$1017,$B549))</f>
        <v/>
      </c>
    </row>
    <row r="550" spans="2:5" hidden="1" x14ac:dyDescent="0.3">
      <c r="B550" s="1" t="str">
        <f t="shared" si="9"/>
        <v/>
      </c>
      <c r="C550" s="17" t="str">
        <f>IF($A550="","",SUMIFS(Amortization!E$17:E$1017,Amortization!$A$17:$A$1017,$B550))</f>
        <v/>
      </c>
      <c r="D550" s="17" t="str">
        <f>IF($A550="","",SUMIFS(Amortization!F$17:F$1017,Amortization!$A$17:$A$1017,$B550))</f>
        <v/>
      </c>
      <c r="E550" s="17" t="str">
        <f>IF($A550="","",SUMIFS(Amortization!G$17:G$1017,Amortization!$A$17:$A$1017,$B550))</f>
        <v/>
      </c>
    </row>
    <row r="551" spans="2:5" hidden="1" x14ac:dyDescent="0.3">
      <c r="B551" s="1" t="str">
        <f t="shared" si="9"/>
        <v/>
      </c>
      <c r="C551" s="17" t="str">
        <f>IF($A551="","",SUMIFS(Amortization!E$17:E$1017,Amortization!$A$17:$A$1017,$B551))</f>
        <v/>
      </c>
      <c r="D551" s="17" t="str">
        <f>IF($A551="","",SUMIFS(Amortization!F$17:F$1017,Amortization!$A$17:$A$1017,$B551))</f>
        <v/>
      </c>
      <c r="E551" s="17" t="str">
        <f>IF($A551="","",SUMIFS(Amortization!G$17:G$1017,Amortization!$A$17:$A$1017,$B551))</f>
        <v/>
      </c>
    </row>
    <row r="552" spans="2:5" hidden="1" x14ac:dyDescent="0.3">
      <c r="B552" s="1" t="str">
        <f t="shared" si="9"/>
        <v/>
      </c>
      <c r="C552" s="17" t="str">
        <f>IF($A552="","",SUMIFS(Amortization!E$17:E$1017,Amortization!$A$17:$A$1017,$B552))</f>
        <v/>
      </c>
      <c r="D552" s="17" t="str">
        <f>IF($A552="","",SUMIFS(Amortization!F$17:F$1017,Amortization!$A$17:$A$1017,$B552))</f>
        <v/>
      </c>
      <c r="E552" s="17" t="str">
        <f>IF($A552="","",SUMIFS(Amortization!G$17:G$1017,Amortization!$A$17:$A$1017,$B552))</f>
        <v/>
      </c>
    </row>
    <row r="553" spans="2:5" hidden="1" x14ac:dyDescent="0.3">
      <c r="B553" s="1" t="str">
        <f t="shared" si="9"/>
        <v/>
      </c>
      <c r="C553" s="17" t="str">
        <f>IF($A553="","",SUMIFS(Amortization!E$17:E$1017,Amortization!$A$17:$A$1017,$B553))</f>
        <v/>
      </c>
      <c r="D553" s="17" t="str">
        <f>IF($A553="","",SUMIFS(Amortization!F$17:F$1017,Amortization!$A$17:$A$1017,$B553))</f>
        <v/>
      </c>
      <c r="E553" s="17" t="str">
        <f>IF($A553="","",SUMIFS(Amortization!G$17:G$1017,Amortization!$A$17:$A$1017,$B553))</f>
        <v/>
      </c>
    </row>
    <row r="554" spans="2:5" hidden="1" x14ac:dyDescent="0.3">
      <c r="B554" s="1" t="str">
        <f t="shared" si="9"/>
        <v/>
      </c>
      <c r="C554" s="17" t="str">
        <f>IF($A554="","",SUMIFS(Amortization!E$17:E$1017,Amortization!$A$17:$A$1017,$B554))</f>
        <v/>
      </c>
      <c r="D554" s="17" t="str">
        <f>IF($A554="","",SUMIFS(Amortization!F$17:F$1017,Amortization!$A$17:$A$1017,$B554))</f>
        <v/>
      </c>
      <c r="E554" s="17" t="str">
        <f>IF($A554="","",SUMIFS(Amortization!G$17:G$1017,Amortization!$A$17:$A$1017,$B554))</f>
        <v/>
      </c>
    </row>
    <row r="555" spans="2:5" hidden="1" x14ac:dyDescent="0.3">
      <c r="B555" s="1" t="str">
        <f t="shared" si="9"/>
        <v/>
      </c>
      <c r="C555" s="17" t="str">
        <f>IF($A555="","",SUMIFS(Amortization!E$17:E$1017,Amortization!$A$17:$A$1017,$B555))</f>
        <v/>
      </c>
      <c r="D555" s="17" t="str">
        <f>IF($A555="","",SUMIFS(Amortization!F$17:F$1017,Amortization!$A$17:$A$1017,$B555))</f>
        <v/>
      </c>
      <c r="E555" s="17" t="str">
        <f>IF($A555="","",SUMIFS(Amortization!G$17:G$1017,Amortization!$A$17:$A$1017,$B555))</f>
        <v/>
      </c>
    </row>
    <row r="556" spans="2:5" hidden="1" x14ac:dyDescent="0.3">
      <c r="B556" s="1" t="str">
        <f t="shared" si="9"/>
        <v/>
      </c>
      <c r="C556" s="17" t="str">
        <f>IF($A556="","",SUMIFS(Amortization!E$17:E$1017,Amortization!$A$17:$A$1017,$B556))</f>
        <v/>
      </c>
      <c r="D556" s="17" t="str">
        <f>IF($A556="","",SUMIFS(Amortization!F$17:F$1017,Amortization!$A$17:$A$1017,$B556))</f>
        <v/>
      </c>
      <c r="E556" s="17" t="str">
        <f>IF($A556="","",SUMIFS(Amortization!G$17:G$1017,Amortization!$A$17:$A$1017,$B556))</f>
        <v/>
      </c>
    </row>
    <row r="557" spans="2:5" hidden="1" x14ac:dyDescent="0.3">
      <c r="B557" s="1" t="str">
        <f t="shared" si="9"/>
        <v/>
      </c>
      <c r="C557" s="17" t="str">
        <f>IF($A557="","",SUMIFS(Amortization!E$17:E$1017,Amortization!$A$17:$A$1017,$B557))</f>
        <v/>
      </c>
      <c r="D557" s="17" t="str">
        <f>IF($A557="","",SUMIFS(Amortization!F$17:F$1017,Amortization!$A$17:$A$1017,$B557))</f>
        <v/>
      </c>
      <c r="E557" s="17" t="str">
        <f>IF($A557="","",SUMIFS(Amortization!G$17:G$1017,Amortization!$A$17:$A$1017,$B557))</f>
        <v/>
      </c>
    </row>
    <row r="558" spans="2:5" hidden="1" x14ac:dyDescent="0.3">
      <c r="B558" s="1" t="str">
        <f t="shared" si="9"/>
        <v/>
      </c>
      <c r="C558" s="17" t="str">
        <f>IF($A558="","",SUMIFS(Amortization!E$17:E$1017,Amortization!$A$17:$A$1017,$B558))</f>
        <v/>
      </c>
      <c r="D558" s="17" t="str">
        <f>IF($A558="","",SUMIFS(Amortization!F$17:F$1017,Amortization!$A$17:$A$1017,$B558))</f>
        <v/>
      </c>
      <c r="E558" s="17" t="str">
        <f>IF($A558="","",SUMIFS(Amortization!G$17:G$1017,Amortization!$A$17:$A$1017,$B558))</f>
        <v/>
      </c>
    </row>
    <row r="559" spans="2:5" hidden="1" x14ac:dyDescent="0.3">
      <c r="B559" s="1" t="str">
        <f t="shared" si="9"/>
        <v/>
      </c>
      <c r="C559" s="17" t="str">
        <f>IF($A559="","",SUMIFS(Amortization!E$17:E$1017,Amortization!$A$17:$A$1017,$B559))</f>
        <v/>
      </c>
      <c r="D559" s="17" t="str">
        <f>IF($A559="","",SUMIFS(Amortization!F$17:F$1017,Amortization!$A$17:$A$1017,$B559))</f>
        <v/>
      </c>
      <c r="E559" s="17" t="str">
        <f>IF($A559="","",SUMIFS(Amortization!G$17:G$1017,Amortization!$A$17:$A$1017,$B559))</f>
        <v/>
      </c>
    </row>
    <row r="560" spans="2:5" hidden="1" x14ac:dyDescent="0.3">
      <c r="B560" s="1" t="str">
        <f t="shared" si="9"/>
        <v/>
      </c>
      <c r="C560" s="17" t="str">
        <f>IF($A560="","",SUMIFS(Amortization!E$17:E$1017,Amortization!$A$17:$A$1017,$B560))</f>
        <v/>
      </c>
      <c r="D560" s="17" t="str">
        <f>IF($A560="","",SUMIFS(Amortization!F$17:F$1017,Amortization!$A$17:$A$1017,$B560))</f>
        <v/>
      </c>
      <c r="E560" s="17" t="str">
        <f>IF($A560="","",SUMIFS(Amortization!G$17:G$1017,Amortization!$A$17:$A$1017,$B560))</f>
        <v/>
      </c>
    </row>
    <row r="561" spans="2:5" hidden="1" x14ac:dyDescent="0.3">
      <c r="B561" s="1" t="str">
        <f t="shared" si="9"/>
        <v/>
      </c>
      <c r="C561" s="17" t="str">
        <f>IF($A561="","",SUMIFS(Amortization!E$17:E$1017,Amortization!$A$17:$A$1017,$B561))</f>
        <v/>
      </c>
      <c r="D561" s="17" t="str">
        <f>IF($A561="","",SUMIFS(Amortization!F$17:F$1017,Amortization!$A$17:$A$1017,$B561))</f>
        <v/>
      </c>
      <c r="E561" s="17" t="str">
        <f>IF($A561="","",SUMIFS(Amortization!G$17:G$1017,Amortization!$A$17:$A$1017,$B561))</f>
        <v/>
      </c>
    </row>
    <row r="562" spans="2:5" hidden="1" x14ac:dyDescent="0.3">
      <c r="B562" s="1" t="str">
        <f t="shared" si="9"/>
        <v/>
      </c>
      <c r="C562" s="17" t="str">
        <f>IF($A562="","",SUMIFS(Amortization!E$17:E$1017,Amortization!$A$17:$A$1017,$B562))</f>
        <v/>
      </c>
      <c r="D562" s="17" t="str">
        <f>IF($A562="","",SUMIFS(Amortization!F$17:F$1017,Amortization!$A$17:$A$1017,$B562))</f>
        <v/>
      </c>
      <c r="E562" s="17" t="str">
        <f>IF($A562="","",SUMIFS(Amortization!G$17:G$1017,Amortization!$A$17:$A$1017,$B562))</f>
        <v/>
      </c>
    </row>
    <row r="563" spans="2:5" hidden="1" x14ac:dyDescent="0.3">
      <c r="B563" s="1" t="str">
        <f t="shared" si="9"/>
        <v/>
      </c>
      <c r="C563" s="17" t="str">
        <f>IF($A563="","",SUMIFS(Amortization!E$17:E$1017,Amortization!$A$17:$A$1017,$B563))</f>
        <v/>
      </c>
      <c r="D563" s="17" t="str">
        <f>IF($A563="","",SUMIFS(Amortization!F$17:F$1017,Amortization!$A$17:$A$1017,$B563))</f>
        <v/>
      </c>
      <c r="E563" s="17" t="str">
        <f>IF($A563="","",SUMIFS(Amortization!G$17:G$1017,Amortization!$A$17:$A$1017,$B563))</f>
        <v/>
      </c>
    </row>
    <row r="564" spans="2:5" hidden="1" x14ac:dyDescent="0.3">
      <c r="B564" s="1" t="str">
        <f t="shared" si="9"/>
        <v/>
      </c>
      <c r="C564" s="17" t="str">
        <f>IF($A564="","",SUMIFS(Amortization!E$17:E$1017,Amortization!$A$17:$A$1017,$B564))</f>
        <v/>
      </c>
      <c r="D564" s="17" t="str">
        <f>IF($A564="","",SUMIFS(Amortization!F$17:F$1017,Amortization!$A$17:$A$1017,$B564))</f>
        <v/>
      </c>
      <c r="E564" s="17" t="str">
        <f>IF($A564="","",SUMIFS(Amortization!G$17:G$1017,Amortization!$A$17:$A$1017,$B564))</f>
        <v/>
      </c>
    </row>
    <row r="565" spans="2:5" hidden="1" x14ac:dyDescent="0.3">
      <c r="B565" s="1" t="str">
        <f t="shared" si="9"/>
        <v/>
      </c>
      <c r="C565" s="17" t="str">
        <f>IF($A565="","",SUMIFS(Amortization!E$17:E$1017,Amortization!$A$17:$A$1017,$B565))</f>
        <v/>
      </c>
      <c r="D565" s="17" t="str">
        <f>IF($A565="","",SUMIFS(Amortization!F$17:F$1017,Amortization!$A$17:$A$1017,$B565))</f>
        <v/>
      </c>
      <c r="E565" s="17" t="str">
        <f>IF($A565="","",SUMIFS(Amortization!G$17:G$1017,Amortization!$A$17:$A$1017,$B565))</f>
        <v/>
      </c>
    </row>
    <row r="566" spans="2:5" hidden="1" x14ac:dyDescent="0.3">
      <c r="B566" s="1" t="str">
        <f t="shared" si="9"/>
        <v/>
      </c>
      <c r="C566" s="17" t="str">
        <f>IF($A566="","",SUMIFS(Amortization!E$17:E$1017,Amortization!$A$17:$A$1017,$B566))</f>
        <v/>
      </c>
      <c r="D566" s="17" t="str">
        <f>IF($A566="","",SUMIFS(Amortization!F$17:F$1017,Amortization!$A$17:$A$1017,$B566))</f>
        <v/>
      </c>
      <c r="E566" s="17" t="str">
        <f>IF($A566="","",SUMIFS(Amortization!G$17:G$1017,Amortization!$A$17:$A$1017,$B566))</f>
        <v/>
      </c>
    </row>
    <row r="567" spans="2:5" hidden="1" x14ac:dyDescent="0.3">
      <c r="B567" s="1" t="str">
        <f t="shared" si="9"/>
        <v/>
      </c>
      <c r="C567" s="17" t="str">
        <f>IF($A567="","",SUMIFS(Amortization!E$17:E$1017,Amortization!$A$17:$A$1017,$B567))</f>
        <v/>
      </c>
      <c r="D567" s="17" t="str">
        <f>IF($A567="","",SUMIFS(Amortization!F$17:F$1017,Amortization!$A$17:$A$1017,$B567))</f>
        <v/>
      </c>
      <c r="E567" s="17" t="str">
        <f>IF($A567="","",SUMIFS(Amortization!G$17:G$1017,Amortization!$A$17:$A$1017,$B567))</f>
        <v/>
      </c>
    </row>
    <row r="568" spans="2:5" hidden="1" x14ac:dyDescent="0.3">
      <c r="B568" s="1" t="str">
        <f t="shared" si="9"/>
        <v/>
      </c>
      <c r="C568" s="17" t="str">
        <f>IF($A568="","",SUMIFS(Amortization!E$17:E$1017,Amortization!$A$17:$A$1017,$B568))</f>
        <v/>
      </c>
      <c r="D568" s="17" t="str">
        <f>IF($A568="","",SUMIFS(Amortization!F$17:F$1017,Amortization!$A$17:$A$1017,$B568))</f>
        <v/>
      </c>
      <c r="E568" s="17" t="str">
        <f>IF($A568="","",SUMIFS(Amortization!G$17:G$1017,Amortization!$A$17:$A$1017,$B568))</f>
        <v/>
      </c>
    </row>
    <row r="569" spans="2:5" hidden="1" x14ac:dyDescent="0.3">
      <c r="B569" s="1" t="str">
        <f t="shared" si="9"/>
        <v/>
      </c>
      <c r="C569" s="17" t="str">
        <f>IF($A569="","",SUMIFS(Amortization!E$17:E$1017,Amortization!$A$17:$A$1017,$B569))</f>
        <v/>
      </c>
      <c r="D569" s="17" t="str">
        <f>IF($A569="","",SUMIFS(Amortization!F$17:F$1017,Amortization!$A$17:$A$1017,$B569))</f>
        <v/>
      </c>
      <c r="E569" s="17" t="str">
        <f>IF($A569="","",SUMIFS(Amortization!G$17:G$1017,Amortization!$A$17:$A$1017,$B569))</f>
        <v/>
      </c>
    </row>
    <row r="570" spans="2:5" hidden="1" x14ac:dyDescent="0.3">
      <c r="B570" s="1" t="str">
        <f t="shared" si="9"/>
        <v/>
      </c>
      <c r="C570" s="17" t="str">
        <f>IF($A570="","",SUMIFS(Amortization!E$17:E$1017,Amortization!$A$17:$A$1017,$B570))</f>
        <v/>
      </c>
      <c r="D570" s="17" t="str">
        <f>IF($A570="","",SUMIFS(Amortization!F$17:F$1017,Amortization!$A$17:$A$1017,$B570))</f>
        <v/>
      </c>
      <c r="E570" s="17" t="str">
        <f>IF($A570="","",SUMIFS(Amortization!G$17:G$1017,Amortization!$A$17:$A$1017,$B570))</f>
        <v/>
      </c>
    </row>
    <row r="571" spans="2:5" hidden="1" x14ac:dyDescent="0.3">
      <c r="B571" s="1" t="str">
        <f t="shared" si="9"/>
        <v/>
      </c>
      <c r="C571" s="17" t="str">
        <f>IF($A571="","",SUMIFS(Amortization!E$17:E$1017,Amortization!$A$17:$A$1017,$B571))</f>
        <v/>
      </c>
      <c r="D571" s="17" t="str">
        <f>IF($A571="","",SUMIFS(Amortization!F$17:F$1017,Amortization!$A$17:$A$1017,$B571))</f>
        <v/>
      </c>
      <c r="E571" s="17" t="str">
        <f>IF($A571="","",SUMIFS(Amortization!G$17:G$1017,Amortization!$A$17:$A$1017,$B571))</f>
        <v/>
      </c>
    </row>
    <row r="572" spans="2:5" hidden="1" x14ac:dyDescent="0.3">
      <c r="B572" s="1" t="str">
        <f t="shared" si="9"/>
        <v/>
      </c>
      <c r="C572" s="17" t="str">
        <f>IF($A572="","",SUMIFS(Amortization!E$17:E$1017,Amortization!$A$17:$A$1017,$B572))</f>
        <v/>
      </c>
      <c r="D572" s="17" t="str">
        <f>IF($A572="","",SUMIFS(Amortization!F$17:F$1017,Amortization!$A$17:$A$1017,$B572))</f>
        <v/>
      </c>
      <c r="E572" s="17" t="str">
        <f>IF($A572="","",SUMIFS(Amortization!G$17:G$1017,Amortization!$A$17:$A$1017,$B572))</f>
        <v/>
      </c>
    </row>
    <row r="573" spans="2:5" hidden="1" x14ac:dyDescent="0.3">
      <c r="B573" s="1" t="str">
        <f t="shared" si="9"/>
        <v/>
      </c>
      <c r="C573" s="17" t="str">
        <f>IF($A573="","",SUMIFS(Amortization!E$17:E$1017,Amortization!$A$17:$A$1017,$B573))</f>
        <v/>
      </c>
      <c r="D573" s="17" t="str">
        <f>IF($A573="","",SUMIFS(Amortization!F$17:F$1017,Amortization!$A$17:$A$1017,$B573))</f>
        <v/>
      </c>
      <c r="E573" s="17" t="str">
        <f>IF($A573="","",SUMIFS(Amortization!G$17:G$1017,Amortization!$A$17:$A$1017,$B573))</f>
        <v/>
      </c>
    </row>
    <row r="574" spans="2:5" hidden="1" x14ac:dyDescent="0.3">
      <c r="B574" s="1" t="str">
        <f t="shared" si="9"/>
        <v/>
      </c>
      <c r="C574" s="17" t="str">
        <f>IF($A574="","",SUMIFS(Amortization!E$17:E$1017,Amortization!$A$17:$A$1017,$B574))</f>
        <v/>
      </c>
      <c r="D574" s="17" t="str">
        <f>IF($A574="","",SUMIFS(Amortization!F$17:F$1017,Amortization!$A$17:$A$1017,$B574))</f>
        <v/>
      </c>
      <c r="E574" s="17" t="str">
        <f>IF($A574="","",SUMIFS(Amortization!G$17:G$1017,Amortization!$A$17:$A$1017,$B574))</f>
        <v/>
      </c>
    </row>
    <row r="575" spans="2:5" hidden="1" x14ac:dyDescent="0.3">
      <c r="B575" s="1" t="str">
        <f t="shared" si="9"/>
        <v/>
      </c>
      <c r="C575" s="17" t="str">
        <f>IF($A575="","",SUMIFS(Amortization!E$17:E$1017,Amortization!$A$17:$A$1017,$B575))</f>
        <v/>
      </c>
      <c r="D575" s="17" t="str">
        <f>IF($A575="","",SUMIFS(Amortization!F$17:F$1017,Amortization!$A$17:$A$1017,$B575))</f>
        <v/>
      </c>
      <c r="E575" s="17" t="str">
        <f>IF($A575="","",SUMIFS(Amortization!G$17:G$1017,Amortization!$A$17:$A$1017,$B575))</f>
        <v/>
      </c>
    </row>
    <row r="576" spans="2:5" hidden="1" x14ac:dyDescent="0.3">
      <c r="B576" s="1" t="str">
        <f t="shared" si="9"/>
        <v/>
      </c>
      <c r="C576" s="17" t="str">
        <f>IF($A576="","",SUMIFS(Amortization!E$17:E$1017,Amortization!$A$17:$A$1017,$B576))</f>
        <v/>
      </c>
      <c r="D576" s="17" t="str">
        <f>IF($A576="","",SUMIFS(Amortization!F$17:F$1017,Amortization!$A$17:$A$1017,$B576))</f>
        <v/>
      </c>
      <c r="E576" s="17" t="str">
        <f>IF($A576="","",SUMIFS(Amortization!G$17:G$1017,Amortization!$A$17:$A$1017,$B576))</f>
        <v/>
      </c>
    </row>
    <row r="577" spans="2:5" hidden="1" x14ac:dyDescent="0.3">
      <c r="B577" s="1" t="str">
        <f t="shared" si="9"/>
        <v/>
      </c>
      <c r="C577" s="17" t="str">
        <f>IF($A577="","",SUMIFS(Amortization!E$17:E$1017,Amortization!$A$17:$A$1017,$B577))</f>
        <v/>
      </c>
      <c r="D577" s="17" t="str">
        <f>IF($A577="","",SUMIFS(Amortization!F$17:F$1017,Amortization!$A$17:$A$1017,$B577))</f>
        <v/>
      </c>
      <c r="E577" s="17" t="str">
        <f>IF($A577="","",SUMIFS(Amortization!G$17:G$1017,Amortization!$A$17:$A$1017,$B577))</f>
        <v/>
      </c>
    </row>
    <row r="578" spans="2:5" hidden="1" x14ac:dyDescent="0.3">
      <c r="B578" s="1" t="str">
        <f t="shared" si="9"/>
        <v/>
      </c>
      <c r="C578" s="17" t="str">
        <f>IF($A578="","",SUMIFS(Amortization!E$17:E$1017,Amortization!$A$17:$A$1017,$B578))</f>
        <v/>
      </c>
      <c r="D578" s="17" t="str">
        <f>IF($A578="","",SUMIFS(Amortization!F$17:F$1017,Amortization!$A$17:$A$1017,$B578))</f>
        <v/>
      </c>
      <c r="E578" s="17" t="str">
        <f>IF($A578="","",SUMIFS(Amortization!G$17:G$1017,Amortization!$A$17:$A$1017,$B578))</f>
        <v/>
      </c>
    </row>
    <row r="579" spans="2:5" hidden="1" x14ac:dyDescent="0.3">
      <c r="B579" s="1" t="str">
        <f t="shared" si="9"/>
        <v/>
      </c>
      <c r="C579" s="17" t="str">
        <f>IF($A579="","",SUMIFS(Amortization!E$17:E$1017,Amortization!$A$17:$A$1017,$B579))</f>
        <v/>
      </c>
      <c r="D579" s="17" t="str">
        <f>IF($A579="","",SUMIFS(Amortization!F$17:F$1017,Amortization!$A$17:$A$1017,$B579))</f>
        <v/>
      </c>
      <c r="E579" s="17" t="str">
        <f>IF($A579="","",SUMIFS(Amortization!G$17:G$1017,Amortization!$A$17:$A$1017,$B579))</f>
        <v/>
      </c>
    </row>
    <row r="580" spans="2:5" hidden="1" x14ac:dyDescent="0.3">
      <c r="B580" s="1" t="str">
        <f t="shared" si="9"/>
        <v/>
      </c>
      <c r="C580" s="17" t="str">
        <f>IF($A580="","",SUMIFS(Amortization!E$17:E$1017,Amortization!$A$17:$A$1017,$B580))</f>
        <v/>
      </c>
      <c r="D580" s="17" t="str">
        <f>IF($A580="","",SUMIFS(Amortization!F$17:F$1017,Amortization!$A$17:$A$1017,$B580))</f>
        <v/>
      </c>
      <c r="E580" s="17" t="str">
        <f>IF($A580="","",SUMIFS(Amortization!G$17:G$1017,Amortization!$A$17:$A$1017,$B580))</f>
        <v/>
      </c>
    </row>
    <row r="581" spans="2:5" hidden="1" x14ac:dyDescent="0.3">
      <c r="B581" s="1" t="str">
        <f t="shared" si="9"/>
        <v/>
      </c>
      <c r="C581" s="17" t="str">
        <f>IF($A581="","",SUMIFS(Amortization!E$17:E$1017,Amortization!$A$17:$A$1017,$B581))</f>
        <v/>
      </c>
      <c r="D581" s="17" t="str">
        <f>IF($A581="","",SUMIFS(Amortization!F$17:F$1017,Amortization!$A$17:$A$1017,$B581))</f>
        <v/>
      </c>
      <c r="E581" s="17" t="str">
        <f>IF($A581="","",SUMIFS(Amortization!G$17:G$1017,Amortization!$A$17:$A$1017,$B581))</f>
        <v/>
      </c>
    </row>
    <row r="582" spans="2:5" hidden="1" x14ac:dyDescent="0.3">
      <c r="B582" s="1" t="str">
        <f t="shared" si="9"/>
        <v/>
      </c>
      <c r="C582" s="17" t="str">
        <f>IF($A582="","",SUMIFS(Amortization!E$17:E$1017,Amortization!$A$17:$A$1017,$B582))</f>
        <v/>
      </c>
      <c r="D582" s="17" t="str">
        <f>IF($A582="","",SUMIFS(Amortization!F$17:F$1017,Amortization!$A$17:$A$1017,$B582))</f>
        <v/>
      </c>
      <c r="E582" s="17" t="str">
        <f>IF($A582="","",SUMIFS(Amortization!G$17:G$1017,Amortization!$A$17:$A$1017,$B582))</f>
        <v/>
      </c>
    </row>
    <row r="583" spans="2:5" hidden="1" x14ac:dyDescent="0.3">
      <c r="B583" s="1" t="str">
        <f t="shared" si="9"/>
        <v/>
      </c>
      <c r="C583" s="17" t="str">
        <f>IF($A583="","",SUMIFS(Amortization!E$17:E$1017,Amortization!$A$17:$A$1017,$B583))</f>
        <v/>
      </c>
      <c r="D583" s="17" t="str">
        <f>IF($A583="","",SUMIFS(Amortization!F$17:F$1017,Amortization!$A$17:$A$1017,$B583))</f>
        <v/>
      </c>
      <c r="E583" s="17" t="str">
        <f>IF($A583="","",SUMIFS(Amortization!G$17:G$1017,Amortization!$A$17:$A$1017,$B583))</f>
        <v/>
      </c>
    </row>
    <row r="584" spans="2:5" hidden="1" x14ac:dyDescent="0.3">
      <c r="B584" s="1" t="str">
        <f t="shared" si="9"/>
        <v/>
      </c>
      <c r="C584" s="17" t="str">
        <f>IF($A584="","",SUMIFS(Amortization!E$17:E$1017,Amortization!$A$17:$A$1017,$B584))</f>
        <v/>
      </c>
      <c r="D584" s="17" t="str">
        <f>IF($A584="","",SUMIFS(Amortization!F$17:F$1017,Amortization!$A$17:$A$1017,$B584))</f>
        <v/>
      </c>
      <c r="E584" s="17" t="str">
        <f>IF($A584="","",SUMIFS(Amortization!G$17:G$1017,Amortization!$A$17:$A$1017,$B584))</f>
        <v/>
      </c>
    </row>
    <row r="585" spans="2:5" hidden="1" x14ac:dyDescent="0.3">
      <c r="B585" s="1" t="str">
        <f t="shared" si="9"/>
        <v/>
      </c>
      <c r="C585" s="17" t="str">
        <f>IF($A585="","",SUMIFS(Amortization!E$17:E$1017,Amortization!$A$17:$A$1017,$B585))</f>
        <v/>
      </c>
      <c r="D585" s="17" t="str">
        <f>IF($A585="","",SUMIFS(Amortization!F$17:F$1017,Amortization!$A$17:$A$1017,$B585))</f>
        <v/>
      </c>
      <c r="E585" s="17" t="str">
        <f>IF($A585="","",SUMIFS(Amortization!G$17:G$1017,Amortization!$A$17:$A$1017,$B585))</f>
        <v/>
      </c>
    </row>
    <row r="586" spans="2:5" hidden="1" x14ac:dyDescent="0.3">
      <c r="B586" s="1" t="str">
        <f t="shared" si="9"/>
        <v/>
      </c>
      <c r="C586" s="17" t="str">
        <f>IF($A586="","",SUMIFS(Amortization!E$17:E$1017,Amortization!$A$17:$A$1017,$B586))</f>
        <v/>
      </c>
      <c r="D586" s="17" t="str">
        <f>IF($A586="","",SUMIFS(Amortization!F$17:F$1017,Amortization!$A$17:$A$1017,$B586))</f>
        <v/>
      </c>
      <c r="E586" s="17" t="str">
        <f>IF($A586="","",SUMIFS(Amortization!G$17:G$1017,Amortization!$A$17:$A$1017,$B586))</f>
        <v/>
      </c>
    </row>
    <row r="587" spans="2:5" hidden="1" x14ac:dyDescent="0.3">
      <c r="B587" s="1" t="str">
        <f t="shared" si="9"/>
        <v/>
      </c>
      <c r="C587" s="17" t="str">
        <f>IF($A587="","",SUMIFS(Amortization!E$17:E$1017,Amortization!$A$17:$A$1017,$B587))</f>
        <v/>
      </c>
      <c r="D587" s="17" t="str">
        <f>IF($A587="","",SUMIFS(Amortization!F$17:F$1017,Amortization!$A$17:$A$1017,$B587))</f>
        <v/>
      </c>
      <c r="E587" s="17" t="str">
        <f>IF($A587="","",SUMIFS(Amortization!G$17:G$1017,Amortization!$A$17:$A$1017,$B587))</f>
        <v/>
      </c>
    </row>
    <row r="588" spans="2:5" hidden="1" x14ac:dyDescent="0.3">
      <c r="B588" s="1" t="str">
        <f t="shared" si="9"/>
        <v/>
      </c>
      <c r="C588" s="17" t="str">
        <f>IF($A588="","",SUMIFS(Amortization!E$17:E$1017,Amortization!$A$17:$A$1017,$B588))</f>
        <v/>
      </c>
      <c r="D588" s="17" t="str">
        <f>IF($A588="","",SUMIFS(Amortization!F$17:F$1017,Amortization!$A$17:$A$1017,$B588))</f>
        <v/>
      </c>
      <c r="E588" s="17" t="str">
        <f>IF($A588="","",SUMIFS(Amortization!G$17:G$1017,Amortization!$A$17:$A$1017,$B588))</f>
        <v/>
      </c>
    </row>
    <row r="589" spans="2:5" hidden="1" x14ac:dyDescent="0.3">
      <c r="B589" s="1" t="str">
        <f t="shared" si="9"/>
        <v/>
      </c>
      <c r="C589" s="17" t="str">
        <f>IF($A589="","",SUMIFS(Amortization!E$17:E$1017,Amortization!$A$17:$A$1017,$B589))</f>
        <v/>
      </c>
      <c r="D589" s="17" t="str">
        <f>IF($A589="","",SUMIFS(Amortization!F$17:F$1017,Amortization!$A$17:$A$1017,$B589))</f>
        <v/>
      </c>
      <c r="E589" s="17" t="str">
        <f>IF($A589="","",SUMIFS(Amortization!G$17:G$1017,Amortization!$A$17:$A$1017,$B589))</f>
        <v/>
      </c>
    </row>
    <row r="590" spans="2:5" hidden="1" x14ac:dyDescent="0.3">
      <c r="B590" s="1" t="str">
        <f t="shared" si="9"/>
        <v/>
      </c>
      <c r="C590" s="17" t="str">
        <f>IF($A590="","",SUMIFS(Amortization!E$17:E$1017,Amortization!$A$17:$A$1017,$B590))</f>
        <v/>
      </c>
      <c r="D590" s="17" t="str">
        <f>IF($A590="","",SUMIFS(Amortization!F$17:F$1017,Amortization!$A$17:$A$1017,$B590))</f>
        <v/>
      </c>
      <c r="E590" s="17" t="str">
        <f>IF($A590="","",SUMIFS(Amortization!G$17:G$1017,Amortization!$A$17:$A$1017,$B590))</f>
        <v/>
      </c>
    </row>
    <row r="591" spans="2:5" hidden="1" x14ac:dyDescent="0.3">
      <c r="B591" s="1" t="str">
        <f t="shared" si="9"/>
        <v/>
      </c>
      <c r="C591" s="17" t="str">
        <f>IF($A591="","",SUMIFS(Amortization!E$17:E$1017,Amortization!$A$17:$A$1017,$B591))</f>
        <v/>
      </c>
      <c r="D591" s="17" t="str">
        <f>IF($A591="","",SUMIFS(Amortization!F$17:F$1017,Amortization!$A$17:$A$1017,$B591))</f>
        <v/>
      </c>
      <c r="E591" s="17" t="str">
        <f>IF($A591="","",SUMIFS(Amortization!G$17:G$1017,Amortization!$A$17:$A$1017,$B591))</f>
        <v/>
      </c>
    </row>
    <row r="592" spans="2:5" hidden="1" x14ac:dyDescent="0.3">
      <c r="B592" s="1" t="str">
        <f t="shared" si="9"/>
        <v/>
      </c>
      <c r="C592" s="17" t="str">
        <f>IF($A592="","",SUMIFS(Amortization!E$17:E$1017,Amortization!$A$17:$A$1017,$B592))</f>
        <v/>
      </c>
      <c r="D592" s="17" t="str">
        <f>IF($A592="","",SUMIFS(Amortization!F$17:F$1017,Amortization!$A$17:$A$1017,$B592))</f>
        <v/>
      </c>
      <c r="E592" s="17" t="str">
        <f>IF($A592="","",SUMIFS(Amortization!G$17:G$1017,Amortization!$A$17:$A$1017,$B592))</f>
        <v/>
      </c>
    </row>
    <row r="593" spans="2:5" hidden="1" x14ac:dyDescent="0.3">
      <c r="B593" s="1" t="str">
        <f t="shared" si="9"/>
        <v/>
      </c>
      <c r="C593" s="17" t="str">
        <f>IF($A593="","",SUMIFS(Amortization!E$17:E$1017,Amortization!$A$17:$A$1017,$B593))</f>
        <v/>
      </c>
      <c r="D593" s="17" t="str">
        <f>IF($A593="","",SUMIFS(Amortization!F$17:F$1017,Amortization!$A$17:$A$1017,$B593))</f>
        <v/>
      </c>
      <c r="E593" s="17" t="str">
        <f>IF($A593="","",SUMIFS(Amortization!G$17:G$1017,Amortization!$A$17:$A$1017,$B593))</f>
        <v/>
      </c>
    </row>
    <row r="594" spans="2:5" hidden="1" x14ac:dyDescent="0.3">
      <c r="B594" s="1" t="str">
        <f t="shared" si="9"/>
        <v/>
      </c>
      <c r="C594" s="17" t="str">
        <f>IF($A594="","",SUMIFS(Amortization!E$17:E$1017,Amortization!$A$17:$A$1017,$B594))</f>
        <v/>
      </c>
      <c r="D594" s="17" t="str">
        <f>IF($A594="","",SUMIFS(Amortization!F$17:F$1017,Amortization!$A$17:$A$1017,$B594))</f>
        <v/>
      </c>
      <c r="E594" s="17" t="str">
        <f>IF($A594="","",SUMIFS(Amortization!G$17:G$1017,Amortization!$A$17:$A$1017,$B594))</f>
        <v/>
      </c>
    </row>
    <row r="595" spans="2:5" hidden="1" x14ac:dyDescent="0.3">
      <c r="B595" s="1" t="str">
        <f t="shared" ref="B595:B658" si="10">IF(A595="","",B594+1)</f>
        <v/>
      </c>
      <c r="C595" s="17" t="str">
        <f>IF($A595="","",SUMIFS(Amortization!E$17:E$1017,Amortization!$A$17:$A$1017,$B595))</f>
        <v/>
      </c>
      <c r="D595" s="17" t="str">
        <f>IF($A595="","",SUMIFS(Amortization!F$17:F$1017,Amortization!$A$17:$A$1017,$B595))</f>
        <v/>
      </c>
      <c r="E595" s="17" t="str">
        <f>IF($A595="","",SUMIFS(Amortization!G$17:G$1017,Amortization!$A$17:$A$1017,$B595))</f>
        <v/>
      </c>
    </row>
    <row r="596" spans="2:5" hidden="1" x14ac:dyDescent="0.3">
      <c r="B596" s="1" t="str">
        <f t="shared" si="10"/>
        <v/>
      </c>
      <c r="C596" s="17" t="str">
        <f>IF($A596="","",SUMIFS(Amortization!E$17:E$1017,Amortization!$A$17:$A$1017,$B596))</f>
        <v/>
      </c>
      <c r="D596" s="17" t="str">
        <f>IF($A596="","",SUMIFS(Amortization!F$17:F$1017,Amortization!$A$17:$A$1017,$B596))</f>
        <v/>
      </c>
      <c r="E596" s="17" t="str">
        <f>IF($A596="","",SUMIFS(Amortization!G$17:G$1017,Amortization!$A$17:$A$1017,$B596))</f>
        <v/>
      </c>
    </row>
    <row r="597" spans="2:5" hidden="1" x14ac:dyDescent="0.3">
      <c r="B597" s="1" t="str">
        <f t="shared" si="10"/>
        <v/>
      </c>
      <c r="C597" s="17" t="str">
        <f>IF($A597="","",SUMIFS(Amortization!E$17:E$1017,Amortization!$A$17:$A$1017,$B597))</f>
        <v/>
      </c>
      <c r="D597" s="17" t="str">
        <f>IF($A597="","",SUMIFS(Amortization!F$17:F$1017,Amortization!$A$17:$A$1017,$B597))</f>
        <v/>
      </c>
      <c r="E597" s="17" t="str">
        <f>IF($A597="","",SUMIFS(Amortization!G$17:G$1017,Amortization!$A$17:$A$1017,$B597))</f>
        <v/>
      </c>
    </row>
    <row r="598" spans="2:5" hidden="1" x14ac:dyDescent="0.3">
      <c r="B598" s="1" t="str">
        <f t="shared" si="10"/>
        <v/>
      </c>
      <c r="C598" s="17" t="str">
        <f>IF($A598="","",SUMIFS(Amortization!E$17:E$1017,Amortization!$A$17:$A$1017,$B598))</f>
        <v/>
      </c>
      <c r="D598" s="17" t="str">
        <f>IF($A598="","",SUMIFS(Amortization!F$17:F$1017,Amortization!$A$17:$A$1017,$B598))</f>
        <v/>
      </c>
      <c r="E598" s="17" t="str">
        <f>IF($A598="","",SUMIFS(Amortization!G$17:G$1017,Amortization!$A$17:$A$1017,$B598))</f>
        <v/>
      </c>
    </row>
    <row r="599" spans="2:5" hidden="1" x14ac:dyDescent="0.3">
      <c r="B599" s="1" t="str">
        <f t="shared" si="10"/>
        <v/>
      </c>
      <c r="C599" s="17" t="str">
        <f>IF($A599="","",SUMIFS(Amortization!E$17:E$1017,Amortization!$A$17:$A$1017,$B599))</f>
        <v/>
      </c>
      <c r="D599" s="17" t="str">
        <f>IF($A599="","",SUMIFS(Amortization!F$17:F$1017,Amortization!$A$17:$A$1017,$B599))</f>
        <v/>
      </c>
      <c r="E599" s="17" t="str">
        <f>IF($A599="","",SUMIFS(Amortization!G$17:G$1017,Amortization!$A$17:$A$1017,$B599))</f>
        <v/>
      </c>
    </row>
    <row r="600" spans="2:5" hidden="1" x14ac:dyDescent="0.3">
      <c r="B600" s="1" t="str">
        <f t="shared" si="10"/>
        <v/>
      </c>
      <c r="C600" s="17" t="str">
        <f>IF($A600="","",SUMIFS(Amortization!E$17:E$1017,Amortization!$A$17:$A$1017,$B600))</f>
        <v/>
      </c>
      <c r="D600" s="17" t="str">
        <f>IF($A600="","",SUMIFS(Amortization!F$17:F$1017,Amortization!$A$17:$A$1017,$B600))</f>
        <v/>
      </c>
      <c r="E600" s="17" t="str">
        <f>IF($A600="","",SUMIFS(Amortization!G$17:G$1017,Amortization!$A$17:$A$1017,$B600))</f>
        <v/>
      </c>
    </row>
    <row r="601" spans="2:5" hidden="1" x14ac:dyDescent="0.3">
      <c r="B601" s="1" t="str">
        <f t="shared" si="10"/>
        <v/>
      </c>
      <c r="C601" s="17" t="str">
        <f>IF($A601="","",SUMIFS(Amortization!E$17:E$1017,Amortization!$A$17:$A$1017,$B601))</f>
        <v/>
      </c>
      <c r="D601" s="17" t="str">
        <f>IF($A601="","",SUMIFS(Amortization!F$17:F$1017,Amortization!$A$17:$A$1017,$B601))</f>
        <v/>
      </c>
      <c r="E601" s="17" t="str">
        <f>IF($A601="","",SUMIFS(Amortization!G$17:G$1017,Amortization!$A$17:$A$1017,$B601))</f>
        <v/>
      </c>
    </row>
    <row r="602" spans="2:5" hidden="1" x14ac:dyDescent="0.3">
      <c r="B602" s="1" t="str">
        <f t="shared" si="10"/>
        <v/>
      </c>
      <c r="C602" s="17" t="str">
        <f>IF($A602="","",SUMIFS(Amortization!E$17:E$1017,Amortization!$A$17:$A$1017,$B602))</f>
        <v/>
      </c>
      <c r="D602" s="17" t="str">
        <f>IF($A602="","",SUMIFS(Amortization!F$17:F$1017,Amortization!$A$17:$A$1017,$B602))</f>
        <v/>
      </c>
      <c r="E602" s="17" t="str">
        <f>IF($A602="","",SUMIFS(Amortization!G$17:G$1017,Amortization!$A$17:$A$1017,$B602))</f>
        <v/>
      </c>
    </row>
    <row r="603" spans="2:5" hidden="1" x14ac:dyDescent="0.3">
      <c r="B603" s="1" t="str">
        <f t="shared" si="10"/>
        <v/>
      </c>
      <c r="C603" s="17" t="str">
        <f>IF($A603="","",SUMIFS(Amortization!E$17:E$1017,Amortization!$A$17:$A$1017,$B603))</f>
        <v/>
      </c>
      <c r="D603" s="17" t="str">
        <f>IF($A603="","",SUMIFS(Amortization!F$17:F$1017,Amortization!$A$17:$A$1017,$B603))</f>
        <v/>
      </c>
      <c r="E603" s="17" t="str">
        <f>IF($A603="","",SUMIFS(Amortization!G$17:G$1017,Amortization!$A$17:$A$1017,$B603))</f>
        <v/>
      </c>
    </row>
    <row r="604" spans="2:5" hidden="1" x14ac:dyDescent="0.3">
      <c r="B604" s="1" t="str">
        <f t="shared" si="10"/>
        <v/>
      </c>
      <c r="C604" s="17" t="str">
        <f>IF($A604="","",SUMIFS(Amortization!E$17:E$1017,Amortization!$A$17:$A$1017,$B604))</f>
        <v/>
      </c>
      <c r="D604" s="17" t="str">
        <f>IF($A604="","",SUMIFS(Amortization!F$17:F$1017,Amortization!$A$17:$A$1017,$B604))</f>
        <v/>
      </c>
      <c r="E604" s="17" t="str">
        <f>IF($A604="","",SUMIFS(Amortization!G$17:G$1017,Amortization!$A$17:$A$1017,$B604))</f>
        <v/>
      </c>
    </row>
    <row r="605" spans="2:5" hidden="1" x14ac:dyDescent="0.3">
      <c r="B605" s="1" t="str">
        <f t="shared" si="10"/>
        <v/>
      </c>
      <c r="C605" s="17" t="str">
        <f>IF($A605="","",SUMIFS(Amortization!E$17:E$1017,Amortization!$A$17:$A$1017,$B605))</f>
        <v/>
      </c>
      <c r="D605" s="17" t="str">
        <f>IF($A605="","",SUMIFS(Amortization!F$17:F$1017,Amortization!$A$17:$A$1017,$B605))</f>
        <v/>
      </c>
      <c r="E605" s="17" t="str">
        <f>IF($A605="","",SUMIFS(Amortization!G$17:G$1017,Amortization!$A$17:$A$1017,$B605))</f>
        <v/>
      </c>
    </row>
    <row r="606" spans="2:5" hidden="1" x14ac:dyDescent="0.3">
      <c r="B606" s="1" t="str">
        <f t="shared" si="10"/>
        <v/>
      </c>
      <c r="C606" s="17" t="str">
        <f>IF($A606="","",SUMIFS(Amortization!E$17:E$1017,Amortization!$A$17:$A$1017,$B606))</f>
        <v/>
      </c>
      <c r="D606" s="17" t="str">
        <f>IF($A606="","",SUMIFS(Amortization!F$17:F$1017,Amortization!$A$17:$A$1017,$B606))</f>
        <v/>
      </c>
      <c r="E606" s="17" t="str">
        <f>IF($A606="","",SUMIFS(Amortization!G$17:G$1017,Amortization!$A$17:$A$1017,$B606))</f>
        <v/>
      </c>
    </row>
    <row r="607" spans="2:5" hidden="1" x14ac:dyDescent="0.3">
      <c r="B607" s="1" t="str">
        <f t="shared" si="10"/>
        <v/>
      </c>
      <c r="C607" s="17" t="str">
        <f>IF($A607="","",SUMIFS(Amortization!E$17:E$1017,Amortization!$A$17:$A$1017,$B607))</f>
        <v/>
      </c>
      <c r="D607" s="17" t="str">
        <f>IF($A607="","",SUMIFS(Amortization!F$17:F$1017,Amortization!$A$17:$A$1017,$B607))</f>
        <v/>
      </c>
      <c r="E607" s="17" t="str">
        <f>IF($A607="","",SUMIFS(Amortization!G$17:G$1017,Amortization!$A$17:$A$1017,$B607))</f>
        <v/>
      </c>
    </row>
    <row r="608" spans="2:5" hidden="1" x14ac:dyDescent="0.3">
      <c r="B608" s="1" t="str">
        <f t="shared" si="10"/>
        <v/>
      </c>
      <c r="C608" s="17" t="str">
        <f>IF($A608="","",SUMIFS(Amortization!E$17:E$1017,Amortization!$A$17:$A$1017,$B608))</f>
        <v/>
      </c>
      <c r="D608" s="17" t="str">
        <f>IF($A608="","",SUMIFS(Amortization!F$17:F$1017,Amortization!$A$17:$A$1017,$B608))</f>
        <v/>
      </c>
      <c r="E608" s="17" t="str">
        <f>IF($A608="","",SUMIFS(Amortization!G$17:G$1017,Amortization!$A$17:$A$1017,$B608))</f>
        <v/>
      </c>
    </row>
    <row r="609" spans="2:5" hidden="1" x14ac:dyDescent="0.3">
      <c r="B609" s="1" t="str">
        <f t="shared" si="10"/>
        <v/>
      </c>
      <c r="C609" s="17" t="str">
        <f>IF($A609="","",SUMIFS(Amortization!E$17:E$1017,Amortization!$A$17:$A$1017,$B609))</f>
        <v/>
      </c>
      <c r="D609" s="17" t="str">
        <f>IF($A609="","",SUMIFS(Amortization!F$17:F$1017,Amortization!$A$17:$A$1017,$B609))</f>
        <v/>
      </c>
      <c r="E609" s="17" t="str">
        <f>IF($A609="","",SUMIFS(Amortization!G$17:G$1017,Amortization!$A$17:$A$1017,$B609))</f>
        <v/>
      </c>
    </row>
    <row r="610" spans="2:5" hidden="1" x14ac:dyDescent="0.3">
      <c r="B610" s="1" t="str">
        <f t="shared" si="10"/>
        <v/>
      </c>
      <c r="C610" s="17" t="str">
        <f>IF($A610="","",SUMIFS(Amortization!E$17:E$1017,Amortization!$A$17:$A$1017,$B610))</f>
        <v/>
      </c>
      <c r="D610" s="17" t="str">
        <f>IF($A610="","",SUMIFS(Amortization!F$17:F$1017,Amortization!$A$17:$A$1017,$B610))</f>
        <v/>
      </c>
      <c r="E610" s="17" t="str">
        <f>IF($A610="","",SUMIFS(Amortization!G$17:G$1017,Amortization!$A$17:$A$1017,$B610))</f>
        <v/>
      </c>
    </row>
    <row r="611" spans="2:5" hidden="1" x14ac:dyDescent="0.3">
      <c r="B611" s="1" t="str">
        <f t="shared" si="10"/>
        <v/>
      </c>
      <c r="C611" s="17" t="str">
        <f>IF($A611="","",SUMIFS(Amortization!E$17:E$1017,Amortization!$A$17:$A$1017,$B611))</f>
        <v/>
      </c>
      <c r="D611" s="17" t="str">
        <f>IF($A611="","",SUMIFS(Amortization!F$17:F$1017,Amortization!$A$17:$A$1017,$B611))</f>
        <v/>
      </c>
      <c r="E611" s="17" t="str">
        <f>IF($A611="","",SUMIFS(Amortization!G$17:G$1017,Amortization!$A$17:$A$1017,$B611))</f>
        <v/>
      </c>
    </row>
    <row r="612" spans="2:5" hidden="1" x14ac:dyDescent="0.3">
      <c r="B612" s="1" t="str">
        <f t="shared" si="10"/>
        <v/>
      </c>
      <c r="C612" s="17" t="str">
        <f>IF($A612="","",SUMIFS(Amortization!E$17:E$1017,Amortization!$A$17:$A$1017,$B612))</f>
        <v/>
      </c>
      <c r="D612" s="17" t="str">
        <f>IF($A612="","",SUMIFS(Amortization!F$17:F$1017,Amortization!$A$17:$A$1017,$B612))</f>
        <v/>
      </c>
      <c r="E612" s="17" t="str">
        <f>IF($A612="","",SUMIFS(Amortization!G$17:G$1017,Amortization!$A$17:$A$1017,$B612))</f>
        <v/>
      </c>
    </row>
    <row r="613" spans="2:5" hidden="1" x14ac:dyDescent="0.3">
      <c r="B613" s="1" t="str">
        <f t="shared" si="10"/>
        <v/>
      </c>
      <c r="C613" s="17" t="str">
        <f>IF($A613="","",SUMIFS(Amortization!E$17:E$1017,Amortization!$A$17:$A$1017,$B613))</f>
        <v/>
      </c>
      <c r="D613" s="17" t="str">
        <f>IF($A613="","",SUMIFS(Amortization!F$17:F$1017,Amortization!$A$17:$A$1017,$B613))</f>
        <v/>
      </c>
      <c r="E613" s="17" t="str">
        <f>IF($A613="","",SUMIFS(Amortization!G$17:G$1017,Amortization!$A$17:$A$1017,$B613))</f>
        <v/>
      </c>
    </row>
    <row r="614" spans="2:5" hidden="1" x14ac:dyDescent="0.3">
      <c r="B614" s="1" t="str">
        <f t="shared" si="10"/>
        <v/>
      </c>
      <c r="C614" s="17" t="str">
        <f>IF($A614="","",SUMIFS(Amortization!E$17:E$1017,Amortization!$A$17:$A$1017,$B614))</f>
        <v/>
      </c>
      <c r="D614" s="17" t="str">
        <f>IF($A614="","",SUMIFS(Amortization!F$17:F$1017,Amortization!$A$17:$A$1017,$B614))</f>
        <v/>
      </c>
      <c r="E614" s="17" t="str">
        <f>IF($A614="","",SUMIFS(Amortization!G$17:G$1017,Amortization!$A$17:$A$1017,$B614))</f>
        <v/>
      </c>
    </row>
    <row r="615" spans="2:5" hidden="1" x14ac:dyDescent="0.3">
      <c r="B615" s="1" t="str">
        <f t="shared" si="10"/>
        <v/>
      </c>
      <c r="C615" s="17" t="str">
        <f>IF($A615="","",SUMIFS(Amortization!E$17:E$1017,Amortization!$A$17:$A$1017,$B615))</f>
        <v/>
      </c>
      <c r="D615" s="17" t="str">
        <f>IF($A615="","",SUMIFS(Amortization!F$17:F$1017,Amortization!$A$17:$A$1017,$B615))</f>
        <v/>
      </c>
      <c r="E615" s="17" t="str">
        <f>IF($A615="","",SUMIFS(Amortization!G$17:G$1017,Amortization!$A$17:$A$1017,$B615))</f>
        <v/>
      </c>
    </row>
    <row r="616" spans="2:5" hidden="1" x14ac:dyDescent="0.3">
      <c r="B616" s="1" t="str">
        <f t="shared" si="10"/>
        <v/>
      </c>
      <c r="C616" s="17" t="str">
        <f>IF($A616="","",SUMIFS(Amortization!E$17:E$1017,Amortization!$A$17:$A$1017,$B616))</f>
        <v/>
      </c>
      <c r="D616" s="17" t="str">
        <f>IF($A616="","",SUMIFS(Amortization!F$17:F$1017,Amortization!$A$17:$A$1017,$B616))</f>
        <v/>
      </c>
      <c r="E616" s="17" t="str">
        <f>IF($A616="","",SUMIFS(Amortization!G$17:G$1017,Amortization!$A$17:$A$1017,$B616))</f>
        <v/>
      </c>
    </row>
    <row r="617" spans="2:5" hidden="1" x14ac:dyDescent="0.3">
      <c r="B617" s="1" t="str">
        <f t="shared" si="10"/>
        <v/>
      </c>
      <c r="C617" s="17" t="str">
        <f>IF($A617="","",SUMIFS(Amortization!E$17:E$1017,Amortization!$A$17:$A$1017,$B617))</f>
        <v/>
      </c>
      <c r="D617" s="17" t="str">
        <f>IF($A617="","",SUMIFS(Amortization!F$17:F$1017,Amortization!$A$17:$A$1017,$B617))</f>
        <v/>
      </c>
      <c r="E617" s="17" t="str">
        <f>IF($A617="","",SUMIFS(Amortization!G$17:G$1017,Amortization!$A$17:$A$1017,$B617))</f>
        <v/>
      </c>
    </row>
    <row r="618" spans="2:5" hidden="1" x14ac:dyDescent="0.3">
      <c r="B618" s="1" t="str">
        <f t="shared" si="10"/>
        <v/>
      </c>
      <c r="C618" s="17" t="str">
        <f>IF($A618="","",SUMIFS(Amortization!E$17:E$1017,Amortization!$A$17:$A$1017,$B618))</f>
        <v/>
      </c>
      <c r="D618" s="17" t="str">
        <f>IF($A618="","",SUMIFS(Amortization!F$17:F$1017,Amortization!$A$17:$A$1017,$B618))</f>
        <v/>
      </c>
      <c r="E618" s="17" t="str">
        <f>IF($A618="","",SUMIFS(Amortization!G$17:G$1017,Amortization!$A$17:$A$1017,$B618))</f>
        <v/>
      </c>
    </row>
    <row r="619" spans="2:5" hidden="1" x14ac:dyDescent="0.3">
      <c r="B619" s="1" t="str">
        <f t="shared" si="10"/>
        <v/>
      </c>
      <c r="C619" s="17" t="str">
        <f>IF($A619="","",SUMIFS(Amortization!E$17:E$1017,Amortization!$A$17:$A$1017,$B619))</f>
        <v/>
      </c>
      <c r="D619" s="17" t="str">
        <f>IF($A619="","",SUMIFS(Amortization!F$17:F$1017,Amortization!$A$17:$A$1017,$B619))</f>
        <v/>
      </c>
      <c r="E619" s="17" t="str">
        <f>IF($A619="","",SUMIFS(Amortization!G$17:G$1017,Amortization!$A$17:$A$1017,$B619))</f>
        <v/>
      </c>
    </row>
    <row r="620" spans="2:5" hidden="1" x14ac:dyDescent="0.3">
      <c r="B620" s="1" t="str">
        <f t="shared" si="10"/>
        <v/>
      </c>
      <c r="C620" s="17" t="str">
        <f>IF($A620="","",SUMIFS(Amortization!E$17:E$1017,Amortization!$A$17:$A$1017,$B620))</f>
        <v/>
      </c>
      <c r="D620" s="17" t="str">
        <f>IF($A620="","",SUMIFS(Amortization!F$17:F$1017,Amortization!$A$17:$A$1017,$B620))</f>
        <v/>
      </c>
      <c r="E620" s="17" t="str">
        <f>IF($A620="","",SUMIFS(Amortization!G$17:G$1017,Amortization!$A$17:$A$1017,$B620))</f>
        <v/>
      </c>
    </row>
    <row r="621" spans="2:5" hidden="1" x14ac:dyDescent="0.3">
      <c r="B621" s="1" t="str">
        <f t="shared" si="10"/>
        <v/>
      </c>
      <c r="C621" s="17" t="str">
        <f>IF($A621="","",SUMIFS(Amortization!E$17:E$1017,Amortization!$A$17:$A$1017,$B621))</f>
        <v/>
      </c>
      <c r="D621" s="17" t="str">
        <f>IF($A621="","",SUMIFS(Amortization!F$17:F$1017,Amortization!$A$17:$A$1017,$B621))</f>
        <v/>
      </c>
      <c r="E621" s="17" t="str">
        <f>IF($A621="","",SUMIFS(Amortization!G$17:G$1017,Amortization!$A$17:$A$1017,$B621))</f>
        <v/>
      </c>
    </row>
    <row r="622" spans="2:5" hidden="1" x14ac:dyDescent="0.3">
      <c r="B622" s="1" t="str">
        <f t="shared" si="10"/>
        <v/>
      </c>
      <c r="C622" s="17" t="str">
        <f>IF($A622="","",SUMIFS(Amortization!E$17:E$1017,Amortization!$A$17:$A$1017,$B622))</f>
        <v/>
      </c>
      <c r="D622" s="17" t="str">
        <f>IF($A622="","",SUMIFS(Amortization!F$17:F$1017,Amortization!$A$17:$A$1017,$B622))</f>
        <v/>
      </c>
      <c r="E622" s="17" t="str">
        <f>IF($A622="","",SUMIFS(Amortization!G$17:G$1017,Amortization!$A$17:$A$1017,$B622))</f>
        <v/>
      </c>
    </row>
    <row r="623" spans="2:5" hidden="1" x14ac:dyDescent="0.3">
      <c r="B623" s="1" t="str">
        <f t="shared" si="10"/>
        <v/>
      </c>
      <c r="C623" s="17" t="str">
        <f>IF($A623="","",SUMIFS(Amortization!E$17:E$1017,Amortization!$A$17:$A$1017,$B623))</f>
        <v/>
      </c>
      <c r="D623" s="17" t="str">
        <f>IF($A623="","",SUMIFS(Amortization!F$17:F$1017,Amortization!$A$17:$A$1017,$B623))</f>
        <v/>
      </c>
      <c r="E623" s="17" t="str">
        <f>IF($A623="","",SUMIFS(Amortization!G$17:G$1017,Amortization!$A$17:$A$1017,$B623))</f>
        <v/>
      </c>
    </row>
    <row r="624" spans="2:5" hidden="1" x14ac:dyDescent="0.3">
      <c r="B624" s="1" t="str">
        <f t="shared" si="10"/>
        <v/>
      </c>
      <c r="C624" s="17" t="str">
        <f>IF($A624="","",SUMIFS(Amortization!E$17:E$1017,Amortization!$A$17:$A$1017,$B624))</f>
        <v/>
      </c>
      <c r="D624" s="17" t="str">
        <f>IF($A624="","",SUMIFS(Amortization!F$17:F$1017,Amortization!$A$17:$A$1017,$B624))</f>
        <v/>
      </c>
      <c r="E624" s="17" t="str">
        <f>IF($A624="","",SUMIFS(Amortization!G$17:G$1017,Amortization!$A$17:$A$1017,$B624))</f>
        <v/>
      </c>
    </row>
    <row r="625" spans="2:5" hidden="1" x14ac:dyDescent="0.3">
      <c r="B625" s="1" t="str">
        <f t="shared" si="10"/>
        <v/>
      </c>
      <c r="C625" s="17" t="str">
        <f>IF($A625="","",SUMIFS(Amortization!E$17:E$1017,Amortization!$A$17:$A$1017,$B625))</f>
        <v/>
      </c>
      <c r="D625" s="17" t="str">
        <f>IF($A625="","",SUMIFS(Amortization!F$17:F$1017,Amortization!$A$17:$A$1017,$B625))</f>
        <v/>
      </c>
      <c r="E625" s="17" t="str">
        <f>IF($A625="","",SUMIFS(Amortization!G$17:G$1017,Amortization!$A$17:$A$1017,$B625))</f>
        <v/>
      </c>
    </row>
    <row r="626" spans="2:5" hidden="1" x14ac:dyDescent="0.3">
      <c r="B626" s="1" t="str">
        <f t="shared" si="10"/>
        <v/>
      </c>
      <c r="C626" s="17" t="str">
        <f>IF($A626="","",SUMIFS(Amortization!E$17:E$1017,Amortization!$A$17:$A$1017,$B626))</f>
        <v/>
      </c>
      <c r="D626" s="17" t="str">
        <f>IF($A626="","",SUMIFS(Amortization!F$17:F$1017,Amortization!$A$17:$A$1017,$B626))</f>
        <v/>
      </c>
      <c r="E626" s="17" t="str">
        <f>IF($A626="","",SUMIFS(Amortization!G$17:G$1017,Amortization!$A$17:$A$1017,$B626))</f>
        <v/>
      </c>
    </row>
    <row r="627" spans="2:5" hidden="1" x14ac:dyDescent="0.3">
      <c r="B627" s="1" t="str">
        <f t="shared" si="10"/>
        <v/>
      </c>
      <c r="C627" s="17" t="str">
        <f>IF($A627="","",SUMIFS(Amortization!E$17:E$1017,Amortization!$A$17:$A$1017,$B627))</f>
        <v/>
      </c>
      <c r="D627" s="17" t="str">
        <f>IF($A627="","",SUMIFS(Amortization!F$17:F$1017,Amortization!$A$17:$A$1017,$B627))</f>
        <v/>
      </c>
      <c r="E627" s="17" t="str">
        <f>IF($A627="","",SUMIFS(Amortization!G$17:G$1017,Amortization!$A$17:$A$1017,$B627))</f>
        <v/>
      </c>
    </row>
    <row r="628" spans="2:5" hidden="1" x14ac:dyDescent="0.3">
      <c r="B628" s="1" t="str">
        <f t="shared" si="10"/>
        <v/>
      </c>
      <c r="C628" s="17" t="str">
        <f>IF($A628="","",SUMIFS(Amortization!E$17:E$1017,Amortization!$A$17:$A$1017,$B628))</f>
        <v/>
      </c>
      <c r="D628" s="17" t="str">
        <f>IF($A628="","",SUMIFS(Amortization!F$17:F$1017,Amortization!$A$17:$A$1017,$B628))</f>
        <v/>
      </c>
      <c r="E628" s="17" t="str">
        <f>IF($A628="","",SUMIFS(Amortization!G$17:G$1017,Amortization!$A$17:$A$1017,$B628))</f>
        <v/>
      </c>
    </row>
    <row r="629" spans="2:5" hidden="1" x14ac:dyDescent="0.3">
      <c r="B629" s="1" t="str">
        <f t="shared" si="10"/>
        <v/>
      </c>
      <c r="C629" s="17" t="str">
        <f>IF($A629="","",SUMIFS(Amortization!E$17:E$1017,Amortization!$A$17:$A$1017,$B629))</f>
        <v/>
      </c>
      <c r="D629" s="17" t="str">
        <f>IF($A629="","",SUMIFS(Amortization!F$17:F$1017,Amortization!$A$17:$A$1017,$B629))</f>
        <v/>
      </c>
      <c r="E629" s="17" t="str">
        <f>IF($A629="","",SUMIFS(Amortization!G$17:G$1017,Amortization!$A$17:$A$1017,$B629))</f>
        <v/>
      </c>
    </row>
    <row r="630" spans="2:5" hidden="1" x14ac:dyDescent="0.3">
      <c r="B630" s="1" t="str">
        <f t="shared" si="10"/>
        <v/>
      </c>
      <c r="C630" s="17" t="str">
        <f>IF($A630="","",SUMIFS(Amortization!E$17:E$1017,Amortization!$A$17:$A$1017,$B630))</f>
        <v/>
      </c>
      <c r="D630" s="17" t="str">
        <f>IF($A630="","",SUMIFS(Amortization!F$17:F$1017,Amortization!$A$17:$A$1017,$B630))</f>
        <v/>
      </c>
      <c r="E630" s="17" t="str">
        <f>IF($A630="","",SUMIFS(Amortization!G$17:G$1017,Amortization!$A$17:$A$1017,$B630))</f>
        <v/>
      </c>
    </row>
    <row r="631" spans="2:5" hidden="1" x14ac:dyDescent="0.3">
      <c r="B631" s="1" t="str">
        <f t="shared" si="10"/>
        <v/>
      </c>
      <c r="C631" s="17" t="str">
        <f>IF($A631="","",SUMIFS(Amortization!E$17:E$1017,Amortization!$A$17:$A$1017,$B631))</f>
        <v/>
      </c>
      <c r="D631" s="17" t="str">
        <f>IF($A631="","",SUMIFS(Amortization!F$17:F$1017,Amortization!$A$17:$A$1017,$B631))</f>
        <v/>
      </c>
      <c r="E631" s="17" t="str">
        <f>IF($A631="","",SUMIFS(Amortization!G$17:G$1017,Amortization!$A$17:$A$1017,$B631))</f>
        <v/>
      </c>
    </row>
    <row r="632" spans="2:5" hidden="1" x14ac:dyDescent="0.3">
      <c r="B632" s="1" t="str">
        <f t="shared" si="10"/>
        <v/>
      </c>
      <c r="C632" s="17" t="str">
        <f>IF($A632="","",SUMIFS(Amortization!E$17:E$1017,Amortization!$A$17:$A$1017,$B632))</f>
        <v/>
      </c>
      <c r="D632" s="17" t="str">
        <f>IF($A632="","",SUMIFS(Amortization!F$17:F$1017,Amortization!$A$17:$A$1017,$B632))</f>
        <v/>
      </c>
      <c r="E632" s="17" t="str">
        <f>IF($A632="","",SUMIFS(Amortization!G$17:G$1017,Amortization!$A$17:$A$1017,$B632))</f>
        <v/>
      </c>
    </row>
    <row r="633" spans="2:5" hidden="1" x14ac:dyDescent="0.3">
      <c r="B633" s="1" t="str">
        <f t="shared" si="10"/>
        <v/>
      </c>
      <c r="C633" s="17" t="str">
        <f>IF($A633="","",SUMIFS(Amortization!E$17:E$1017,Amortization!$A$17:$A$1017,$B633))</f>
        <v/>
      </c>
      <c r="D633" s="17" t="str">
        <f>IF($A633="","",SUMIFS(Amortization!F$17:F$1017,Amortization!$A$17:$A$1017,$B633))</f>
        <v/>
      </c>
      <c r="E633" s="17" t="str">
        <f>IF($A633="","",SUMIFS(Amortization!G$17:G$1017,Amortization!$A$17:$A$1017,$B633))</f>
        <v/>
      </c>
    </row>
    <row r="634" spans="2:5" hidden="1" x14ac:dyDescent="0.3">
      <c r="B634" s="1" t="str">
        <f t="shared" si="10"/>
        <v/>
      </c>
      <c r="C634" s="17" t="str">
        <f>IF($A634="","",SUMIFS(Amortization!E$17:E$1017,Amortization!$A$17:$A$1017,$B634))</f>
        <v/>
      </c>
      <c r="D634" s="17" t="str">
        <f>IF($A634="","",SUMIFS(Amortization!F$17:F$1017,Amortization!$A$17:$A$1017,$B634))</f>
        <v/>
      </c>
      <c r="E634" s="17" t="str">
        <f>IF($A634="","",SUMIFS(Amortization!G$17:G$1017,Amortization!$A$17:$A$1017,$B634))</f>
        <v/>
      </c>
    </row>
    <row r="635" spans="2:5" hidden="1" x14ac:dyDescent="0.3">
      <c r="B635" s="1" t="str">
        <f t="shared" si="10"/>
        <v/>
      </c>
      <c r="C635" s="17" t="str">
        <f>IF($A635="","",SUMIFS(Amortization!E$17:E$1017,Amortization!$A$17:$A$1017,$B635))</f>
        <v/>
      </c>
      <c r="D635" s="17" t="str">
        <f>IF($A635="","",SUMIFS(Amortization!F$17:F$1017,Amortization!$A$17:$A$1017,$B635))</f>
        <v/>
      </c>
      <c r="E635" s="17" t="str">
        <f>IF($A635="","",SUMIFS(Amortization!G$17:G$1017,Amortization!$A$17:$A$1017,$B635))</f>
        <v/>
      </c>
    </row>
    <row r="636" spans="2:5" hidden="1" x14ac:dyDescent="0.3">
      <c r="B636" s="1" t="str">
        <f t="shared" si="10"/>
        <v/>
      </c>
      <c r="C636" s="17" t="str">
        <f>IF($A636="","",SUMIFS(Amortization!E$17:E$1017,Amortization!$A$17:$A$1017,$B636))</f>
        <v/>
      </c>
      <c r="D636" s="17" t="str">
        <f>IF($A636="","",SUMIFS(Amortization!F$17:F$1017,Amortization!$A$17:$A$1017,$B636))</f>
        <v/>
      </c>
      <c r="E636" s="17" t="str">
        <f>IF($A636="","",SUMIFS(Amortization!G$17:G$1017,Amortization!$A$17:$A$1017,$B636))</f>
        <v/>
      </c>
    </row>
    <row r="637" spans="2:5" hidden="1" x14ac:dyDescent="0.3">
      <c r="B637" s="1" t="str">
        <f t="shared" si="10"/>
        <v/>
      </c>
      <c r="C637" s="17" t="str">
        <f>IF($A637="","",SUMIFS(Amortization!E$17:E$1017,Amortization!$A$17:$A$1017,$B637))</f>
        <v/>
      </c>
      <c r="D637" s="17" t="str">
        <f>IF($A637="","",SUMIFS(Amortization!F$17:F$1017,Amortization!$A$17:$A$1017,$B637))</f>
        <v/>
      </c>
      <c r="E637" s="17" t="str">
        <f>IF($A637="","",SUMIFS(Amortization!G$17:G$1017,Amortization!$A$17:$A$1017,$B637))</f>
        <v/>
      </c>
    </row>
    <row r="638" spans="2:5" hidden="1" x14ac:dyDescent="0.3">
      <c r="B638" s="1" t="str">
        <f t="shared" si="10"/>
        <v/>
      </c>
      <c r="C638" s="17" t="str">
        <f>IF($A638="","",SUMIFS(Amortization!E$17:E$1017,Amortization!$A$17:$A$1017,$B638))</f>
        <v/>
      </c>
      <c r="D638" s="17" t="str">
        <f>IF($A638="","",SUMIFS(Amortization!F$17:F$1017,Amortization!$A$17:$A$1017,$B638))</f>
        <v/>
      </c>
      <c r="E638" s="17" t="str">
        <f>IF($A638="","",SUMIFS(Amortization!G$17:G$1017,Amortization!$A$17:$A$1017,$B638))</f>
        <v/>
      </c>
    </row>
    <row r="639" spans="2:5" hidden="1" x14ac:dyDescent="0.3">
      <c r="B639" s="1" t="str">
        <f t="shared" si="10"/>
        <v/>
      </c>
      <c r="C639" s="17" t="str">
        <f>IF($A639="","",SUMIFS(Amortization!E$17:E$1017,Amortization!$A$17:$A$1017,$B639))</f>
        <v/>
      </c>
      <c r="D639" s="17" t="str">
        <f>IF($A639="","",SUMIFS(Amortization!F$17:F$1017,Amortization!$A$17:$A$1017,$B639))</f>
        <v/>
      </c>
      <c r="E639" s="17" t="str">
        <f>IF($A639="","",SUMIFS(Amortization!G$17:G$1017,Amortization!$A$17:$A$1017,$B639))</f>
        <v/>
      </c>
    </row>
    <row r="640" spans="2:5" hidden="1" x14ac:dyDescent="0.3">
      <c r="B640" s="1" t="str">
        <f t="shared" si="10"/>
        <v/>
      </c>
      <c r="C640" s="17" t="str">
        <f>IF($A640="","",SUMIFS(Amortization!E$17:E$1017,Amortization!$A$17:$A$1017,$B640))</f>
        <v/>
      </c>
      <c r="D640" s="17" t="str">
        <f>IF($A640="","",SUMIFS(Amortization!F$17:F$1017,Amortization!$A$17:$A$1017,$B640))</f>
        <v/>
      </c>
      <c r="E640" s="17" t="str">
        <f>IF($A640="","",SUMIFS(Amortization!G$17:G$1017,Amortization!$A$17:$A$1017,$B640))</f>
        <v/>
      </c>
    </row>
    <row r="641" spans="2:5" hidden="1" x14ac:dyDescent="0.3">
      <c r="B641" s="1" t="str">
        <f t="shared" si="10"/>
        <v/>
      </c>
      <c r="C641" s="17" t="str">
        <f>IF($A641="","",SUMIFS(Amortization!E$17:E$1017,Amortization!$A$17:$A$1017,$B641))</f>
        <v/>
      </c>
      <c r="D641" s="17" t="str">
        <f>IF($A641="","",SUMIFS(Amortization!F$17:F$1017,Amortization!$A$17:$A$1017,$B641))</f>
        <v/>
      </c>
      <c r="E641" s="17" t="str">
        <f>IF($A641="","",SUMIFS(Amortization!G$17:G$1017,Amortization!$A$17:$A$1017,$B641))</f>
        <v/>
      </c>
    </row>
    <row r="642" spans="2:5" hidden="1" x14ac:dyDescent="0.3">
      <c r="B642" s="1" t="str">
        <f t="shared" si="10"/>
        <v/>
      </c>
      <c r="C642" s="17" t="str">
        <f>IF($A642="","",SUMIFS(Amortization!E$17:E$1017,Amortization!$A$17:$A$1017,$B642))</f>
        <v/>
      </c>
      <c r="D642" s="17" t="str">
        <f>IF($A642="","",SUMIFS(Amortization!F$17:F$1017,Amortization!$A$17:$A$1017,$B642))</f>
        <v/>
      </c>
      <c r="E642" s="17" t="str">
        <f>IF($A642="","",SUMIFS(Amortization!G$17:G$1017,Amortization!$A$17:$A$1017,$B642))</f>
        <v/>
      </c>
    </row>
    <row r="643" spans="2:5" hidden="1" x14ac:dyDescent="0.3">
      <c r="B643" s="1" t="str">
        <f t="shared" si="10"/>
        <v/>
      </c>
      <c r="C643" s="17" t="str">
        <f>IF($A643="","",SUMIFS(Amortization!E$17:E$1017,Amortization!$A$17:$A$1017,$B643))</f>
        <v/>
      </c>
      <c r="D643" s="17" t="str">
        <f>IF($A643="","",SUMIFS(Amortization!F$17:F$1017,Amortization!$A$17:$A$1017,$B643))</f>
        <v/>
      </c>
      <c r="E643" s="17" t="str">
        <f>IF($A643="","",SUMIFS(Amortization!G$17:G$1017,Amortization!$A$17:$A$1017,$B643))</f>
        <v/>
      </c>
    </row>
    <row r="644" spans="2:5" hidden="1" x14ac:dyDescent="0.3">
      <c r="B644" s="1" t="str">
        <f t="shared" si="10"/>
        <v/>
      </c>
      <c r="C644" s="17" t="str">
        <f>IF($A644="","",SUMIFS(Amortization!E$17:E$1017,Amortization!$A$17:$A$1017,$B644))</f>
        <v/>
      </c>
      <c r="D644" s="17" t="str">
        <f>IF($A644="","",SUMIFS(Amortization!F$17:F$1017,Amortization!$A$17:$A$1017,$B644))</f>
        <v/>
      </c>
      <c r="E644" s="17" t="str">
        <f>IF($A644="","",SUMIFS(Amortization!G$17:G$1017,Amortization!$A$17:$A$1017,$B644))</f>
        <v/>
      </c>
    </row>
    <row r="645" spans="2:5" hidden="1" x14ac:dyDescent="0.3">
      <c r="B645" s="1" t="str">
        <f t="shared" si="10"/>
        <v/>
      </c>
      <c r="C645" s="17" t="str">
        <f>IF($A645="","",SUMIFS(Amortization!E$17:E$1017,Amortization!$A$17:$A$1017,$B645))</f>
        <v/>
      </c>
      <c r="D645" s="17" t="str">
        <f>IF($A645="","",SUMIFS(Amortization!F$17:F$1017,Amortization!$A$17:$A$1017,$B645))</f>
        <v/>
      </c>
      <c r="E645" s="17" t="str">
        <f>IF($A645="","",SUMIFS(Amortization!G$17:G$1017,Amortization!$A$17:$A$1017,$B645))</f>
        <v/>
      </c>
    </row>
    <row r="646" spans="2:5" hidden="1" x14ac:dyDescent="0.3">
      <c r="B646" s="1" t="str">
        <f t="shared" si="10"/>
        <v/>
      </c>
      <c r="C646" s="17" t="str">
        <f>IF($A646="","",SUMIFS(Amortization!E$17:E$1017,Amortization!$A$17:$A$1017,$B646))</f>
        <v/>
      </c>
      <c r="D646" s="17" t="str">
        <f>IF($A646="","",SUMIFS(Amortization!F$17:F$1017,Amortization!$A$17:$A$1017,$B646))</f>
        <v/>
      </c>
      <c r="E646" s="17" t="str">
        <f>IF($A646="","",SUMIFS(Amortization!G$17:G$1017,Amortization!$A$17:$A$1017,$B646))</f>
        <v/>
      </c>
    </row>
    <row r="647" spans="2:5" hidden="1" x14ac:dyDescent="0.3">
      <c r="B647" s="1" t="str">
        <f t="shared" si="10"/>
        <v/>
      </c>
      <c r="C647" s="17" t="str">
        <f>IF($A647="","",SUMIFS(Amortization!E$17:E$1017,Amortization!$A$17:$A$1017,$B647))</f>
        <v/>
      </c>
      <c r="D647" s="17" t="str">
        <f>IF($A647="","",SUMIFS(Amortization!F$17:F$1017,Amortization!$A$17:$A$1017,$B647))</f>
        <v/>
      </c>
      <c r="E647" s="17" t="str">
        <f>IF($A647="","",SUMIFS(Amortization!G$17:G$1017,Amortization!$A$17:$A$1017,$B647))</f>
        <v/>
      </c>
    </row>
    <row r="648" spans="2:5" hidden="1" x14ac:dyDescent="0.3">
      <c r="B648" s="1" t="str">
        <f t="shared" si="10"/>
        <v/>
      </c>
      <c r="C648" s="17" t="str">
        <f>IF($A648="","",SUMIFS(Amortization!E$17:E$1017,Amortization!$A$17:$A$1017,$B648))</f>
        <v/>
      </c>
      <c r="D648" s="17" t="str">
        <f>IF($A648="","",SUMIFS(Amortization!F$17:F$1017,Amortization!$A$17:$A$1017,$B648))</f>
        <v/>
      </c>
      <c r="E648" s="17" t="str">
        <f>IF($A648="","",SUMIFS(Amortization!G$17:G$1017,Amortization!$A$17:$A$1017,$B648))</f>
        <v/>
      </c>
    </row>
    <row r="649" spans="2:5" hidden="1" x14ac:dyDescent="0.3">
      <c r="B649" s="1" t="str">
        <f t="shared" si="10"/>
        <v/>
      </c>
      <c r="C649" s="17" t="str">
        <f>IF($A649="","",SUMIFS(Amortization!E$17:E$1017,Amortization!$A$17:$A$1017,$B649))</f>
        <v/>
      </c>
      <c r="D649" s="17" t="str">
        <f>IF($A649="","",SUMIFS(Amortization!F$17:F$1017,Amortization!$A$17:$A$1017,$B649))</f>
        <v/>
      </c>
      <c r="E649" s="17" t="str">
        <f>IF($A649="","",SUMIFS(Amortization!G$17:G$1017,Amortization!$A$17:$A$1017,$B649))</f>
        <v/>
      </c>
    </row>
    <row r="650" spans="2:5" hidden="1" x14ac:dyDescent="0.3">
      <c r="B650" s="1" t="str">
        <f t="shared" si="10"/>
        <v/>
      </c>
      <c r="C650" s="17" t="str">
        <f>IF($A650="","",SUMIFS(Amortization!E$17:E$1017,Amortization!$A$17:$A$1017,$B650))</f>
        <v/>
      </c>
      <c r="D650" s="17" t="str">
        <f>IF($A650="","",SUMIFS(Amortization!F$17:F$1017,Amortization!$A$17:$A$1017,$B650))</f>
        <v/>
      </c>
      <c r="E650" s="17" t="str">
        <f>IF($A650="","",SUMIFS(Amortization!G$17:G$1017,Amortization!$A$17:$A$1017,$B650))</f>
        <v/>
      </c>
    </row>
    <row r="651" spans="2:5" hidden="1" x14ac:dyDescent="0.3">
      <c r="B651" s="1" t="str">
        <f t="shared" si="10"/>
        <v/>
      </c>
      <c r="C651" s="17" t="str">
        <f>IF($A651="","",SUMIFS(Amortization!E$17:E$1017,Amortization!$A$17:$A$1017,$B651))</f>
        <v/>
      </c>
      <c r="D651" s="17" t="str">
        <f>IF($A651="","",SUMIFS(Amortization!F$17:F$1017,Amortization!$A$17:$A$1017,$B651))</f>
        <v/>
      </c>
      <c r="E651" s="17" t="str">
        <f>IF($A651="","",SUMIFS(Amortization!G$17:G$1017,Amortization!$A$17:$A$1017,$B651))</f>
        <v/>
      </c>
    </row>
    <row r="652" spans="2:5" hidden="1" x14ac:dyDescent="0.3">
      <c r="B652" s="1" t="str">
        <f t="shared" si="10"/>
        <v/>
      </c>
      <c r="C652" s="17" t="str">
        <f>IF($A652="","",SUMIFS(Amortization!E$17:E$1017,Amortization!$A$17:$A$1017,$B652))</f>
        <v/>
      </c>
      <c r="D652" s="17" t="str">
        <f>IF($A652="","",SUMIFS(Amortization!F$17:F$1017,Amortization!$A$17:$A$1017,$B652))</f>
        <v/>
      </c>
      <c r="E652" s="17" t="str">
        <f>IF($A652="","",SUMIFS(Amortization!G$17:G$1017,Amortization!$A$17:$A$1017,$B652))</f>
        <v/>
      </c>
    </row>
    <row r="653" spans="2:5" hidden="1" x14ac:dyDescent="0.3">
      <c r="B653" s="1" t="str">
        <f t="shared" si="10"/>
        <v/>
      </c>
      <c r="C653" s="17" t="str">
        <f>IF($A653="","",SUMIFS(Amortization!E$17:E$1017,Amortization!$A$17:$A$1017,$B653))</f>
        <v/>
      </c>
      <c r="D653" s="17" t="str">
        <f>IF($A653="","",SUMIFS(Amortization!F$17:F$1017,Amortization!$A$17:$A$1017,$B653))</f>
        <v/>
      </c>
      <c r="E653" s="17" t="str">
        <f>IF($A653="","",SUMIFS(Amortization!G$17:G$1017,Amortization!$A$17:$A$1017,$B653))</f>
        <v/>
      </c>
    </row>
    <row r="654" spans="2:5" hidden="1" x14ac:dyDescent="0.3">
      <c r="B654" s="1" t="str">
        <f t="shared" si="10"/>
        <v/>
      </c>
      <c r="C654" s="17" t="str">
        <f>IF($A654="","",SUMIFS(Amortization!E$17:E$1017,Amortization!$A$17:$A$1017,$B654))</f>
        <v/>
      </c>
      <c r="D654" s="17" t="str">
        <f>IF($A654="","",SUMIFS(Amortization!F$17:F$1017,Amortization!$A$17:$A$1017,$B654))</f>
        <v/>
      </c>
      <c r="E654" s="17" t="str">
        <f>IF($A654="","",SUMIFS(Amortization!G$17:G$1017,Amortization!$A$17:$A$1017,$B654))</f>
        <v/>
      </c>
    </row>
    <row r="655" spans="2:5" hidden="1" x14ac:dyDescent="0.3">
      <c r="B655" s="1" t="str">
        <f t="shared" si="10"/>
        <v/>
      </c>
      <c r="C655" s="17" t="str">
        <f>IF($A655="","",SUMIFS(Amortization!E$17:E$1017,Amortization!$A$17:$A$1017,$B655))</f>
        <v/>
      </c>
      <c r="D655" s="17" t="str">
        <f>IF($A655="","",SUMIFS(Amortization!F$17:F$1017,Amortization!$A$17:$A$1017,$B655))</f>
        <v/>
      </c>
      <c r="E655" s="17" t="str">
        <f>IF($A655="","",SUMIFS(Amortization!G$17:G$1017,Amortization!$A$17:$A$1017,$B655))</f>
        <v/>
      </c>
    </row>
    <row r="656" spans="2:5" hidden="1" x14ac:dyDescent="0.3">
      <c r="B656" s="1" t="str">
        <f t="shared" si="10"/>
        <v/>
      </c>
      <c r="C656" s="17" t="str">
        <f>IF($A656="","",SUMIFS(Amortization!E$17:E$1017,Amortization!$A$17:$A$1017,$B656))</f>
        <v/>
      </c>
      <c r="D656" s="17" t="str">
        <f>IF($A656="","",SUMIFS(Amortization!F$17:F$1017,Amortization!$A$17:$A$1017,$B656))</f>
        <v/>
      </c>
      <c r="E656" s="17" t="str">
        <f>IF($A656="","",SUMIFS(Amortization!G$17:G$1017,Amortization!$A$17:$A$1017,$B656))</f>
        <v/>
      </c>
    </row>
    <row r="657" spans="2:5" hidden="1" x14ac:dyDescent="0.3">
      <c r="B657" s="1" t="str">
        <f t="shared" si="10"/>
        <v/>
      </c>
      <c r="C657" s="17" t="str">
        <f>IF($A657="","",SUMIFS(Amortization!E$17:E$1017,Amortization!$A$17:$A$1017,$B657))</f>
        <v/>
      </c>
      <c r="D657" s="17" t="str">
        <f>IF($A657="","",SUMIFS(Amortization!F$17:F$1017,Amortization!$A$17:$A$1017,$B657))</f>
        <v/>
      </c>
      <c r="E657" s="17" t="str">
        <f>IF($A657="","",SUMIFS(Amortization!G$17:G$1017,Amortization!$A$17:$A$1017,$B657))</f>
        <v/>
      </c>
    </row>
    <row r="658" spans="2:5" hidden="1" x14ac:dyDescent="0.3">
      <c r="B658" s="1" t="str">
        <f t="shared" si="10"/>
        <v/>
      </c>
      <c r="C658" s="17" t="str">
        <f>IF($A658="","",SUMIFS(Amortization!E$17:E$1017,Amortization!$A$17:$A$1017,$B658))</f>
        <v/>
      </c>
      <c r="D658" s="17" t="str">
        <f>IF($A658="","",SUMIFS(Amortization!F$17:F$1017,Amortization!$A$17:$A$1017,$B658))</f>
        <v/>
      </c>
      <c r="E658" s="17" t="str">
        <f>IF($A658="","",SUMIFS(Amortization!G$17:G$1017,Amortization!$A$17:$A$1017,$B658))</f>
        <v/>
      </c>
    </row>
    <row r="659" spans="2:5" hidden="1" x14ac:dyDescent="0.3">
      <c r="B659" s="1" t="str">
        <f t="shared" ref="B659:B722" si="11">IF(A659="","",B658+1)</f>
        <v/>
      </c>
      <c r="C659" s="17" t="str">
        <f>IF($A659="","",SUMIFS(Amortization!E$17:E$1017,Amortization!$A$17:$A$1017,$B659))</f>
        <v/>
      </c>
      <c r="D659" s="17" t="str">
        <f>IF($A659="","",SUMIFS(Amortization!F$17:F$1017,Amortization!$A$17:$A$1017,$B659))</f>
        <v/>
      </c>
      <c r="E659" s="17" t="str">
        <f>IF($A659="","",SUMIFS(Amortization!G$17:G$1017,Amortization!$A$17:$A$1017,$B659))</f>
        <v/>
      </c>
    </row>
    <row r="660" spans="2:5" hidden="1" x14ac:dyDescent="0.3">
      <c r="B660" s="1" t="str">
        <f t="shared" si="11"/>
        <v/>
      </c>
      <c r="C660" s="17" t="str">
        <f>IF($A660="","",SUMIFS(Amortization!E$17:E$1017,Amortization!$A$17:$A$1017,$B660))</f>
        <v/>
      </c>
      <c r="D660" s="17" t="str">
        <f>IF($A660="","",SUMIFS(Amortization!F$17:F$1017,Amortization!$A$17:$A$1017,$B660))</f>
        <v/>
      </c>
      <c r="E660" s="17" t="str">
        <f>IF($A660="","",SUMIFS(Amortization!G$17:G$1017,Amortization!$A$17:$A$1017,$B660))</f>
        <v/>
      </c>
    </row>
    <row r="661" spans="2:5" hidden="1" x14ac:dyDescent="0.3">
      <c r="B661" s="1" t="str">
        <f t="shared" si="11"/>
        <v/>
      </c>
      <c r="C661" s="17" t="str">
        <f>IF($A661="","",SUMIFS(Amortization!E$17:E$1017,Amortization!$A$17:$A$1017,$B661))</f>
        <v/>
      </c>
      <c r="D661" s="17" t="str">
        <f>IF($A661="","",SUMIFS(Amortization!F$17:F$1017,Amortization!$A$17:$A$1017,$B661))</f>
        <v/>
      </c>
      <c r="E661" s="17" t="str">
        <f>IF($A661="","",SUMIFS(Amortization!G$17:G$1017,Amortization!$A$17:$A$1017,$B661))</f>
        <v/>
      </c>
    </row>
    <row r="662" spans="2:5" hidden="1" x14ac:dyDescent="0.3">
      <c r="B662" s="1" t="str">
        <f t="shared" si="11"/>
        <v/>
      </c>
      <c r="C662" s="17" t="str">
        <f>IF($A662="","",SUMIFS(Amortization!E$17:E$1017,Amortization!$A$17:$A$1017,$B662))</f>
        <v/>
      </c>
      <c r="D662" s="17" t="str">
        <f>IF($A662="","",SUMIFS(Amortization!F$17:F$1017,Amortization!$A$17:$A$1017,$B662))</f>
        <v/>
      </c>
      <c r="E662" s="17" t="str">
        <f>IF($A662="","",SUMIFS(Amortization!G$17:G$1017,Amortization!$A$17:$A$1017,$B662))</f>
        <v/>
      </c>
    </row>
    <row r="663" spans="2:5" hidden="1" x14ac:dyDescent="0.3">
      <c r="B663" s="1" t="str">
        <f t="shared" si="11"/>
        <v/>
      </c>
      <c r="C663" s="17" t="str">
        <f>IF($A663="","",SUMIFS(Amortization!E$17:E$1017,Amortization!$A$17:$A$1017,$B663))</f>
        <v/>
      </c>
      <c r="D663" s="17" t="str">
        <f>IF($A663="","",SUMIFS(Amortization!F$17:F$1017,Amortization!$A$17:$A$1017,$B663))</f>
        <v/>
      </c>
      <c r="E663" s="17" t="str">
        <f>IF($A663="","",SUMIFS(Amortization!G$17:G$1017,Amortization!$A$17:$A$1017,$B663))</f>
        <v/>
      </c>
    </row>
    <row r="664" spans="2:5" hidden="1" x14ac:dyDescent="0.3">
      <c r="B664" s="1" t="str">
        <f t="shared" si="11"/>
        <v/>
      </c>
      <c r="C664" s="17" t="str">
        <f>IF($A664="","",SUMIFS(Amortization!E$17:E$1017,Amortization!$A$17:$A$1017,$B664))</f>
        <v/>
      </c>
      <c r="D664" s="17" t="str">
        <f>IF($A664="","",SUMIFS(Amortization!F$17:F$1017,Amortization!$A$17:$A$1017,$B664))</f>
        <v/>
      </c>
      <c r="E664" s="17" t="str">
        <f>IF($A664="","",SUMIFS(Amortization!G$17:G$1017,Amortization!$A$17:$A$1017,$B664))</f>
        <v/>
      </c>
    </row>
    <row r="665" spans="2:5" hidden="1" x14ac:dyDescent="0.3">
      <c r="B665" s="1" t="str">
        <f t="shared" si="11"/>
        <v/>
      </c>
      <c r="C665" s="17" t="str">
        <f>IF($A665="","",SUMIFS(Amortization!E$17:E$1017,Amortization!$A$17:$A$1017,$B665))</f>
        <v/>
      </c>
      <c r="D665" s="17" t="str">
        <f>IF($A665="","",SUMIFS(Amortization!F$17:F$1017,Amortization!$A$17:$A$1017,$B665))</f>
        <v/>
      </c>
      <c r="E665" s="17" t="str">
        <f>IF($A665="","",SUMIFS(Amortization!G$17:G$1017,Amortization!$A$17:$A$1017,$B665))</f>
        <v/>
      </c>
    </row>
    <row r="666" spans="2:5" hidden="1" x14ac:dyDescent="0.3">
      <c r="B666" s="1" t="str">
        <f t="shared" si="11"/>
        <v/>
      </c>
      <c r="C666" s="17" t="str">
        <f>IF($A666="","",SUMIFS(Amortization!E$17:E$1017,Amortization!$A$17:$A$1017,$B666))</f>
        <v/>
      </c>
      <c r="D666" s="17" t="str">
        <f>IF($A666="","",SUMIFS(Amortization!F$17:F$1017,Amortization!$A$17:$A$1017,$B666))</f>
        <v/>
      </c>
      <c r="E666" s="17" t="str">
        <f>IF($A666="","",SUMIFS(Amortization!G$17:G$1017,Amortization!$A$17:$A$1017,$B666))</f>
        <v/>
      </c>
    </row>
    <row r="667" spans="2:5" hidden="1" x14ac:dyDescent="0.3">
      <c r="B667" s="1" t="str">
        <f t="shared" si="11"/>
        <v/>
      </c>
      <c r="C667" s="17" t="str">
        <f>IF($A667="","",SUMIFS(Amortization!E$17:E$1017,Amortization!$A$17:$A$1017,$B667))</f>
        <v/>
      </c>
      <c r="D667" s="17" t="str">
        <f>IF($A667="","",SUMIFS(Amortization!F$17:F$1017,Amortization!$A$17:$A$1017,$B667))</f>
        <v/>
      </c>
      <c r="E667" s="17" t="str">
        <f>IF($A667="","",SUMIFS(Amortization!G$17:G$1017,Amortization!$A$17:$A$1017,$B667))</f>
        <v/>
      </c>
    </row>
    <row r="668" spans="2:5" hidden="1" x14ac:dyDescent="0.3">
      <c r="B668" s="1" t="str">
        <f t="shared" si="11"/>
        <v/>
      </c>
      <c r="C668" s="17" t="str">
        <f>IF($A668="","",SUMIFS(Amortization!E$17:E$1017,Amortization!$A$17:$A$1017,$B668))</f>
        <v/>
      </c>
      <c r="D668" s="17" t="str">
        <f>IF($A668="","",SUMIFS(Amortization!F$17:F$1017,Amortization!$A$17:$A$1017,$B668))</f>
        <v/>
      </c>
      <c r="E668" s="17" t="str">
        <f>IF($A668="","",SUMIFS(Amortization!G$17:G$1017,Amortization!$A$17:$A$1017,$B668))</f>
        <v/>
      </c>
    </row>
    <row r="669" spans="2:5" hidden="1" x14ac:dyDescent="0.3">
      <c r="B669" s="1" t="str">
        <f t="shared" si="11"/>
        <v/>
      </c>
      <c r="C669" s="17" t="str">
        <f>IF($A669="","",SUMIFS(Amortization!E$17:E$1017,Amortization!$A$17:$A$1017,$B669))</f>
        <v/>
      </c>
      <c r="D669" s="17" t="str">
        <f>IF($A669="","",SUMIFS(Amortization!F$17:F$1017,Amortization!$A$17:$A$1017,$B669))</f>
        <v/>
      </c>
      <c r="E669" s="17" t="str">
        <f>IF($A669="","",SUMIFS(Amortization!G$17:G$1017,Amortization!$A$17:$A$1017,$B669))</f>
        <v/>
      </c>
    </row>
    <row r="670" spans="2:5" hidden="1" x14ac:dyDescent="0.3">
      <c r="B670" s="1" t="str">
        <f t="shared" si="11"/>
        <v/>
      </c>
      <c r="C670" s="17" t="str">
        <f>IF($A670="","",SUMIFS(Amortization!E$17:E$1017,Amortization!$A$17:$A$1017,$B670))</f>
        <v/>
      </c>
      <c r="D670" s="17" t="str">
        <f>IF($A670="","",SUMIFS(Amortization!F$17:F$1017,Amortization!$A$17:$A$1017,$B670))</f>
        <v/>
      </c>
      <c r="E670" s="17" t="str">
        <f>IF($A670="","",SUMIFS(Amortization!G$17:G$1017,Amortization!$A$17:$A$1017,$B670))</f>
        <v/>
      </c>
    </row>
    <row r="671" spans="2:5" hidden="1" x14ac:dyDescent="0.3">
      <c r="B671" s="1" t="str">
        <f t="shared" si="11"/>
        <v/>
      </c>
      <c r="C671" s="17" t="str">
        <f>IF($A671="","",SUMIFS(Amortization!E$17:E$1017,Amortization!$A$17:$A$1017,$B671))</f>
        <v/>
      </c>
      <c r="D671" s="17" t="str">
        <f>IF($A671="","",SUMIFS(Amortization!F$17:F$1017,Amortization!$A$17:$A$1017,$B671))</f>
        <v/>
      </c>
      <c r="E671" s="17" t="str">
        <f>IF($A671="","",SUMIFS(Amortization!G$17:G$1017,Amortization!$A$17:$A$1017,$B671))</f>
        <v/>
      </c>
    </row>
    <row r="672" spans="2:5" hidden="1" x14ac:dyDescent="0.3">
      <c r="B672" s="1" t="str">
        <f t="shared" si="11"/>
        <v/>
      </c>
      <c r="C672" s="17" t="str">
        <f>IF($A672="","",SUMIFS(Amortization!E$17:E$1017,Amortization!$A$17:$A$1017,$B672))</f>
        <v/>
      </c>
      <c r="D672" s="17" t="str">
        <f>IF($A672="","",SUMIFS(Amortization!F$17:F$1017,Amortization!$A$17:$A$1017,$B672))</f>
        <v/>
      </c>
      <c r="E672" s="17" t="str">
        <f>IF($A672="","",SUMIFS(Amortization!G$17:G$1017,Amortization!$A$17:$A$1017,$B672))</f>
        <v/>
      </c>
    </row>
    <row r="673" spans="2:5" hidden="1" x14ac:dyDescent="0.3">
      <c r="B673" s="1" t="str">
        <f t="shared" si="11"/>
        <v/>
      </c>
      <c r="C673" s="17" t="str">
        <f>IF($A673="","",SUMIFS(Amortization!E$17:E$1017,Amortization!$A$17:$A$1017,$B673))</f>
        <v/>
      </c>
      <c r="D673" s="17" t="str">
        <f>IF($A673="","",SUMIFS(Amortization!F$17:F$1017,Amortization!$A$17:$A$1017,$B673))</f>
        <v/>
      </c>
      <c r="E673" s="17" t="str">
        <f>IF($A673="","",SUMIFS(Amortization!G$17:G$1017,Amortization!$A$17:$A$1017,$B673))</f>
        <v/>
      </c>
    </row>
    <row r="674" spans="2:5" hidden="1" x14ac:dyDescent="0.3">
      <c r="B674" s="1" t="str">
        <f t="shared" si="11"/>
        <v/>
      </c>
      <c r="C674" s="17" t="str">
        <f>IF($A674="","",SUMIFS(Amortization!E$17:E$1017,Amortization!$A$17:$A$1017,$B674))</f>
        <v/>
      </c>
      <c r="D674" s="17" t="str">
        <f>IF($A674="","",SUMIFS(Amortization!F$17:F$1017,Amortization!$A$17:$A$1017,$B674))</f>
        <v/>
      </c>
      <c r="E674" s="17" t="str">
        <f>IF($A674="","",SUMIFS(Amortization!G$17:G$1017,Amortization!$A$17:$A$1017,$B674))</f>
        <v/>
      </c>
    </row>
    <row r="675" spans="2:5" hidden="1" x14ac:dyDescent="0.3">
      <c r="B675" s="1" t="str">
        <f t="shared" si="11"/>
        <v/>
      </c>
      <c r="C675" s="17" t="str">
        <f>IF($A675="","",SUMIFS(Amortization!E$17:E$1017,Amortization!$A$17:$A$1017,$B675))</f>
        <v/>
      </c>
      <c r="D675" s="17" t="str">
        <f>IF($A675="","",SUMIFS(Amortization!F$17:F$1017,Amortization!$A$17:$A$1017,$B675))</f>
        <v/>
      </c>
      <c r="E675" s="17" t="str">
        <f>IF($A675="","",SUMIFS(Amortization!G$17:G$1017,Amortization!$A$17:$A$1017,$B675))</f>
        <v/>
      </c>
    </row>
    <row r="676" spans="2:5" hidden="1" x14ac:dyDescent="0.3">
      <c r="B676" s="1" t="str">
        <f t="shared" si="11"/>
        <v/>
      </c>
      <c r="C676" s="17" t="str">
        <f>IF($A676="","",SUMIFS(Amortization!E$17:E$1017,Amortization!$A$17:$A$1017,$B676))</f>
        <v/>
      </c>
      <c r="D676" s="17" t="str">
        <f>IF($A676="","",SUMIFS(Amortization!F$17:F$1017,Amortization!$A$17:$A$1017,$B676))</f>
        <v/>
      </c>
      <c r="E676" s="17" t="str">
        <f>IF($A676="","",SUMIFS(Amortization!G$17:G$1017,Amortization!$A$17:$A$1017,$B676))</f>
        <v/>
      </c>
    </row>
    <row r="677" spans="2:5" hidden="1" x14ac:dyDescent="0.3">
      <c r="B677" s="1" t="str">
        <f t="shared" si="11"/>
        <v/>
      </c>
      <c r="C677" s="17" t="str">
        <f>IF($A677="","",SUMIFS(Amortization!E$17:E$1017,Amortization!$A$17:$A$1017,$B677))</f>
        <v/>
      </c>
      <c r="D677" s="17" t="str">
        <f>IF($A677="","",SUMIFS(Amortization!F$17:F$1017,Amortization!$A$17:$A$1017,$B677))</f>
        <v/>
      </c>
      <c r="E677" s="17" t="str">
        <f>IF($A677="","",SUMIFS(Amortization!G$17:G$1017,Amortization!$A$17:$A$1017,$B677))</f>
        <v/>
      </c>
    </row>
    <row r="678" spans="2:5" hidden="1" x14ac:dyDescent="0.3">
      <c r="B678" s="1" t="str">
        <f t="shared" si="11"/>
        <v/>
      </c>
      <c r="C678" s="17" t="str">
        <f>IF($A678="","",SUMIFS(Amortization!E$17:E$1017,Amortization!$A$17:$A$1017,$B678))</f>
        <v/>
      </c>
      <c r="D678" s="17" t="str">
        <f>IF($A678="","",SUMIFS(Amortization!F$17:F$1017,Amortization!$A$17:$A$1017,$B678))</f>
        <v/>
      </c>
      <c r="E678" s="17" t="str">
        <f>IF($A678="","",SUMIFS(Amortization!G$17:G$1017,Amortization!$A$17:$A$1017,$B678))</f>
        <v/>
      </c>
    </row>
    <row r="679" spans="2:5" hidden="1" x14ac:dyDescent="0.3">
      <c r="B679" s="1" t="str">
        <f t="shared" si="11"/>
        <v/>
      </c>
      <c r="C679" s="17" t="str">
        <f>IF($A679="","",SUMIFS(Amortization!E$17:E$1017,Amortization!$A$17:$A$1017,$B679))</f>
        <v/>
      </c>
      <c r="D679" s="17" t="str">
        <f>IF($A679="","",SUMIFS(Amortization!F$17:F$1017,Amortization!$A$17:$A$1017,$B679))</f>
        <v/>
      </c>
      <c r="E679" s="17" t="str">
        <f>IF($A679="","",SUMIFS(Amortization!G$17:G$1017,Amortization!$A$17:$A$1017,$B679))</f>
        <v/>
      </c>
    </row>
    <row r="680" spans="2:5" hidden="1" x14ac:dyDescent="0.3">
      <c r="B680" s="1" t="str">
        <f t="shared" si="11"/>
        <v/>
      </c>
      <c r="C680" s="17" t="str">
        <f>IF($A680="","",SUMIFS(Amortization!E$17:E$1017,Amortization!$A$17:$A$1017,$B680))</f>
        <v/>
      </c>
      <c r="D680" s="17" t="str">
        <f>IF($A680="","",SUMIFS(Amortization!F$17:F$1017,Amortization!$A$17:$A$1017,$B680))</f>
        <v/>
      </c>
      <c r="E680" s="17" t="str">
        <f>IF($A680="","",SUMIFS(Amortization!G$17:G$1017,Amortization!$A$17:$A$1017,$B680))</f>
        <v/>
      </c>
    </row>
    <row r="681" spans="2:5" hidden="1" x14ac:dyDescent="0.3">
      <c r="B681" s="1" t="str">
        <f t="shared" si="11"/>
        <v/>
      </c>
      <c r="C681" s="17" t="str">
        <f>IF($A681="","",SUMIFS(Amortization!E$17:E$1017,Amortization!$A$17:$A$1017,$B681))</f>
        <v/>
      </c>
      <c r="D681" s="17" t="str">
        <f>IF($A681="","",SUMIFS(Amortization!F$17:F$1017,Amortization!$A$17:$A$1017,$B681))</f>
        <v/>
      </c>
      <c r="E681" s="17" t="str">
        <f>IF($A681="","",SUMIFS(Amortization!G$17:G$1017,Amortization!$A$17:$A$1017,$B681))</f>
        <v/>
      </c>
    </row>
    <row r="682" spans="2:5" hidden="1" x14ac:dyDescent="0.3">
      <c r="B682" s="1" t="str">
        <f t="shared" si="11"/>
        <v/>
      </c>
      <c r="C682" s="17" t="str">
        <f>IF($A682="","",SUMIFS(Amortization!E$17:E$1017,Amortization!$A$17:$A$1017,$B682))</f>
        <v/>
      </c>
      <c r="D682" s="17" t="str">
        <f>IF($A682="","",SUMIFS(Amortization!F$17:F$1017,Amortization!$A$17:$A$1017,$B682))</f>
        <v/>
      </c>
      <c r="E682" s="17" t="str">
        <f>IF($A682="","",SUMIFS(Amortization!G$17:G$1017,Amortization!$A$17:$A$1017,$B682))</f>
        <v/>
      </c>
    </row>
    <row r="683" spans="2:5" hidden="1" x14ac:dyDescent="0.3">
      <c r="B683" s="1" t="str">
        <f t="shared" si="11"/>
        <v/>
      </c>
      <c r="C683" s="17" t="str">
        <f>IF($A683="","",SUMIFS(Amortization!E$17:E$1017,Amortization!$A$17:$A$1017,$B683))</f>
        <v/>
      </c>
      <c r="D683" s="17" t="str">
        <f>IF($A683="","",SUMIFS(Amortization!F$17:F$1017,Amortization!$A$17:$A$1017,$B683))</f>
        <v/>
      </c>
      <c r="E683" s="17" t="str">
        <f>IF($A683="","",SUMIFS(Amortization!G$17:G$1017,Amortization!$A$17:$A$1017,$B683))</f>
        <v/>
      </c>
    </row>
    <row r="684" spans="2:5" hidden="1" x14ac:dyDescent="0.3">
      <c r="B684" s="1" t="str">
        <f t="shared" si="11"/>
        <v/>
      </c>
      <c r="C684" s="17" t="str">
        <f>IF($A684="","",SUMIFS(Amortization!E$17:E$1017,Amortization!$A$17:$A$1017,$B684))</f>
        <v/>
      </c>
      <c r="D684" s="17" t="str">
        <f>IF($A684="","",SUMIFS(Amortization!F$17:F$1017,Amortization!$A$17:$A$1017,$B684))</f>
        <v/>
      </c>
      <c r="E684" s="17" t="str">
        <f>IF($A684="","",SUMIFS(Amortization!G$17:G$1017,Amortization!$A$17:$A$1017,$B684))</f>
        <v/>
      </c>
    </row>
    <row r="685" spans="2:5" hidden="1" x14ac:dyDescent="0.3">
      <c r="B685" s="1" t="str">
        <f t="shared" si="11"/>
        <v/>
      </c>
      <c r="C685" s="17" t="str">
        <f>IF($A685="","",SUMIFS(Amortization!E$17:E$1017,Amortization!$A$17:$A$1017,$B685))</f>
        <v/>
      </c>
      <c r="D685" s="17" t="str">
        <f>IF($A685="","",SUMIFS(Amortization!F$17:F$1017,Amortization!$A$17:$A$1017,$B685))</f>
        <v/>
      </c>
      <c r="E685" s="17" t="str">
        <f>IF($A685="","",SUMIFS(Amortization!G$17:G$1017,Amortization!$A$17:$A$1017,$B685))</f>
        <v/>
      </c>
    </row>
    <row r="686" spans="2:5" hidden="1" x14ac:dyDescent="0.3">
      <c r="B686" s="1" t="str">
        <f t="shared" si="11"/>
        <v/>
      </c>
      <c r="C686" s="17" t="str">
        <f>IF($A686="","",SUMIFS(Amortization!E$17:E$1017,Amortization!$A$17:$A$1017,$B686))</f>
        <v/>
      </c>
      <c r="D686" s="17" t="str">
        <f>IF($A686="","",SUMIFS(Amortization!F$17:F$1017,Amortization!$A$17:$A$1017,$B686))</f>
        <v/>
      </c>
      <c r="E686" s="17" t="str">
        <f>IF($A686="","",SUMIFS(Amortization!G$17:G$1017,Amortization!$A$17:$A$1017,$B686))</f>
        <v/>
      </c>
    </row>
    <row r="687" spans="2:5" hidden="1" x14ac:dyDescent="0.3">
      <c r="B687" s="1" t="str">
        <f t="shared" si="11"/>
        <v/>
      </c>
      <c r="C687" s="17" t="str">
        <f>IF($A687="","",SUMIFS(Amortization!E$17:E$1017,Amortization!$A$17:$A$1017,$B687))</f>
        <v/>
      </c>
      <c r="D687" s="17" t="str">
        <f>IF($A687="","",SUMIFS(Amortization!F$17:F$1017,Amortization!$A$17:$A$1017,$B687))</f>
        <v/>
      </c>
      <c r="E687" s="17" t="str">
        <f>IF($A687="","",SUMIFS(Amortization!G$17:G$1017,Amortization!$A$17:$A$1017,$B687))</f>
        <v/>
      </c>
    </row>
    <row r="688" spans="2:5" hidden="1" x14ac:dyDescent="0.3">
      <c r="B688" s="1" t="str">
        <f t="shared" si="11"/>
        <v/>
      </c>
      <c r="C688" s="17" t="str">
        <f>IF($A688="","",SUMIFS(Amortization!E$17:E$1017,Amortization!$A$17:$A$1017,$B688))</f>
        <v/>
      </c>
      <c r="D688" s="17" t="str">
        <f>IF($A688="","",SUMIFS(Amortization!F$17:F$1017,Amortization!$A$17:$A$1017,$B688))</f>
        <v/>
      </c>
      <c r="E688" s="17" t="str">
        <f>IF($A688="","",SUMIFS(Amortization!G$17:G$1017,Amortization!$A$17:$A$1017,$B688))</f>
        <v/>
      </c>
    </row>
    <row r="689" spans="2:5" hidden="1" x14ac:dyDescent="0.3">
      <c r="B689" s="1" t="str">
        <f t="shared" si="11"/>
        <v/>
      </c>
      <c r="C689" s="17" t="str">
        <f>IF($A689="","",SUMIFS(Amortization!E$17:E$1017,Amortization!$A$17:$A$1017,$B689))</f>
        <v/>
      </c>
      <c r="D689" s="17" t="str">
        <f>IF($A689="","",SUMIFS(Amortization!F$17:F$1017,Amortization!$A$17:$A$1017,$B689))</f>
        <v/>
      </c>
      <c r="E689" s="17" t="str">
        <f>IF($A689="","",SUMIFS(Amortization!G$17:G$1017,Amortization!$A$17:$A$1017,$B689))</f>
        <v/>
      </c>
    </row>
    <row r="690" spans="2:5" hidden="1" x14ac:dyDescent="0.3">
      <c r="B690" s="1" t="str">
        <f t="shared" si="11"/>
        <v/>
      </c>
      <c r="C690" s="17" t="str">
        <f>IF($A690="","",SUMIFS(Amortization!E$17:E$1017,Amortization!$A$17:$A$1017,$B690))</f>
        <v/>
      </c>
      <c r="D690" s="17" t="str">
        <f>IF($A690="","",SUMIFS(Amortization!F$17:F$1017,Amortization!$A$17:$A$1017,$B690))</f>
        <v/>
      </c>
      <c r="E690" s="17" t="str">
        <f>IF($A690="","",SUMIFS(Amortization!G$17:G$1017,Amortization!$A$17:$A$1017,$B690))</f>
        <v/>
      </c>
    </row>
    <row r="691" spans="2:5" hidden="1" x14ac:dyDescent="0.3">
      <c r="B691" s="1" t="str">
        <f t="shared" si="11"/>
        <v/>
      </c>
      <c r="C691" s="17" t="str">
        <f>IF($A691="","",SUMIFS(Amortization!E$17:E$1017,Amortization!$A$17:$A$1017,$B691))</f>
        <v/>
      </c>
      <c r="D691" s="17" t="str">
        <f>IF($A691="","",SUMIFS(Amortization!F$17:F$1017,Amortization!$A$17:$A$1017,$B691))</f>
        <v/>
      </c>
      <c r="E691" s="17" t="str">
        <f>IF($A691="","",SUMIFS(Amortization!G$17:G$1017,Amortization!$A$17:$A$1017,$B691))</f>
        <v/>
      </c>
    </row>
    <row r="692" spans="2:5" hidden="1" x14ac:dyDescent="0.3">
      <c r="B692" s="1" t="str">
        <f t="shared" si="11"/>
        <v/>
      </c>
      <c r="C692" s="17" t="str">
        <f>IF($A692="","",SUMIFS(Amortization!E$17:E$1017,Amortization!$A$17:$A$1017,$B692))</f>
        <v/>
      </c>
      <c r="D692" s="17" t="str">
        <f>IF($A692="","",SUMIFS(Amortization!F$17:F$1017,Amortization!$A$17:$A$1017,$B692))</f>
        <v/>
      </c>
      <c r="E692" s="17" t="str">
        <f>IF($A692="","",SUMIFS(Amortization!G$17:G$1017,Amortization!$A$17:$A$1017,$B692))</f>
        <v/>
      </c>
    </row>
    <row r="693" spans="2:5" hidden="1" x14ac:dyDescent="0.3">
      <c r="B693" s="1" t="str">
        <f t="shared" si="11"/>
        <v/>
      </c>
      <c r="C693" s="17" t="str">
        <f>IF($A693="","",SUMIFS(Amortization!E$17:E$1017,Amortization!$A$17:$A$1017,$B693))</f>
        <v/>
      </c>
      <c r="D693" s="17" t="str">
        <f>IF($A693="","",SUMIFS(Amortization!F$17:F$1017,Amortization!$A$17:$A$1017,$B693))</f>
        <v/>
      </c>
      <c r="E693" s="17" t="str">
        <f>IF($A693="","",SUMIFS(Amortization!G$17:G$1017,Amortization!$A$17:$A$1017,$B693))</f>
        <v/>
      </c>
    </row>
    <row r="694" spans="2:5" hidden="1" x14ac:dyDescent="0.3">
      <c r="B694" s="1" t="str">
        <f t="shared" si="11"/>
        <v/>
      </c>
      <c r="C694" s="17" t="str">
        <f>IF($A694="","",SUMIFS(Amortization!E$17:E$1017,Amortization!$A$17:$A$1017,$B694))</f>
        <v/>
      </c>
      <c r="D694" s="17" t="str">
        <f>IF($A694="","",SUMIFS(Amortization!F$17:F$1017,Amortization!$A$17:$A$1017,$B694))</f>
        <v/>
      </c>
      <c r="E694" s="17" t="str">
        <f>IF($A694="","",SUMIFS(Amortization!G$17:G$1017,Amortization!$A$17:$A$1017,$B694))</f>
        <v/>
      </c>
    </row>
    <row r="695" spans="2:5" hidden="1" x14ac:dyDescent="0.3">
      <c r="B695" s="1" t="str">
        <f t="shared" si="11"/>
        <v/>
      </c>
      <c r="C695" s="17" t="str">
        <f>IF($A695="","",SUMIFS(Amortization!E$17:E$1017,Amortization!$A$17:$A$1017,$B695))</f>
        <v/>
      </c>
      <c r="D695" s="17" t="str">
        <f>IF($A695="","",SUMIFS(Amortization!F$17:F$1017,Amortization!$A$17:$A$1017,$B695))</f>
        <v/>
      </c>
      <c r="E695" s="17" t="str">
        <f>IF($A695="","",SUMIFS(Amortization!G$17:G$1017,Amortization!$A$17:$A$1017,$B695))</f>
        <v/>
      </c>
    </row>
    <row r="696" spans="2:5" hidden="1" x14ac:dyDescent="0.3">
      <c r="B696" s="1" t="str">
        <f t="shared" si="11"/>
        <v/>
      </c>
      <c r="C696" s="17" t="str">
        <f>IF($A696="","",SUMIFS(Amortization!E$17:E$1017,Amortization!$A$17:$A$1017,$B696))</f>
        <v/>
      </c>
      <c r="D696" s="17" t="str">
        <f>IF($A696="","",SUMIFS(Amortization!F$17:F$1017,Amortization!$A$17:$A$1017,$B696))</f>
        <v/>
      </c>
      <c r="E696" s="17" t="str">
        <f>IF($A696="","",SUMIFS(Amortization!G$17:G$1017,Amortization!$A$17:$A$1017,$B696))</f>
        <v/>
      </c>
    </row>
    <row r="697" spans="2:5" hidden="1" x14ac:dyDescent="0.3">
      <c r="B697" s="1" t="str">
        <f t="shared" si="11"/>
        <v/>
      </c>
      <c r="C697" s="17" t="str">
        <f>IF($A697="","",SUMIFS(Amortization!E$17:E$1017,Amortization!$A$17:$A$1017,$B697))</f>
        <v/>
      </c>
      <c r="D697" s="17" t="str">
        <f>IF($A697="","",SUMIFS(Amortization!F$17:F$1017,Amortization!$A$17:$A$1017,$B697))</f>
        <v/>
      </c>
      <c r="E697" s="17" t="str">
        <f>IF($A697="","",SUMIFS(Amortization!G$17:G$1017,Amortization!$A$17:$A$1017,$B697))</f>
        <v/>
      </c>
    </row>
    <row r="698" spans="2:5" hidden="1" x14ac:dyDescent="0.3">
      <c r="B698" s="1" t="str">
        <f t="shared" si="11"/>
        <v/>
      </c>
      <c r="C698" s="17" t="str">
        <f>IF($A698="","",SUMIFS(Amortization!E$17:E$1017,Amortization!$A$17:$A$1017,$B698))</f>
        <v/>
      </c>
      <c r="D698" s="17" t="str">
        <f>IF($A698="","",SUMIFS(Amortization!F$17:F$1017,Amortization!$A$17:$A$1017,$B698))</f>
        <v/>
      </c>
      <c r="E698" s="17" t="str">
        <f>IF($A698="","",SUMIFS(Amortization!G$17:G$1017,Amortization!$A$17:$A$1017,$B698))</f>
        <v/>
      </c>
    </row>
    <row r="699" spans="2:5" hidden="1" x14ac:dyDescent="0.3">
      <c r="B699" s="1" t="str">
        <f t="shared" si="11"/>
        <v/>
      </c>
      <c r="C699" s="17" t="str">
        <f>IF($A699="","",SUMIFS(Amortization!E$17:E$1017,Amortization!$A$17:$A$1017,$B699))</f>
        <v/>
      </c>
      <c r="D699" s="17" t="str">
        <f>IF($A699="","",SUMIFS(Amortization!F$17:F$1017,Amortization!$A$17:$A$1017,$B699))</f>
        <v/>
      </c>
      <c r="E699" s="17" t="str">
        <f>IF($A699="","",SUMIFS(Amortization!G$17:G$1017,Amortization!$A$17:$A$1017,$B699))</f>
        <v/>
      </c>
    </row>
    <row r="700" spans="2:5" hidden="1" x14ac:dyDescent="0.3">
      <c r="B700" s="1" t="str">
        <f t="shared" si="11"/>
        <v/>
      </c>
      <c r="C700" s="17" t="str">
        <f>IF($A700="","",SUMIFS(Amortization!E$17:E$1017,Amortization!$A$17:$A$1017,$B700))</f>
        <v/>
      </c>
      <c r="D700" s="17" t="str">
        <f>IF($A700="","",SUMIFS(Amortization!F$17:F$1017,Amortization!$A$17:$A$1017,$B700))</f>
        <v/>
      </c>
      <c r="E700" s="17" t="str">
        <f>IF($A700="","",SUMIFS(Amortization!G$17:G$1017,Amortization!$A$17:$A$1017,$B700))</f>
        <v/>
      </c>
    </row>
    <row r="701" spans="2:5" hidden="1" x14ac:dyDescent="0.3">
      <c r="B701" s="1" t="str">
        <f t="shared" si="11"/>
        <v/>
      </c>
      <c r="C701" s="17" t="str">
        <f>IF($A701="","",SUMIFS(Amortization!E$17:E$1017,Amortization!$A$17:$A$1017,$B701))</f>
        <v/>
      </c>
      <c r="D701" s="17" t="str">
        <f>IF($A701="","",SUMIFS(Amortization!F$17:F$1017,Amortization!$A$17:$A$1017,$B701))</f>
        <v/>
      </c>
      <c r="E701" s="17" t="str">
        <f>IF($A701="","",SUMIFS(Amortization!G$17:G$1017,Amortization!$A$17:$A$1017,$B701))</f>
        <v/>
      </c>
    </row>
    <row r="702" spans="2:5" hidden="1" x14ac:dyDescent="0.3">
      <c r="B702" s="1" t="str">
        <f t="shared" si="11"/>
        <v/>
      </c>
      <c r="C702" s="17" t="str">
        <f>IF($A702="","",SUMIFS(Amortization!E$17:E$1017,Amortization!$A$17:$A$1017,$B702))</f>
        <v/>
      </c>
      <c r="D702" s="17" t="str">
        <f>IF($A702="","",SUMIFS(Amortization!F$17:F$1017,Amortization!$A$17:$A$1017,$B702))</f>
        <v/>
      </c>
      <c r="E702" s="17" t="str">
        <f>IF($A702="","",SUMIFS(Amortization!G$17:G$1017,Amortization!$A$17:$A$1017,$B702))</f>
        <v/>
      </c>
    </row>
    <row r="703" spans="2:5" hidden="1" x14ac:dyDescent="0.3">
      <c r="B703" s="1" t="str">
        <f t="shared" si="11"/>
        <v/>
      </c>
      <c r="C703" s="17" t="str">
        <f>IF($A703="","",SUMIFS(Amortization!E$17:E$1017,Amortization!$A$17:$A$1017,$B703))</f>
        <v/>
      </c>
      <c r="D703" s="17" t="str">
        <f>IF($A703="","",SUMIFS(Amortization!F$17:F$1017,Amortization!$A$17:$A$1017,$B703))</f>
        <v/>
      </c>
      <c r="E703" s="17" t="str">
        <f>IF($A703="","",SUMIFS(Amortization!G$17:G$1017,Amortization!$A$17:$A$1017,$B703))</f>
        <v/>
      </c>
    </row>
    <row r="704" spans="2:5" hidden="1" x14ac:dyDescent="0.3">
      <c r="B704" s="1" t="str">
        <f t="shared" si="11"/>
        <v/>
      </c>
      <c r="C704" s="17" t="str">
        <f>IF($A704="","",SUMIFS(Amortization!E$17:E$1017,Amortization!$A$17:$A$1017,$B704))</f>
        <v/>
      </c>
      <c r="D704" s="17" t="str">
        <f>IF($A704="","",SUMIFS(Amortization!F$17:F$1017,Amortization!$A$17:$A$1017,$B704))</f>
        <v/>
      </c>
      <c r="E704" s="17" t="str">
        <f>IF($A704="","",SUMIFS(Amortization!G$17:G$1017,Amortization!$A$17:$A$1017,$B704))</f>
        <v/>
      </c>
    </row>
    <row r="705" spans="2:5" hidden="1" x14ac:dyDescent="0.3">
      <c r="B705" s="1" t="str">
        <f t="shared" si="11"/>
        <v/>
      </c>
      <c r="C705" s="17" t="str">
        <f>IF($A705="","",SUMIFS(Amortization!E$17:E$1017,Amortization!$A$17:$A$1017,$B705))</f>
        <v/>
      </c>
      <c r="D705" s="17" t="str">
        <f>IF($A705="","",SUMIFS(Amortization!F$17:F$1017,Amortization!$A$17:$A$1017,$B705))</f>
        <v/>
      </c>
      <c r="E705" s="17" t="str">
        <f>IF($A705="","",SUMIFS(Amortization!G$17:G$1017,Amortization!$A$17:$A$1017,$B705))</f>
        <v/>
      </c>
    </row>
    <row r="706" spans="2:5" hidden="1" x14ac:dyDescent="0.3">
      <c r="B706" s="1" t="str">
        <f t="shared" si="11"/>
        <v/>
      </c>
      <c r="C706" s="17" t="str">
        <f>IF($A706="","",SUMIFS(Amortization!E$17:E$1017,Amortization!$A$17:$A$1017,$B706))</f>
        <v/>
      </c>
      <c r="D706" s="17" t="str">
        <f>IF($A706="","",SUMIFS(Amortization!F$17:F$1017,Amortization!$A$17:$A$1017,$B706))</f>
        <v/>
      </c>
      <c r="E706" s="17" t="str">
        <f>IF($A706="","",SUMIFS(Amortization!G$17:G$1017,Amortization!$A$17:$A$1017,$B706))</f>
        <v/>
      </c>
    </row>
    <row r="707" spans="2:5" hidden="1" x14ac:dyDescent="0.3">
      <c r="B707" s="1" t="str">
        <f t="shared" si="11"/>
        <v/>
      </c>
      <c r="C707" s="17" t="str">
        <f>IF($A707="","",SUMIFS(Amortization!E$17:E$1017,Amortization!$A$17:$A$1017,$B707))</f>
        <v/>
      </c>
      <c r="D707" s="17" t="str">
        <f>IF($A707="","",SUMIFS(Amortization!F$17:F$1017,Amortization!$A$17:$A$1017,$B707))</f>
        <v/>
      </c>
      <c r="E707" s="17" t="str">
        <f>IF($A707="","",SUMIFS(Amortization!G$17:G$1017,Amortization!$A$17:$A$1017,$B707))</f>
        <v/>
      </c>
    </row>
    <row r="708" spans="2:5" hidden="1" x14ac:dyDescent="0.3">
      <c r="B708" s="1" t="str">
        <f t="shared" si="11"/>
        <v/>
      </c>
      <c r="C708" s="17" t="str">
        <f>IF($A708="","",SUMIFS(Amortization!E$17:E$1017,Amortization!$A$17:$A$1017,$B708))</f>
        <v/>
      </c>
      <c r="D708" s="17" t="str">
        <f>IF($A708="","",SUMIFS(Amortization!F$17:F$1017,Amortization!$A$17:$A$1017,$B708))</f>
        <v/>
      </c>
      <c r="E708" s="17" t="str">
        <f>IF($A708="","",SUMIFS(Amortization!G$17:G$1017,Amortization!$A$17:$A$1017,$B708))</f>
        <v/>
      </c>
    </row>
    <row r="709" spans="2:5" hidden="1" x14ac:dyDescent="0.3">
      <c r="B709" s="1" t="str">
        <f t="shared" si="11"/>
        <v/>
      </c>
      <c r="C709" s="17" t="str">
        <f>IF($A709="","",SUMIFS(Amortization!E$17:E$1017,Amortization!$A$17:$A$1017,$B709))</f>
        <v/>
      </c>
      <c r="D709" s="17" t="str">
        <f>IF($A709="","",SUMIFS(Amortization!F$17:F$1017,Amortization!$A$17:$A$1017,$B709))</f>
        <v/>
      </c>
      <c r="E709" s="17" t="str">
        <f>IF($A709="","",SUMIFS(Amortization!G$17:G$1017,Amortization!$A$17:$A$1017,$B709))</f>
        <v/>
      </c>
    </row>
    <row r="710" spans="2:5" hidden="1" x14ac:dyDescent="0.3">
      <c r="B710" s="1" t="str">
        <f t="shared" si="11"/>
        <v/>
      </c>
      <c r="C710" s="17" t="str">
        <f>IF($A710="","",SUMIFS(Amortization!E$17:E$1017,Amortization!$A$17:$A$1017,$B710))</f>
        <v/>
      </c>
      <c r="D710" s="17" t="str">
        <f>IF($A710="","",SUMIFS(Amortization!F$17:F$1017,Amortization!$A$17:$A$1017,$B710))</f>
        <v/>
      </c>
      <c r="E710" s="17" t="str">
        <f>IF($A710="","",SUMIFS(Amortization!G$17:G$1017,Amortization!$A$17:$A$1017,$B710))</f>
        <v/>
      </c>
    </row>
    <row r="711" spans="2:5" hidden="1" x14ac:dyDescent="0.3">
      <c r="B711" s="1" t="str">
        <f t="shared" si="11"/>
        <v/>
      </c>
      <c r="C711" s="17" t="str">
        <f>IF($A711="","",SUMIFS(Amortization!E$17:E$1017,Amortization!$A$17:$A$1017,$B711))</f>
        <v/>
      </c>
      <c r="D711" s="17" t="str">
        <f>IF($A711="","",SUMIFS(Amortization!F$17:F$1017,Amortization!$A$17:$A$1017,$B711))</f>
        <v/>
      </c>
      <c r="E711" s="17" t="str">
        <f>IF($A711="","",SUMIFS(Amortization!G$17:G$1017,Amortization!$A$17:$A$1017,$B711))</f>
        <v/>
      </c>
    </row>
    <row r="712" spans="2:5" hidden="1" x14ac:dyDescent="0.3">
      <c r="B712" s="1" t="str">
        <f t="shared" si="11"/>
        <v/>
      </c>
      <c r="C712" s="17" t="str">
        <f>IF($A712="","",SUMIFS(Amortization!E$17:E$1017,Amortization!$A$17:$A$1017,$B712))</f>
        <v/>
      </c>
      <c r="D712" s="17" t="str">
        <f>IF($A712="","",SUMIFS(Amortization!F$17:F$1017,Amortization!$A$17:$A$1017,$B712))</f>
        <v/>
      </c>
      <c r="E712" s="17" t="str">
        <f>IF($A712="","",SUMIFS(Amortization!G$17:G$1017,Amortization!$A$17:$A$1017,$B712))</f>
        <v/>
      </c>
    </row>
    <row r="713" spans="2:5" hidden="1" x14ac:dyDescent="0.3">
      <c r="B713" s="1" t="str">
        <f t="shared" si="11"/>
        <v/>
      </c>
      <c r="C713" s="17" t="str">
        <f>IF($A713="","",SUMIFS(Amortization!E$17:E$1017,Amortization!$A$17:$A$1017,$B713))</f>
        <v/>
      </c>
      <c r="D713" s="17" t="str">
        <f>IF($A713="","",SUMIFS(Amortization!F$17:F$1017,Amortization!$A$17:$A$1017,$B713))</f>
        <v/>
      </c>
      <c r="E713" s="17" t="str">
        <f>IF($A713="","",SUMIFS(Amortization!G$17:G$1017,Amortization!$A$17:$A$1017,$B713))</f>
        <v/>
      </c>
    </row>
    <row r="714" spans="2:5" hidden="1" x14ac:dyDescent="0.3">
      <c r="B714" s="1" t="str">
        <f t="shared" si="11"/>
        <v/>
      </c>
      <c r="C714" s="17" t="str">
        <f>IF($A714="","",SUMIFS(Amortization!E$17:E$1017,Amortization!$A$17:$A$1017,$B714))</f>
        <v/>
      </c>
      <c r="D714" s="17" t="str">
        <f>IF($A714="","",SUMIFS(Amortization!F$17:F$1017,Amortization!$A$17:$A$1017,$B714))</f>
        <v/>
      </c>
      <c r="E714" s="17" t="str">
        <f>IF($A714="","",SUMIFS(Amortization!G$17:G$1017,Amortization!$A$17:$A$1017,$B714))</f>
        <v/>
      </c>
    </row>
    <row r="715" spans="2:5" hidden="1" x14ac:dyDescent="0.3">
      <c r="B715" s="1" t="str">
        <f t="shared" si="11"/>
        <v/>
      </c>
      <c r="C715" s="17" t="str">
        <f>IF($A715="","",SUMIFS(Amortization!E$17:E$1017,Amortization!$A$17:$A$1017,$B715))</f>
        <v/>
      </c>
      <c r="D715" s="17" t="str">
        <f>IF($A715="","",SUMIFS(Amortization!F$17:F$1017,Amortization!$A$17:$A$1017,$B715))</f>
        <v/>
      </c>
      <c r="E715" s="17" t="str">
        <f>IF($A715="","",SUMIFS(Amortization!G$17:G$1017,Amortization!$A$17:$A$1017,$B715))</f>
        <v/>
      </c>
    </row>
    <row r="716" spans="2:5" hidden="1" x14ac:dyDescent="0.3">
      <c r="B716" s="1" t="str">
        <f t="shared" si="11"/>
        <v/>
      </c>
      <c r="C716" s="17" t="str">
        <f>IF($A716="","",SUMIFS(Amortization!E$17:E$1017,Amortization!$A$17:$A$1017,$B716))</f>
        <v/>
      </c>
      <c r="D716" s="17" t="str">
        <f>IF($A716="","",SUMIFS(Amortization!F$17:F$1017,Amortization!$A$17:$A$1017,$B716))</f>
        <v/>
      </c>
      <c r="E716" s="17" t="str">
        <f>IF($A716="","",SUMIFS(Amortization!G$17:G$1017,Amortization!$A$17:$A$1017,$B716))</f>
        <v/>
      </c>
    </row>
    <row r="717" spans="2:5" hidden="1" x14ac:dyDescent="0.3">
      <c r="B717" s="1" t="str">
        <f t="shared" si="11"/>
        <v/>
      </c>
      <c r="C717" s="17" t="str">
        <f>IF($A717="","",SUMIFS(Amortization!E$17:E$1017,Amortization!$A$17:$A$1017,$B717))</f>
        <v/>
      </c>
      <c r="D717" s="17" t="str">
        <f>IF($A717="","",SUMIFS(Amortization!F$17:F$1017,Amortization!$A$17:$A$1017,$B717))</f>
        <v/>
      </c>
      <c r="E717" s="17" t="str">
        <f>IF($A717="","",SUMIFS(Amortization!G$17:G$1017,Amortization!$A$17:$A$1017,$B717))</f>
        <v/>
      </c>
    </row>
    <row r="718" spans="2:5" hidden="1" x14ac:dyDescent="0.3">
      <c r="B718" s="1" t="str">
        <f t="shared" si="11"/>
        <v/>
      </c>
      <c r="C718" s="17" t="str">
        <f>IF($A718="","",SUMIFS(Amortization!E$17:E$1017,Amortization!$A$17:$A$1017,$B718))</f>
        <v/>
      </c>
      <c r="D718" s="17" t="str">
        <f>IF($A718="","",SUMIFS(Amortization!F$17:F$1017,Amortization!$A$17:$A$1017,$B718))</f>
        <v/>
      </c>
      <c r="E718" s="17" t="str">
        <f>IF($A718="","",SUMIFS(Amortization!G$17:G$1017,Amortization!$A$17:$A$1017,$B718))</f>
        <v/>
      </c>
    </row>
    <row r="719" spans="2:5" hidden="1" x14ac:dyDescent="0.3">
      <c r="B719" s="1" t="str">
        <f t="shared" si="11"/>
        <v/>
      </c>
      <c r="C719" s="17" t="str">
        <f>IF($A719="","",SUMIFS(Amortization!E$17:E$1017,Amortization!$A$17:$A$1017,$B719))</f>
        <v/>
      </c>
      <c r="D719" s="17" t="str">
        <f>IF($A719="","",SUMIFS(Amortization!F$17:F$1017,Amortization!$A$17:$A$1017,$B719))</f>
        <v/>
      </c>
      <c r="E719" s="17" t="str">
        <f>IF($A719="","",SUMIFS(Amortization!G$17:G$1017,Amortization!$A$17:$A$1017,$B719))</f>
        <v/>
      </c>
    </row>
    <row r="720" spans="2:5" hidden="1" x14ac:dyDescent="0.3">
      <c r="B720" s="1" t="str">
        <f t="shared" si="11"/>
        <v/>
      </c>
      <c r="C720" s="17" t="str">
        <f>IF($A720="","",SUMIFS(Amortization!E$17:E$1017,Amortization!$A$17:$A$1017,$B720))</f>
        <v/>
      </c>
      <c r="D720" s="17" t="str">
        <f>IF($A720="","",SUMIFS(Amortization!F$17:F$1017,Amortization!$A$17:$A$1017,$B720))</f>
        <v/>
      </c>
      <c r="E720" s="17" t="str">
        <f>IF($A720="","",SUMIFS(Amortization!G$17:G$1017,Amortization!$A$17:$A$1017,$B720))</f>
        <v/>
      </c>
    </row>
    <row r="721" spans="2:5" hidden="1" x14ac:dyDescent="0.3">
      <c r="B721" s="1" t="str">
        <f t="shared" si="11"/>
        <v/>
      </c>
      <c r="C721" s="17" t="str">
        <f>IF($A721="","",SUMIFS(Amortization!E$17:E$1017,Amortization!$A$17:$A$1017,$B721))</f>
        <v/>
      </c>
      <c r="D721" s="17" t="str">
        <f>IF($A721="","",SUMIFS(Amortization!F$17:F$1017,Amortization!$A$17:$A$1017,$B721))</f>
        <v/>
      </c>
      <c r="E721" s="17" t="str">
        <f>IF($A721="","",SUMIFS(Amortization!G$17:G$1017,Amortization!$A$17:$A$1017,$B721))</f>
        <v/>
      </c>
    </row>
    <row r="722" spans="2:5" hidden="1" x14ac:dyDescent="0.3">
      <c r="B722" s="1" t="str">
        <f t="shared" si="11"/>
        <v/>
      </c>
      <c r="C722" s="17" t="str">
        <f>IF($A722="","",SUMIFS(Amortization!E$17:E$1017,Amortization!$A$17:$A$1017,$B722))</f>
        <v/>
      </c>
      <c r="D722" s="17" t="str">
        <f>IF($A722="","",SUMIFS(Amortization!F$17:F$1017,Amortization!$A$17:$A$1017,$B722))</f>
        <v/>
      </c>
      <c r="E722" s="17" t="str">
        <f>IF($A722="","",SUMIFS(Amortization!G$17:G$1017,Amortization!$A$17:$A$1017,$B722))</f>
        <v/>
      </c>
    </row>
    <row r="723" spans="2:5" hidden="1" x14ac:dyDescent="0.3">
      <c r="B723" s="1" t="str">
        <f t="shared" ref="B723:B786" si="12">IF(A723="","",B722+1)</f>
        <v/>
      </c>
      <c r="C723" s="17" t="str">
        <f>IF($A723="","",SUMIFS(Amortization!E$17:E$1017,Amortization!$A$17:$A$1017,$B723))</f>
        <v/>
      </c>
      <c r="D723" s="17" t="str">
        <f>IF($A723="","",SUMIFS(Amortization!F$17:F$1017,Amortization!$A$17:$A$1017,$B723))</f>
        <v/>
      </c>
      <c r="E723" s="17" t="str">
        <f>IF($A723="","",SUMIFS(Amortization!G$17:G$1017,Amortization!$A$17:$A$1017,$B723))</f>
        <v/>
      </c>
    </row>
    <row r="724" spans="2:5" hidden="1" x14ac:dyDescent="0.3">
      <c r="B724" s="1" t="str">
        <f t="shared" si="12"/>
        <v/>
      </c>
      <c r="C724" s="17" t="str">
        <f>IF($A724="","",SUMIFS(Amortization!E$17:E$1017,Amortization!$A$17:$A$1017,$B724))</f>
        <v/>
      </c>
      <c r="D724" s="17" t="str">
        <f>IF($A724="","",SUMIFS(Amortization!F$17:F$1017,Amortization!$A$17:$A$1017,$B724))</f>
        <v/>
      </c>
      <c r="E724" s="17" t="str">
        <f>IF($A724="","",SUMIFS(Amortization!G$17:G$1017,Amortization!$A$17:$A$1017,$B724))</f>
        <v/>
      </c>
    </row>
    <row r="725" spans="2:5" hidden="1" x14ac:dyDescent="0.3">
      <c r="B725" s="1" t="str">
        <f t="shared" si="12"/>
        <v/>
      </c>
      <c r="C725" s="17" t="str">
        <f>IF($A725="","",SUMIFS(Amortization!E$17:E$1017,Amortization!$A$17:$A$1017,$B725))</f>
        <v/>
      </c>
      <c r="D725" s="17" t="str">
        <f>IF($A725="","",SUMIFS(Amortization!F$17:F$1017,Amortization!$A$17:$A$1017,$B725))</f>
        <v/>
      </c>
      <c r="E725" s="17" t="str">
        <f>IF($A725="","",SUMIFS(Amortization!G$17:G$1017,Amortization!$A$17:$A$1017,$B725))</f>
        <v/>
      </c>
    </row>
    <row r="726" spans="2:5" hidden="1" x14ac:dyDescent="0.3">
      <c r="B726" s="1" t="str">
        <f t="shared" si="12"/>
        <v/>
      </c>
      <c r="C726" s="17" t="str">
        <f>IF($A726="","",SUMIFS(Amortization!E$17:E$1017,Amortization!$A$17:$A$1017,$B726))</f>
        <v/>
      </c>
      <c r="D726" s="17" t="str">
        <f>IF($A726="","",SUMIFS(Amortization!F$17:F$1017,Amortization!$A$17:$A$1017,$B726))</f>
        <v/>
      </c>
      <c r="E726" s="17" t="str">
        <f>IF($A726="","",SUMIFS(Amortization!G$17:G$1017,Amortization!$A$17:$A$1017,$B726))</f>
        <v/>
      </c>
    </row>
    <row r="727" spans="2:5" hidden="1" x14ac:dyDescent="0.3">
      <c r="B727" s="1" t="str">
        <f t="shared" si="12"/>
        <v/>
      </c>
      <c r="C727" s="17" t="str">
        <f>IF($A727="","",SUMIFS(Amortization!E$17:E$1017,Amortization!$A$17:$A$1017,$B727))</f>
        <v/>
      </c>
      <c r="D727" s="17" t="str">
        <f>IF($A727="","",SUMIFS(Amortization!F$17:F$1017,Amortization!$A$17:$A$1017,$B727))</f>
        <v/>
      </c>
      <c r="E727" s="17" t="str">
        <f>IF($A727="","",SUMIFS(Amortization!G$17:G$1017,Amortization!$A$17:$A$1017,$B727))</f>
        <v/>
      </c>
    </row>
    <row r="728" spans="2:5" hidden="1" x14ac:dyDescent="0.3">
      <c r="B728" s="1" t="str">
        <f t="shared" si="12"/>
        <v/>
      </c>
      <c r="C728" s="17" t="str">
        <f>IF($A728="","",SUMIFS(Amortization!E$17:E$1017,Amortization!$A$17:$A$1017,$B728))</f>
        <v/>
      </c>
      <c r="D728" s="17" t="str">
        <f>IF($A728="","",SUMIFS(Amortization!F$17:F$1017,Amortization!$A$17:$A$1017,$B728))</f>
        <v/>
      </c>
      <c r="E728" s="17" t="str">
        <f>IF($A728="","",SUMIFS(Amortization!G$17:G$1017,Amortization!$A$17:$A$1017,$B728))</f>
        <v/>
      </c>
    </row>
    <row r="729" spans="2:5" hidden="1" x14ac:dyDescent="0.3">
      <c r="B729" s="1" t="str">
        <f t="shared" si="12"/>
        <v/>
      </c>
      <c r="C729" s="17" t="str">
        <f>IF($A729="","",SUMIFS(Amortization!E$17:E$1017,Amortization!$A$17:$A$1017,$B729))</f>
        <v/>
      </c>
      <c r="D729" s="17" t="str">
        <f>IF($A729="","",SUMIFS(Amortization!F$17:F$1017,Amortization!$A$17:$A$1017,$B729))</f>
        <v/>
      </c>
      <c r="E729" s="17" t="str">
        <f>IF($A729="","",SUMIFS(Amortization!G$17:G$1017,Amortization!$A$17:$A$1017,$B729))</f>
        <v/>
      </c>
    </row>
    <row r="730" spans="2:5" hidden="1" x14ac:dyDescent="0.3">
      <c r="B730" s="1" t="str">
        <f t="shared" si="12"/>
        <v/>
      </c>
      <c r="C730" s="17" t="str">
        <f>IF($A730="","",SUMIFS(Amortization!E$17:E$1017,Amortization!$A$17:$A$1017,$B730))</f>
        <v/>
      </c>
      <c r="D730" s="17" t="str">
        <f>IF($A730="","",SUMIFS(Amortization!F$17:F$1017,Amortization!$A$17:$A$1017,$B730))</f>
        <v/>
      </c>
      <c r="E730" s="17" t="str">
        <f>IF($A730="","",SUMIFS(Amortization!G$17:G$1017,Amortization!$A$17:$A$1017,$B730))</f>
        <v/>
      </c>
    </row>
    <row r="731" spans="2:5" hidden="1" x14ac:dyDescent="0.3">
      <c r="B731" s="1" t="str">
        <f t="shared" si="12"/>
        <v/>
      </c>
      <c r="C731" s="17" t="str">
        <f>IF($A731="","",SUMIFS(Amortization!E$17:E$1017,Amortization!$A$17:$A$1017,$B731))</f>
        <v/>
      </c>
      <c r="D731" s="17" t="str">
        <f>IF($A731="","",SUMIFS(Amortization!F$17:F$1017,Amortization!$A$17:$A$1017,$B731))</f>
        <v/>
      </c>
      <c r="E731" s="17" t="str">
        <f>IF($A731="","",SUMIFS(Amortization!G$17:G$1017,Amortization!$A$17:$A$1017,$B731))</f>
        <v/>
      </c>
    </row>
    <row r="732" spans="2:5" hidden="1" x14ac:dyDescent="0.3">
      <c r="B732" s="1" t="str">
        <f t="shared" si="12"/>
        <v/>
      </c>
      <c r="C732" s="17" t="str">
        <f>IF($A732="","",SUMIFS(Amortization!E$17:E$1017,Amortization!$A$17:$A$1017,$B732))</f>
        <v/>
      </c>
      <c r="D732" s="17" t="str">
        <f>IF($A732="","",SUMIFS(Amortization!F$17:F$1017,Amortization!$A$17:$A$1017,$B732))</f>
        <v/>
      </c>
      <c r="E732" s="17" t="str">
        <f>IF($A732="","",SUMIFS(Amortization!G$17:G$1017,Amortization!$A$17:$A$1017,$B732))</f>
        <v/>
      </c>
    </row>
    <row r="733" spans="2:5" hidden="1" x14ac:dyDescent="0.3">
      <c r="B733" s="1" t="str">
        <f t="shared" si="12"/>
        <v/>
      </c>
      <c r="C733" s="17" t="str">
        <f>IF($A733="","",SUMIFS(Amortization!E$17:E$1017,Amortization!$A$17:$A$1017,$B733))</f>
        <v/>
      </c>
      <c r="D733" s="17" t="str">
        <f>IF($A733="","",SUMIFS(Amortization!F$17:F$1017,Amortization!$A$17:$A$1017,$B733))</f>
        <v/>
      </c>
      <c r="E733" s="17" t="str">
        <f>IF($A733="","",SUMIFS(Amortization!G$17:G$1017,Amortization!$A$17:$A$1017,$B733))</f>
        <v/>
      </c>
    </row>
    <row r="734" spans="2:5" hidden="1" x14ac:dyDescent="0.3">
      <c r="B734" s="1" t="str">
        <f t="shared" si="12"/>
        <v/>
      </c>
      <c r="C734" s="17" t="str">
        <f>IF($A734="","",SUMIFS(Amortization!E$17:E$1017,Amortization!$A$17:$A$1017,$B734))</f>
        <v/>
      </c>
      <c r="D734" s="17" t="str">
        <f>IF($A734="","",SUMIFS(Amortization!F$17:F$1017,Amortization!$A$17:$A$1017,$B734))</f>
        <v/>
      </c>
      <c r="E734" s="17" t="str">
        <f>IF($A734="","",SUMIFS(Amortization!G$17:G$1017,Amortization!$A$17:$A$1017,$B734))</f>
        <v/>
      </c>
    </row>
    <row r="735" spans="2:5" hidden="1" x14ac:dyDescent="0.3">
      <c r="B735" s="1" t="str">
        <f t="shared" si="12"/>
        <v/>
      </c>
      <c r="C735" s="17" t="str">
        <f>IF($A735="","",SUMIFS(Amortization!E$17:E$1017,Amortization!$A$17:$A$1017,$B735))</f>
        <v/>
      </c>
      <c r="D735" s="17" t="str">
        <f>IF($A735="","",SUMIFS(Amortization!F$17:F$1017,Amortization!$A$17:$A$1017,$B735))</f>
        <v/>
      </c>
      <c r="E735" s="17" t="str">
        <f>IF($A735="","",SUMIFS(Amortization!G$17:G$1017,Amortization!$A$17:$A$1017,$B735))</f>
        <v/>
      </c>
    </row>
    <row r="736" spans="2:5" hidden="1" x14ac:dyDescent="0.3">
      <c r="B736" s="1" t="str">
        <f t="shared" si="12"/>
        <v/>
      </c>
      <c r="C736" s="17" t="str">
        <f>IF($A736="","",SUMIFS(Amortization!E$17:E$1017,Amortization!$A$17:$A$1017,$B736))</f>
        <v/>
      </c>
      <c r="D736" s="17" t="str">
        <f>IF($A736="","",SUMIFS(Amortization!F$17:F$1017,Amortization!$A$17:$A$1017,$B736))</f>
        <v/>
      </c>
      <c r="E736" s="17" t="str">
        <f>IF($A736="","",SUMIFS(Amortization!G$17:G$1017,Amortization!$A$17:$A$1017,$B736))</f>
        <v/>
      </c>
    </row>
    <row r="737" spans="2:5" hidden="1" x14ac:dyDescent="0.3">
      <c r="B737" s="1" t="str">
        <f t="shared" si="12"/>
        <v/>
      </c>
      <c r="C737" s="17" t="str">
        <f>IF($A737="","",SUMIFS(Amortization!E$17:E$1017,Amortization!$A$17:$A$1017,$B737))</f>
        <v/>
      </c>
      <c r="D737" s="17" t="str">
        <f>IF($A737="","",SUMIFS(Amortization!F$17:F$1017,Amortization!$A$17:$A$1017,$B737))</f>
        <v/>
      </c>
      <c r="E737" s="17" t="str">
        <f>IF($A737="","",SUMIFS(Amortization!G$17:G$1017,Amortization!$A$17:$A$1017,$B737))</f>
        <v/>
      </c>
    </row>
    <row r="738" spans="2:5" hidden="1" x14ac:dyDescent="0.3">
      <c r="B738" s="1" t="str">
        <f t="shared" si="12"/>
        <v/>
      </c>
      <c r="C738" s="17" t="str">
        <f>IF($A738="","",SUMIFS(Amortization!E$17:E$1017,Amortization!$A$17:$A$1017,$B738))</f>
        <v/>
      </c>
      <c r="D738" s="17" t="str">
        <f>IF($A738="","",SUMIFS(Amortization!F$17:F$1017,Amortization!$A$17:$A$1017,$B738))</f>
        <v/>
      </c>
      <c r="E738" s="17" t="str">
        <f>IF($A738="","",SUMIFS(Amortization!G$17:G$1017,Amortization!$A$17:$A$1017,$B738))</f>
        <v/>
      </c>
    </row>
    <row r="739" spans="2:5" hidden="1" x14ac:dyDescent="0.3">
      <c r="B739" s="1" t="str">
        <f t="shared" si="12"/>
        <v/>
      </c>
      <c r="C739" s="17" t="str">
        <f>IF($A739="","",SUMIFS(Amortization!E$17:E$1017,Amortization!$A$17:$A$1017,$B739))</f>
        <v/>
      </c>
      <c r="D739" s="17" t="str">
        <f>IF($A739="","",SUMIFS(Amortization!F$17:F$1017,Amortization!$A$17:$A$1017,$B739))</f>
        <v/>
      </c>
      <c r="E739" s="17" t="str">
        <f>IF($A739="","",SUMIFS(Amortization!G$17:G$1017,Amortization!$A$17:$A$1017,$B739))</f>
        <v/>
      </c>
    </row>
    <row r="740" spans="2:5" hidden="1" x14ac:dyDescent="0.3">
      <c r="B740" s="1" t="str">
        <f t="shared" si="12"/>
        <v/>
      </c>
      <c r="C740" s="17" t="str">
        <f>IF($A740="","",SUMIFS(Amortization!E$17:E$1017,Amortization!$A$17:$A$1017,$B740))</f>
        <v/>
      </c>
      <c r="D740" s="17" t="str">
        <f>IF($A740="","",SUMIFS(Amortization!F$17:F$1017,Amortization!$A$17:$A$1017,$B740))</f>
        <v/>
      </c>
      <c r="E740" s="17" t="str">
        <f>IF($A740="","",SUMIFS(Amortization!G$17:G$1017,Amortization!$A$17:$A$1017,$B740))</f>
        <v/>
      </c>
    </row>
    <row r="741" spans="2:5" hidden="1" x14ac:dyDescent="0.3">
      <c r="B741" s="1" t="str">
        <f t="shared" si="12"/>
        <v/>
      </c>
      <c r="C741" s="17" t="str">
        <f>IF($A741="","",SUMIFS(Amortization!E$17:E$1017,Amortization!$A$17:$A$1017,$B741))</f>
        <v/>
      </c>
      <c r="D741" s="17" t="str">
        <f>IF($A741="","",SUMIFS(Amortization!F$17:F$1017,Amortization!$A$17:$A$1017,$B741))</f>
        <v/>
      </c>
      <c r="E741" s="17" t="str">
        <f>IF($A741="","",SUMIFS(Amortization!G$17:G$1017,Amortization!$A$17:$A$1017,$B741))</f>
        <v/>
      </c>
    </row>
    <row r="742" spans="2:5" hidden="1" x14ac:dyDescent="0.3">
      <c r="B742" s="1" t="str">
        <f t="shared" si="12"/>
        <v/>
      </c>
      <c r="C742" s="17" t="str">
        <f>IF($A742="","",SUMIFS(Amortization!E$17:E$1017,Amortization!$A$17:$A$1017,$B742))</f>
        <v/>
      </c>
      <c r="D742" s="17" t="str">
        <f>IF($A742="","",SUMIFS(Amortization!F$17:F$1017,Amortization!$A$17:$A$1017,$B742))</f>
        <v/>
      </c>
      <c r="E742" s="17" t="str">
        <f>IF($A742="","",SUMIFS(Amortization!G$17:G$1017,Amortization!$A$17:$A$1017,$B742))</f>
        <v/>
      </c>
    </row>
    <row r="743" spans="2:5" hidden="1" x14ac:dyDescent="0.3">
      <c r="B743" s="1" t="str">
        <f t="shared" si="12"/>
        <v/>
      </c>
      <c r="C743" s="17" t="str">
        <f>IF($A743="","",SUMIFS(Amortization!E$17:E$1017,Amortization!$A$17:$A$1017,$B743))</f>
        <v/>
      </c>
      <c r="D743" s="17" t="str">
        <f>IF($A743="","",SUMIFS(Amortization!F$17:F$1017,Amortization!$A$17:$A$1017,$B743))</f>
        <v/>
      </c>
      <c r="E743" s="17" t="str">
        <f>IF($A743="","",SUMIFS(Amortization!G$17:G$1017,Amortization!$A$17:$A$1017,$B743))</f>
        <v/>
      </c>
    </row>
    <row r="744" spans="2:5" hidden="1" x14ac:dyDescent="0.3">
      <c r="B744" s="1" t="str">
        <f t="shared" si="12"/>
        <v/>
      </c>
      <c r="C744" s="17" t="str">
        <f>IF($A744="","",SUMIFS(Amortization!E$17:E$1017,Amortization!$A$17:$A$1017,$B744))</f>
        <v/>
      </c>
      <c r="D744" s="17" t="str">
        <f>IF($A744="","",SUMIFS(Amortization!F$17:F$1017,Amortization!$A$17:$A$1017,$B744))</f>
        <v/>
      </c>
      <c r="E744" s="17" t="str">
        <f>IF($A744="","",SUMIFS(Amortization!G$17:G$1017,Amortization!$A$17:$A$1017,$B744))</f>
        <v/>
      </c>
    </row>
    <row r="745" spans="2:5" hidden="1" x14ac:dyDescent="0.3">
      <c r="B745" s="1" t="str">
        <f t="shared" si="12"/>
        <v/>
      </c>
      <c r="C745" s="17" t="str">
        <f>IF($A745="","",SUMIFS(Amortization!E$17:E$1017,Amortization!$A$17:$A$1017,$B745))</f>
        <v/>
      </c>
      <c r="D745" s="17" t="str">
        <f>IF($A745="","",SUMIFS(Amortization!F$17:F$1017,Amortization!$A$17:$A$1017,$B745))</f>
        <v/>
      </c>
      <c r="E745" s="17" t="str">
        <f>IF($A745="","",SUMIFS(Amortization!G$17:G$1017,Amortization!$A$17:$A$1017,$B745))</f>
        <v/>
      </c>
    </row>
    <row r="746" spans="2:5" hidden="1" x14ac:dyDescent="0.3">
      <c r="B746" s="1" t="str">
        <f t="shared" si="12"/>
        <v/>
      </c>
      <c r="C746" s="17" t="str">
        <f>IF($A746="","",SUMIFS(Amortization!E$17:E$1017,Amortization!$A$17:$A$1017,$B746))</f>
        <v/>
      </c>
      <c r="D746" s="17" t="str">
        <f>IF($A746="","",SUMIFS(Amortization!F$17:F$1017,Amortization!$A$17:$A$1017,$B746))</f>
        <v/>
      </c>
      <c r="E746" s="17" t="str">
        <f>IF($A746="","",SUMIFS(Amortization!G$17:G$1017,Amortization!$A$17:$A$1017,$B746))</f>
        <v/>
      </c>
    </row>
    <row r="747" spans="2:5" hidden="1" x14ac:dyDescent="0.3">
      <c r="B747" s="1" t="str">
        <f t="shared" si="12"/>
        <v/>
      </c>
      <c r="C747" s="17" t="str">
        <f>IF($A747="","",SUMIFS(Amortization!E$17:E$1017,Amortization!$A$17:$A$1017,$B747))</f>
        <v/>
      </c>
      <c r="D747" s="17" t="str">
        <f>IF($A747="","",SUMIFS(Amortization!F$17:F$1017,Amortization!$A$17:$A$1017,$B747))</f>
        <v/>
      </c>
      <c r="E747" s="17" t="str">
        <f>IF($A747="","",SUMIFS(Amortization!G$17:G$1017,Amortization!$A$17:$A$1017,$B747))</f>
        <v/>
      </c>
    </row>
    <row r="748" spans="2:5" hidden="1" x14ac:dyDescent="0.3">
      <c r="B748" s="1" t="str">
        <f t="shared" si="12"/>
        <v/>
      </c>
      <c r="C748" s="17" t="str">
        <f>IF($A748="","",SUMIFS(Amortization!E$17:E$1017,Amortization!$A$17:$A$1017,$B748))</f>
        <v/>
      </c>
      <c r="D748" s="17" t="str">
        <f>IF($A748="","",SUMIFS(Amortization!F$17:F$1017,Amortization!$A$17:$A$1017,$B748))</f>
        <v/>
      </c>
      <c r="E748" s="17" t="str">
        <f>IF($A748="","",SUMIFS(Amortization!G$17:G$1017,Amortization!$A$17:$A$1017,$B748))</f>
        <v/>
      </c>
    </row>
    <row r="749" spans="2:5" hidden="1" x14ac:dyDescent="0.3">
      <c r="B749" s="1" t="str">
        <f t="shared" si="12"/>
        <v/>
      </c>
      <c r="C749" s="17" t="str">
        <f>IF($A749="","",SUMIFS(Amortization!E$17:E$1017,Amortization!$A$17:$A$1017,$B749))</f>
        <v/>
      </c>
      <c r="D749" s="17" t="str">
        <f>IF($A749="","",SUMIFS(Amortization!F$17:F$1017,Amortization!$A$17:$A$1017,$B749))</f>
        <v/>
      </c>
      <c r="E749" s="17" t="str">
        <f>IF($A749="","",SUMIFS(Amortization!G$17:G$1017,Amortization!$A$17:$A$1017,$B749))</f>
        <v/>
      </c>
    </row>
    <row r="750" spans="2:5" hidden="1" x14ac:dyDescent="0.3">
      <c r="B750" s="1" t="str">
        <f t="shared" si="12"/>
        <v/>
      </c>
      <c r="C750" s="17" t="str">
        <f>IF($A750="","",SUMIFS(Amortization!E$17:E$1017,Amortization!$A$17:$A$1017,$B750))</f>
        <v/>
      </c>
      <c r="D750" s="17" t="str">
        <f>IF($A750="","",SUMIFS(Amortization!F$17:F$1017,Amortization!$A$17:$A$1017,$B750))</f>
        <v/>
      </c>
      <c r="E750" s="17" t="str">
        <f>IF($A750="","",SUMIFS(Amortization!G$17:G$1017,Amortization!$A$17:$A$1017,$B750))</f>
        <v/>
      </c>
    </row>
    <row r="751" spans="2:5" hidden="1" x14ac:dyDescent="0.3">
      <c r="B751" s="1" t="str">
        <f t="shared" si="12"/>
        <v/>
      </c>
      <c r="C751" s="17" t="str">
        <f>IF($A751="","",SUMIFS(Amortization!E$17:E$1017,Amortization!$A$17:$A$1017,$B751))</f>
        <v/>
      </c>
      <c r="D751" s="17" t="str">
        <f>IF($A751="","",SUMIFS(Amortization!F$17:F$1017,Amortization!$A$17:$A$1017,$B751))</f>
        <v/>
      </c>
      <c r="E751" s="17" t="str">
        <f>IF($A751="","",SUMIFS(Amortization!G$17:G$1017,Amortization!$A$17:$A$1017,$B751))</f>
        <v/>
      </c>
    </row>
    <row r="752" spans="2:5" hidden="1" x14ac:dyDescent="0.3">
      <c r="B752" s="1" t="str">
        <f t="shared" si="12"/>
        <v/>
      </c>
      <c r="C752" s="17" t="str">
        <f>IF($A752="","",SUMIFS(Amortization!E$17:E$1017,Amortization!$A$17:$A$1017,$B752))</f>
        <v/>
      </c>
      <c r="D752" s="17" t="str">
        <f>IF($A752="","",SUMIFS(Amortization!F$17:F$1017,Amortization!$A$17:$A$1017,$B752))</f>
        <v/>
      </c>
      <c r="E752" s="17" t="str">
        <f>IF($A752="","",SUMIFS(Amortization!G$17:G$1017,Amortization!$A$17:$A$1017,$B752))</f>
        <v/>
      </c>
    </row>
    <row r="753" spans="2:5" hidden="1" x14ac:dyDescent="0.3">
      <c r="B753" s="1" t="str">
        <f t="shared" si="12"/>
        <v/>
      </c>
      <c r="C753" s="17" t="str">
        <f>IF($A753="","",SUMIFS(Amortization!E$17:E$1017,Amortization!$A$17:$A$1017,$B753))</f>
        <v/>
      </c>
      <c r="D753" s="17" t="str">
        <f>IF($A753="","",SUMIFS(Amortization!F$17:F$1017,Amortization!$A$17:$A$1017,$B753))</f>
        <v/>
      </c>
      <c r="E753" s="17" t="str">
        <f>IF($A753="","",SUMIFS(Amortization!G$17:G$1017,Amortization!$A$17:$A$1017,$B753))</f>
        <v/>
      </c>
    </row>
    <row r="754" spans="2:5" hidden="1" x14ac:dyDescent="0.3">
      <c r="B754" s="1" t="str">
        <f t="shared" si="12"/>
        <v/>
      </c>
      <c r="C754" s="17" t="str">
        <f>IF($A754="","",SUMIFS(Amortization!E$17:E$1017,Amortization!$A$17:$A$1017,$B754))</f>
        <v/>
      </c>
      <c r="D754" s="17" t="str">
        <f>IF($A754="","",SUMIFS(Amortization!F$17:F$1017,Amortization!$A$17:$A$1017,$B754))</f>
        <v/>
      </c>
      <c r="E754" s="17" t="str">
        <f>IF($A754="","",SUMIFS(Amortization!G$17:G$1017,Amortization!$A$17:$A$1017,$B754))</f>
        <v/>
      </c>
    </row>
    <row r="755" spans="2:5" hidden="1" x14ac:dyDescent="0.3">
      <c r="B755" s="1" t="str">
        <f t="shared" si="12"/>
        <v/>
      </c>
      <c r="C755" s="17" t="str">
        <f>IF($A755="","",SUMIFS(Amortization!E$17:E$1017,Amortization!$A$17:$A$1017,$B755))</f>
        <v/>
      </c>
      <c r="D755" s="17" t="str">
        <f>IF($A755="","",SUMIFS(Amortization!F$17:F$1017,Amortization!$A$17:$A$1017,$B755))</f>
        <v/>
      </c>
      <c r="E755" s="17" t="str">
        <f>IF($A755="","",SUMIFS(Amortization!G$17:G$1017,Amortization!$A$17:$A$1017,$B755))</f>
        <v/>
      </c>
    </row>
    <row r="756" spans="2:5" hidden="1" x14ac:dyDescent="0.3">
      <c r="B756" s="1" t="str">
        <f t="shared" si="12"/>
        <v/>
      </c>
      <c r="C756" s="17" t="str">
        <f>IF($A756="","",SUMIFS(Amortization!E$17:E$1017,Amortization!$A$17:$A$1017,$B756))</f>
        <v/>
      </c>
      <c r="D756" s="17" t="str">
        <f>IF($A756="","",SUMIFS(Amortization!F$17:F$1017,Amortization!$A$17:$A$1017,$B756))</f>
        <v/>
      </c>
      <c r="E756" s="17" t="str">
        <f>IF($A756="","",SUMIFS(Amortization!G$17:G$1017,Amortization!$A$17:$A$1017,$B756))</f>
        <v/>
      </c>
    </row>
    <row r="757" spans="2:5" hidden="1" x14ac:dyDescent="0.3">
      <c r="B757" s="1" t="str">
        <f t="shared" si="12"/>
        <v/>
      </c>
      <c r="C757" s="17" t="str">
        <f>IF($A757="","",SUMIFS(Amortization!E$17:E$1017,Amortization!$A$17:$A$1017,$B757))</f>
        <v/>
      </c>
      <c r="D757" s="17" t="str">
        <f>IF($A757="","",SUMIFS(Amortization!F$17:F$1017,Amortization!$A$17:$A$1017,$B757))</f>
        <v/>
      </c>
      <c r="E757" s="17" t="str">
        <f>IF($A757="","",SUMIFS(Amortization!G$17:G$1017,Amortization!$A$17:$A$1017,$B757))</f>
        <v/>
      </c>
    </row>
    <row r="758" spans="2:5" hidden="1" x14ac:dyDescent="0.3">
      <c r="B758" s="1" t="str">
        <f t="shared" si="12"/>
        <v/>
      </c>
      <c r="C758" s="17" t="str">
        <f>IF($A758="","",SUMIFS(Amortization!E$17:E$1017,Amortization!$A$17:$A$1017,$B758))</f>
        <v/>
      </c>
      <c r="D758" s="17" t="str">
        <f>IF($A758="","",SUMIFS(Amortization!F$17:F$1017,Amortization!$A$17:$A$1017,$B758))</f>
        <v/>
      </c>
      <c r="E758" s="17" t="str">
        <f>IF($A758="","",SUMIFS(Amortization!G$17:G$1017,Amortization!$A$17:$A$1017,$B758))</f>
        <v/>
      </c>
    </row>
    <row r="759" spans="2:5" hidden="1" x14ac:dyDescent="0.3">
      <c r="B759" s="1" t="str">
        <f t="shared" si="12"/>
        <v/>
      </c>
      <c r="C759" s="17" t="str">
        <f>IF($A759="","",SUMIFS(Amortization!E$17:E$1017,Amortization!$A$17:$A$1017,$B759))</f>
        <v/>
      </c>
      <c r="D759" s="17" t="str">
        <f>IF($A759="","",SUMIFS(Amortization!F$17:F$1017,Amortization!$A$17:$A$1017,$B759))</f>
        <v/>
      </c>
      <c r="E759" s="17" t="str">
        <f>IF($A759="","",SUMIFS(Amortization!G$17:G$1017,Amortization!$A$17:$A$1017,$B759))</f>
        <v/>
      </c>
    </row>
    <row r="760" spans="2:5" hidden="1" x14ac:dyDescent="0.3">
      <c r="B760" s="1" t="str">
        <f t="shared" si="12"/>
        <v/>
      </c>
      <c r="C760" s="17" t="str">
        <f>IF($A760="","",SUMIFS(Amortization!E$17:E$1017,Amortization!$A$17:$A$1017,$B760))</f>
        <v/>
      </c>
      <c r="D760" s="17" t="str">
        <f>IF($A760="","",SUMIFS(Amortization!F$17:F$1017,Amortization!$A$17:$A$1017,$B760))</f>
        <v/>
      </c>
      <c r="E760" s="17" t="str">
        <f>IF($A760="","",SUMIFS(Amortization!G$17:G$1017,Amortization!$A$17:$A$1017,$B760))</f>
        <v/>
      </c>
    </row>
    <row r="761" spans="2:5" hidden="1" x14ac:dyDescent="0.3">
      <c r="B761" s="1" t="str">
        <f t="shared" si="12"/>
        <v/>
      </c>
      <c r="C761" s="17" t="str">
        <f>IF($A761="","",SUMIFS(Amortization!E$17:E$1017,Amortization!$A$17:$A$1017,$B761))</f>
        <v/>
      </c>
      <c r="D761" s="17" t="str">
        <f>IF($A761="","",SUMIFS(Amortization!F$17:F$1017,Amortization!$A$17:$A$1017,$B761))</f>
        <v/>
      </c>
      <c r="E761" s="17" t="str">
        <f>IF($A761="","",SUMIFS(Amortization!G$17:G$1017,Amortization!$A$17:$A$1017,$B761))</f>
        <v/>
      </c>
    </row>
    <row r="762" spans="2:5" hidden="1" x14ac:dyDescent="0.3">
      <c r="B762" s="1" t="str">
        <f t="shared" si="12"/>
        <v/>
      </c>
      <c r="C762" s="17" t="str">
        <f>IF($A762="","",SUMIFS(Amortization!E$17:E$1017,Amortization!$A$17:$A$1017,$B762))</f>
        <v/>
      </c>
      <c r="D762" s="17" t="str">
        <f>IF($A762="","",SUMIFS(Amortization!F$17:F$1017,Amortization!$A$17:$A$1017,$B762))</f>
        <v/>
      </c>
      <c r="E762" s="17" t="str">
        <f>IF($A762="","",SUMIFS(Amortization!G$17:G$1017,Amortization!$A$17:$A$1017,$B762))</f>
        <v/>
      </c>
    </row>
    <row r="763" spans="2:5" hidden="1" x14ac:dyDescent="0.3">
      <c r="B763" s="1" t="str">
        <f t="shared" si="12"/>
        <v/>
      </c>
      <c r="C763" s="17" t="str">
        <f>IF($A763="","",SUMIFS(Amortization!E$17:E$1017,Amortization!$A$17:$A$1017,$B763))</f>
        <v/>
      </c>
      <c r="D763" s="17" t="str">
        <f>IF($A763="","",SUMIFS(Amortization!F$17:F$1017,Amortization!$A$17:$A$1017,$B763))</f>
        <v/>
      </c>
      <c r="E763" s="17" t="str">
        <f>IF($A763="","",SUMIFS(Amortization!G$17:G$1017,Amortization!$A$17:$A$1017,$B763))</f>
        <v/>
      </c>
    </row>
    <row r="764" spans="2:5" hidden="1" x14ac:dyDescent="0.3">
      <c r="B764" s="1" t="str">
        <f t="shared" si="12"/>
        <v/>
      </c>
      <c r="C764" s="17" t="str">
        <f>IF($A764="","",SUMIFS(Amortization!E$17:E$1017,Amortization!$A$17:$A$1017,$B764))</f>
        <v/>
      </c>
      <c r="D764" s="17" t="str">
        <f>IF($A764="","",SUMIFS(Amortization!F$17:F$1017,Amortization!$A$17:$A$1017,$B764))</f>
        <v/>
      </c>
      <c r="E764" s="17" t="str">
        <f>IF($A764="","",SUMIFS(Amortization!G$17:G$1017,Amortization!$A$17:$A$1017,$B764))</f>
        <v/>
      </c>
    </row>
    <row r="765" spans="2:5" hidden="1" x14ac:dyDescent="0.3">
      <c r="B765" s="1" t="str">
        <f t="shared" si="12"/>
        <v/>
      </c>
      <c r="C765" s="17" t="str">
        <f>IF($A765="","",SUMIFS(Amortization!E$17:E$1017,Amortization!$A$17:$A$1017,$B765))</f>
        <v/>
      </c>
      <c r="D765" s="17" t="str">
        <f>IF($A765="","",SUMIFS(Amortization!F$17:F$1017,Amortization!$A$17:$A$1017,$B765))</f>
        <v/>
      </c>
      <c r="E765" s="17" t="str">
        <f>IF($A765="","",SUMIFS(Amortization!G$17:G$1017,Amortization!$A$17:$A$1017,$B765))</f>
        <v/>
      </c>
    </row>
    <row r="766" spans="2:5" hidden="1" x14ac:dyDescent="0.3">
      <c r="B766" s="1" t="str">
        <f t="shared" si="12"/>
        <v/>
      </c>
      <c r="C766" s="17" t="str">
        <f>IF($A766="","",SUMIFS(Amortization!E$17:E$1017,Amortization!$A$17:$A$1017,$B766))</f>
        <v/>
      </c>
      <c r="D766" s="17" t="str">
        <f>IF($A766="","",SUMIFS(Amortization!F$17:F$1017,Amortization!$A$17:$A$1017,$B766))</f>
        <v/>
      </c>
      <c r="E766" s="17" t="str">
        <f>IF($A766="","",SUMIFS(Amortization!G$17:G$1017,Amortization!$A$17:$A$1017,$B766))</f>
        <v/>
      </c>
    </row>
    <row r="767" spans="2:5" hidden="1" x14ac:dyDescent="0.3">
      <c r="B767" s="1" t="str">
        <f t="shared" si="12"/>
        <v/>
      </c>
      <c r="C767" s="17" t="str">
        <f>IF($A767="","",SUMIFS(Amortization!E$17:E$1017,Amortization!$A$17:$A$1017,$B767))</f>
        <v/>
      </c>
      <c r="D767" s="17" t="str">
        <f>IF($A767="","",SUMIFS(Amortization!F$17:F$1017,Amortization!$A$17:$A$1017,$B767))</f>
        <v/>
      </c>
      <c r="E767" s="17" t="str">
        <f>IF($A767="","",SUMIFS(Amortization!G$17:G$1017,Amortization!$A$17:$A$1017,$B767))</f>
        <v/>
      </c>
    </row>
    <row r="768" spans="2:5" hidden="1" x14ac:dyDescent="0.3">
      <c r="B768" s="1" t="str">
        <f t="shared" si="12"/>
        <v/>
      </c>
      <c r="C768" s="17" t="str">
        <f>IF($A768="","",SUMIFS(Amortization!E$17:E$1017,Amortization!$A$17:$A$1017,$B768))</f>
        <v/>
      </c>
      <c r="D768" s="17" t="str">
        <f>IF($A768="","",SUMIFS(Amortization!F$17:F$1017,Amortization!$A$17:$A$1017,$B768))</f>
        <v/>
      </c>
      <c r="E768" s="17" t="str">
        <f>IF($A768="","",SUMIFS(Amortization!G$17:G$1017,Amortization!$A$17:$A$1017,$B768))</f>
        <v/>
      </c>
    </row>
    <row r="769" spans="2:5" hidden="1" x14ac:dyDescent="0.3">
      <c r="B769" s="1" t="str">
        <f t="shared" si="12"/>
        <v/>
      </c>
      <c r="C769" s="17" t="str">
        <f>IF($A769="","",SUMIFS(Amortization!E$17:E$1017,Amortization!$A$17:$A$1017,$B769))</f>
        <v/>
      </c>
      <c r="D769" s="17" t="str">
        <f>IF($A769="","",SUMIFS(Amortization!F$17:F$1017,Amortization!$A$17:$A$1017,$B769))</f>
        <v/>
      </c>
      <c r="E769" s="17" t="str">
        <f>IF($A769="","",SUMIFS(Amortization!G$17:G$1017,Amortization!$A$17:$A$1017,$B769))</f>
        <v/>
      </c>
    </row>
    <row r="770" spans="2:5" hidden="1" x14ac:dyDescent="0.3">
      <c r="B770" s="1" t="str">
        <f t="shared" si="12"/>
        <v/>
      </c>
      <c r="C770" s="17" t="str">
        <f>IF($A770="","",SUMIFS(Amortization!E$17:E$1017,Amortization!$A$17:$A$1017,$B770))</f>
        <v/>
      </c>
      <c r="D770" s="17" t="str">
        <f>IF($A770="","",SUMIFS(Amortization!F$17:F$1017,Amortization!$A$17:$A$1017,$B770))</f>
        <v/>
      </c>
      <c r="E770" s="17" t="str">
        <f>IF($A770="","",SUMIFS(Amortization!G$17:G$1017,Amortization!$A$17:$A$1017,$B770))</f>
        <v/>
      </c>
    </row>
    <row r="771" spans="2:5" hidden="1" x14ac:dyDescent="0.3">
      <c r="B771" s="1" t="str">
        <f t="shared" si="12"/>
        <v/>
      </c>
      <c r="C771" s="17" t="str">
        <f>IF($A771="","",SUMIFS(Amortization!E$17:E$1017,Amortization!$A$17:$A$1017,$B771))</f>
        <v/>
      </c>
      <c r="D771" s="17" t="str">
        <f>IF($A771="","",SUMIFS(Amortization!F$17:F$1017,Amortization!$A$17:$A$1017,$B771))</f>
        <v/>
      </c>
      <c r="E771" s="17" t="str">
        <f>IF($A771="","",SUMIFS(Amortization!G$17:G$1017,Amortization!$A$17:$A$1017,$B771))</f>
        <v/>
      </c>
    </row>
    <row r="772" spans="2:5" hidden="1" x14ac:dyDescent="0.3">
      <c r="B772" s="1" t="str">
        <f t="shared" si="12"/>
        <v/>
      </c>
      <c r="C772" s="17" t="str">
        <f>IF($A772="","",SUMIFS(Amortization!E$17:E$1017,Amortization!$A$17:$A$1017,$B772))</f>
        <v/>
      </c>
      <c r="D772" s="17" t="str">
        <f>IF($A772="","",SUMIFS(Amortization!F$17:F$1017,Amortization!$A$17:$A$1017,$B772))</f>
        <v/>
      </c>
      <c r="E772" s="17" t="str">
        <f>IF($A772="","",SUMIFS(Amortization!G$17:G$1017,Amortization!$A$17:$A$1017,$B772))</f>
        <v/>
      </c>
    </row>
    <row r="773" spans="2:5" hidden="1" x14ac:dyDescent="0.3">
      <c r="B773" s="1" t="str">
        <f t="shared" si="12"/>
        <v/>
      </c>
      <c r="C773" s="17" t="str">
        <f>IF($A773="","",SUMIFS(Amortization!E$17:E$1017,Amortization!$A$17:$A$1017,$B773))</f>
        <v/>
      </c>
      <c r="D773" s="17" t="str">
        <f>IF($A773="","",SUMIFS(Amortization!F$17:F$1017,Amortization!$A$17:$A$1017,$B773))</f>
        <v/>
      </c>
      <c r="E773" s="17" t="str">
        <f>IF($A773="","",SUMIFS(Amortization!G$17:G$1017,Amortization!$A$17:$A$1017,$B773))</f>
        <v/>
      </c>
    </row>
    <row r="774" spans="2:5" hidden="1" x14ac:dyDescent="0.3">
      <c r="B774" s="1" t="str">
        <f t="shared" si="12"/>
        <v/>
      </c>
      <c r="C774" s="17" t="str">
        <f>IF($A774="","",SUMIFS(Amortization!E$17:E$1017,Amortization!$A$17:$A$1017,$B774))</f>
        <v/>
      </c>
      <c r="D774" s="17" t="str">
        <f>IF($A774="","",SUMIFS(Amortization!F$17:F$1017,Amortization!$A$17:$A$1017,$B774))</f>
        <v/>
      </c>
      <c r="E774" s="17" t="str">
        <f>IF($A774="","",SUMIFS(Amortization!G$17:G$1017,Amortization!$A$17:$A$1017,$B774))</f>
        <v/>
      </c>
    </row>
    <row r="775" spans="2:5" hidden="1" x14ac:dyDescent="0.3">
      <c r="B775" s="1" t="str">
        <f t="shared" si="12"/>
        <v/>
      </c>
      <c r="C775" s="17" t="str">
        <f>IF($A775="","",SUMIFS(Amortization!E$17:E$1017,Amortization!$A$17:$A$1017,$B775))</f>
        <v/>
      </c>
      <c r="D775" s="17" t="str">
        <f>IF($A775="","",SUMIFS(Amortization!F$17:F$1017,Amortization!$A$17:$A$1017,$B775))</f>
        <v/>
      </c>
      <c r="E775" s="17" t="str">
        <f>IF($A775="","",SUMIFS(Amortization!G$17:G$1017,Amortization!$A$17:$A$1017,$B775))</f>
        <v/>
      </c>
    </row>
    <row r="776" spans="2:5" hidden="1" x14ac:dyDescent="0.3">
      <c r="B776" s="1" t="str">
        <f t="shared" si="12"/>
        <v/>
      </c>
      <c r="C776" s="17" t="str">
        <f>IF($A776="","",SUMIFS(Amortization!E$17:E$1017,Amortization!$A$17:$A$1017,$B776))</f>
        <v/>
      </c>
      <c r="D776" s="17" t="str">
        <f>IF($A776="","",SUMIFS(Amortization!F$17:F$1017,Amortization!$A$17:$A$1017,$B776))</f>
        <v/>
      </c>
      <c r="E776" s="17" t="str">
        <f>IF($A776="","",SUMIFS(Amortization!G$17:G$1017,Amortization!$A$17:$A$1017,$B776))</f>
        <v/>
      </c>
    </row>
    <row r="777" spans="2:5" hidden="1" x14ac:dyDescent="0.3">
      <c r="B777" s="1" t="str">
        <f t="shared" si="12"/>
        <v/>
      </c>
      <c r="C777" s="17" t="str">
        <f>IF($A777="","",SUMIFS(Amortization!E$17:E$1017,Amortization!$A$17:$A$1017,$B777))</f>
        <v/>
      </c>
      <c r="D777" s="17" t="str">
        <f>IF($A777="","",SUMIFS(Amortization!F$17:F$1017,Amortization!$A$17:$A$1017,$B777))</f>
        <v/>
      </c>
      <c r="E777" s="17" t="str">
        <f>IF($A777="","",SUMIFS(Amortization!G$17:G$1017,Amortization!$A$17:$A$1017,$B777))</f>
        <v/>
      </c>
    </row>
    <row r="778" spans="2:5" hidden="1" x14ac:dyDescent="0.3">
      <c r="B778" s="1" t="str">
        <f t="shared" si="12"/>
        <v/>
      </c>
      <c r="C778" s="17" t="str">
        <f>IF($A778="","",SUMIFS(Amortization!E$17:E$1017,Amortization!$A$17:$A$1017,$B778))</f>
        <v/>
      </c>
      <c r="D778" s="17" t="str">
        <f>IF($A778="","",SUMIFS(Amortization!F$17:F$1017,Amortization!$A$17:$A$1017,$B778))</f>
        <v/>
      </c>
      <c r="E778" s="17" t="str">
        <f>IF($A778="","",SUMIFS(Amortization!G$17:G$1017,Amortization!$A$17:$A$1017,$B778))</f>
        <v/>
      </c>
    </row>
    <row r="779" spans="2:5" hidden="1" x14ac:dyDescent="0.3">
      <c r="B779" s="1" t="str">
        <f t="shared" si="12"/>
        <v/>
      </c>
      <c r="C779" s="17" t="str">
        <f>IF($A779="","",SUMIFS(Amortization!E$17:E$1017,Amortization!$A$17:$A$1017,$B779))</f>
        <v/>
      </c>
      <c r="D779" s="17" t="str">
        <f>IF($A779="","",SUMIFS(Amortization!F$17:F$1017,Amortization!$A$17:$A$1017,$B779))</f>
        <v/>
      </c>
      <c r="E779" s="17" t="str">
        <f>IF($A779="","",SUMIFS(Amortization!G$17:G$1017,Amortization!$A$17:$A$1017,$B779))</f>
        <v/>
      </c>
    </row>
    <row r="780" spans="2:5" hidden="1" x14ac:dyDescent="0.3">
      <c r="B780" s="1" t="str">
        <f t="shared" si="12"/>
        <v/>
      </c>
      <c r="C780" s="17" t="str">
        <f>IF($A780="","",SUMIFS(Amortization!E$17:E$1017,Amortization!$A$17:$A$1017,$B780))</f>
        <v/>
      </c>
      <c r="D780" s="17" t="str">
        <f>IF($A780="","",SUMIFS(Amortization!F$17:F$1017,Amortization!$A$17:$A$1017,$B780))</f>
        <v/>
      </c>
      <c r="E780" s="17" t="str">
        <f>IF($A780="","",SUMIFS(Amortization!G$17:G$1017,Amortization!$A$17:$A$1017,$B780))</f>
        <v/>
      </c>
    </row>
    <row r="781" spans="2:5" hidden="1" x14ac:dyDescent="0.3">
      <c r="B781" s="1" t="str">
        <f t="shared" si="12"/>
        <v/>
      </c>
      <c r="C781" s="17" t="str">
        <f>IF($A781="","",SUMIFS(Amortization!E$17:E$1017,Amortization!$A$17:$A$1017,$B781))</f>
        <v/>
      </c>
      <c r="D781" s="17" t="str">
        <f>IF($A781="","",SUMIFS(Amortization!F$17:F$1017,Amortization!$A$17:$A$1017,$B781))</f>
        <v/>
      </c>
      <c r="E781" s="17" t="str">
        <f>IF($A781="","",SUMIFS(Amortization!G$17:G$1017,Amortization!$A$17:$A$1017,$B781))</f>
        <v/>
      </c>
    </row>
    <row r="782" spans="2:5" hidden="1" x14ac:dyDescent="0.3">
      <c r="B782" s="1" t="str">
        <f t="shared" si="12"/>
        <v/>
      </c>
      <c r="C782" s="17" t="str">
        <f>IF($A782="","",SUMIFS(Amortization!E$17:E$1017,Amortization!$A$17:$A$1017,$B782))</f>
        <v/>
      </c>
      <c r="D782" s="17" t="str">
        <f>IF($A782="","",SUMIFS(Amortization!F$17:F$1017,Amortization!$A$17:$A$1017,$B782))</f>
        <v/>
      </c>
      <c r="E782" s="17" t="str">
        <f>IF($A782="","",SUMIFS(Amortization!G$17:G$1017,Amortization!$A$17:$A$1017,$B782))</f>
        <v/>
      </c>
    </row>
    <row r="783" spans="2:5" hidden="1" x14ac:dyDescent="0.3">
      <c r="B783" s="1" t="str">
        <f t="shared" si="12"/>
        <v/>
      </c>
      <c r="C783" s="17" t="str">
        <f>IF($A783="","",SUMIFS(Amortization!E$17:E$1017,Amortization!$A$17:$A$1017,$B783))</f>
        <v/>
      </c>
      <c r="D783" s="17" t="str">
        <f>IF($A783="","",SUMIFS(Amortization!F$17:F$1017,Amortization!$A$17:$A$1017,$B783))</f>
        <v/>
      </c>
      <c r="E783" s="17" t="str">
        <f>IF($A783="","",SUMIFS(Amortization!G$17:G$1017,Amortization!$A$17:$A$1017,$B783))</f>
        <v/>
      </c>
    </row>
    <row r="784" spans="2:5" hidden="1" x14ac:dyDescent="0.3">
      <c r="B784" s="1" t="str">
        <f t="shared" si="12"/>
        <v/>
      </c>
      <c r="C784" s="17" t="str">
        <f>IF($A784="","",SUMIFS(Amortization!E$17:E$1017,Amortization!$A$17:$A$1017,$B784))</f>
        <v/>
      </c>
      <c r="D784" s="17" t="str">
        <f>IF($A784="","",SUMIFS(Amortization!F$17:F$1017,Amortization!$A$17:$A$1017,$B784))</f>
        <v/>
      </c>
      <c r="E784" s="17" t="str">
        <f>IF($A784="","",SUMIFS(Amortization!G$17:G$1017,Amortization!$A$17:$A$1017,$B784))</f>
        <v/>
      </c>
    </row>
    <row r="785" spans="2:5" hidden="1" x14ac:dyDescent="0.3">
      <c r="B785" s="1" t="str">
        <f t="shared" si="12"/>
        <v/>
      </c>
      <c r="C785" s="17" t="str">
        <f>IF($A785="","",SUMIFS(Amortization!E$17:E$1017,Amortization!$A$17:$A$1017,$B785))</f>
        <v/>
      </c>
      <c r="D785" s="17" t="str">
        <f>IF($A785="","",SUMIFS(Amortization!F$17:F$1017,Amortization!$A$17:$A$1017,$B785))</f>
        <v/>
      </c>
      <c r="E785" s="17" t="str">
        <f>IF($A785="","",SUMIFS(Amortization!G$17:G$1017,Amortization!$A$17:$A$1017,$B785))</f>
        <v/>
      </c>
    </row>
    <row r="786" spans="2:5" hidden="1" x14ac:dyDescent="0.3">
      <c r="B786" s="1" t="str">
        <f t="shared" si="12"/>
        <v/>
      </c>
      <c r="C786" s="17" t="str">
        <f>IF($A786="","",SUMIFS(Amortization!E$17:E$1017,Amortization!$A$17:$A$1017,$B786))</f>
        <v/>
      </c>
      <c r="D786" s="17" t="str">
        <f>IF($A786="","",SUMIFS(Amortization!F$17:F$1017,Amortization!$A$17:$A$1017,$B786))</f>
        <v/>
      </c>
      <c r="E786" s="17" t="str">
        <f>IF($A786="","",SUMIFS(Amortization!G$17:G$1017,Amortization!$A$17:$A$1017,$B786))</f>
        <v/>
      </c>
    </row>
    <row r="787" spans="2:5" hidden="1" x14ac:dyDescent="0.3">
      <c r="B787" s="1" t="str">
        <f t="shared" ref="B787:B850" si="13">IF(A787="","",B786+1)</f>
        <v/>
      </c>
      <c r="C787" s="17" t="str">
        <f>IF($A787="","",SUMIFS(Amortization!E$17:E$1017,Amortization!$A$17:$A$1017,$B787))</f>
        <v/>
      </c>
      <c r="D787" s="17" t="str">
        <f>IF($A787="","",SUMIFS(Amortization!F$17:F$1017,Amortization!$A$17:$A$1017,$B787))</f>
        <v/>
      </c>
      <c r="E787" s="17" t="str">
        <f>IF($A787="","",SUMIFS(Amortization!G$17:G$1017,Amortization!$A$17:$A$1017,$B787))</f>
        <v/>
      </c>
    </row>
    <row r="788" spans="2:5" hidden="1" x14ac:dyDescent="0.3">
      <c r="B788" s="1" t="str">
        <f t="shared" si="13"/>
        <v/>
      </c>
      <c r="C788" s="17" t="str">
        <f>IF($A788="","",SUMIFS(Amortization!E$17:E$1017,Amortization!$A$17:$A$1017,$B788))</f>
        <v/>
      </c>
      <c r="D788" s="17" t="str">
        <f>IF($A788="","",SUMIFS(Amortization!F$17:F$1017,Amortization!$A$17:$A$1017,$B788))</f>
        <v/>
      </c>
      <c r="E788" s="17" t="str">
        <f>IF($A788="","",SUMIFS(Amortization!G$17:G$1017,Amortization!$A$17:$A$1017,$B788))</f>
        <v/>
      </c>
    </row>
    <row r="789" spans="2:5" hidden="1" x14ac:dyDescent="0.3">
      <c r="B789" s="1" t="str">
        <f t="shared" si="13"/>
        <v/>
      </c>
      <c r="C789" s="17" t="str">
        <f>IF($A789="","",SUMIFS(Amortization!E$17:E$1017,Amortization!$A$17:$A$1017,$B789))</f>
        <v/>
      </c>
      <c r="D789" s="17" t="str">
        <f>IF($A789="","",SUMIFS(Amortization!F$17:F$1017,Amortization!$A$17:$A$1017,$B789))</f>
        <v/>
      </c>
      <c r="E789" s="17" t="str">
        <f>IF($A789="","",SUMIFS(Amortization!G$17:G$1017,Amortization!$A$17:$A$1017,$B789))</f>
        <v/>
      </c>
    </row>
    <row r="790" spans="2:5" hidden="1" x14ac:dyDescent="0.3">
      <c r="B790" s="1" t="str">
        <f t="shared" si="13"/>
        <v/>
      </c>
      <c r="C790" s="17" t="str">
        <f>IF($A790="","",SUMIFS(Amortization!E$17:E$1017,Amortization!$A$17:$A$1017,$B790))</f>
        <v/>
      </c>
      <c r="D790" s="17" t="str">
        <f>IF($A790="","",SUMIFS(Amortization!F$17:F$1017,Amortization!$A$17:$A$1017,$B790))</f>
        <v/>
      </c>
      <c r="E790" s="17" t="str">
        <f>IF($A790="","",SUMIFS(Amortization!G$17:G$1017,Amortization!$A$17:$A$1017,$B790))</f>
        <v/>
      </c>
    </row>
    <row r="791" spans="2:5" hidden="1" x14ac:dyDescent="0.3">
      <c r="B791" s="1" t="str">
        <f t="shared" si="13"/>
        <v/>
      </c>
      <c r="C791" s="17" t="str">
        <f>IF($A791="","",SUMIFS(Amortization!E$17:E$1017,Amortization!$A$17:$A$1017,$B791))</f>
        <v/>
      </c>
      <c r="D791" s="17" t="str">
        <f>IF($A791="","",SUMIFS(Amortization!F$17:F$1017,Amortization!$A$17:$A$1017,$B791))</f>
        <v/>
      </c>
      <c r="E791" s="17" t="str">
        <f>IF($A791="","",SUMIFS(Amortization!G$17:G$1017,Amortization!$A$17:$A$1017,$B791))</f>
        <v/>
      </c>
    </row>
    <row r="792" spans="2:5" hidden="1" x14ac:dyDescent="0.3">
      <c r="B792" s="1" t="str">
        <f t="shared" si="13"/>
        <v/>
      </c>
      <c r="C792" s="17" t="str">
        <f>IF($A792="","",SUMIFS(Amortization!E$17:E$1017,Amortization!$A$17:$A$1017,$B792))</f>
        <v/>
      </c>
      <c r="D792" s="17" t="str">
        <f>IF($A792="","",SUMIFS(Amortization!F$17:F$1017,Amortization!$A$17:$A$1017,$B792))</f>
        <v/>
      </c>
      <c r="E792" s="17" t="str">
        <f>IF($A792="","",SUMIFS(Amortization!G$17:G$1017,Amortization!$A$17:$A$1017,$B792))</f>
        <v/>
      </c>
    </row>
    <row r="793" spans="2:5" hidden="1" x14ac:dyDescent="0.3">
      <c r="B793" s="1" t="str">
        <f t="shared" si="13"/>
        <v/>
      </c>
      <c r="C793" s="17" t="str">
        <f>IF($A793="","",SUMIFS(Amortization!E$17:E$1017,Amortization!$A$17:$A$1017,$B793))</f>
        <v/>
      </c>
      <c r="D793" s="17" t="str">
        <f>IF($A793="","",SUMIFS(Amortization!F$17:F$1017,Amortization!$A$17:$A$1017,$B793))</f>
        <v/>
      </c>
      <c r="E793" s="17" t="str">
        <f>IF($A793="","",SUMIFS(Amortization!G$17:G$1017,Amortization!$A$17:$A$1017,$B793))</f>
        <v/>
      </c>
    </row>
    <row r="794" spans="2:5" hidden="1" x14ac:dyDescent="0.3">
      <c r="B794" s="1" t="str">
        <f t="shared" si="13"/>
        <v/>
      </c>
      <c r="C794" s="17" t="str">
        <f>IF($A794="","",SUMIFS(Amortization!E$17:E$1017,Amortization!$A$17:$A$1017,$B794))</f>
        <v/>
      </c>
      <c r="D794" s="17" t="str">
        <f>IF($A794="","",SUMIFS(Amortization!F$17:F$1017,Amortization!$A$17:$A$1017,$B794))</f>
        <v/>
      </c>
      <c r="E794" s="17" t="str">
        <f>IF($A794="","",SUMIFS(Amortization!G$17:G$1017,Amortization!$A$17:$A$1017,$B794))</f>
        <v/>
      </c>
    </row>
    <row r="795" spans="2:5" hidden="1" x14ac:dyDescent="0.3">
      <c r="B795" s="1" t="str">
        <f t="shared" si="13"/>
        <v/>
      </c>
      <c r="C795" s="17" t="str">
        <f>IF($A795="","",SUMIFS(Amortization!E$17:E$1017,Amortization!$A$17:$A$1017,$B795))</f>
        <v/>
      </c>
      <c r="D795" s="17" t="str">
        <f>IF($A795="","",SUMIFS(Amortization!F$17:F$1017,Amortization!$A$17:$A$1017,$B795))</f>
        <v/>
      </c>
      <c r="E795" s="17" t="str">
        <f>IF($A795="","",SUMIFS(Amortization!G$17:G$1017,Amortization!$A$17:$A$1017,$B795))</f>
        <v/>
      </c>
    </row>
    <row r="796" spans="2:5" hidden="1" x14ac:dyDescent="0.3">
      <c r="B796" s="1" t="str">
        <f t="shared" si="13"/>
        <v/>
      </c>
      <c r="C796" s="17" t="str">
        <f>IF($A796="","",SUMIFS(Amortization!E$17:E$1017,Amortization!$A$17:$A$1017,$B796))</f>
        <v/>
      </c>
      <c r="D796" s="17" t="str">
        <f>IF($A796="","",SUMIFS(Amortization!F$17:F$1017,Amortization!$A$17:$A$1017,$B796))</f>
        <v/>
      </c>
      <c r="E796" s="17" t="str">
        <f>IF($A796="","",SUMIFS(Amortization!G$17:G$1017,Amortization!$A$17:$A$1017,$B796))</f>
        <v/>
      </c>
    </row>
    <row r="797" spans="2:5" hidden="1" x14ac:dyDescent="0.3">
      <c r="B797" s="1" t="str">
        <f t="shared" si="13"/>
        <v/>
      </c>
      <c r="C797" s="17" t="str">
        <f>IF($A797="","",SUMIFS(Amortization!E$17:E$1017,Amortization!$A$17:$A$1017,$B797))</f>
        <v/>
      </c>
      <c r="D797" s="17" t="str">
        <f>IF($A797="","",SUMIFS(Amortization!F$17:F$1017,Amortization!$A$17:$A$1017,$B797))</f>
        <v/>
      </c>
      <c r="E797" s="17" t="str">
        <f>IF($A797="","",SUMIFS(Amortization!G$17:G$1017,Amortization!$A$17:$A$1017,$B797))</f>
        <v/>
      </c>
    </row>
    <row r="798" spans="2:5" hidden="1" x14ac:dyDescent="0.3">
      <c r="B798" s="1" t="str">
        <f t="shared" si="13"/>
        <v/>
      </c>
      <c r="C798" s="17" t="str">
        <f>IF($A798="","",SUMIFS(Amortization!E$17:E$1017,Amortization!$A$17:$A$1017,$B798))</f>
        <v/>
      </c>
      <c r="D798" s="17" t="str">
        <f>IF($A798="","",SUMIFS(Amortization!F$17:F$1017,Amortization!$A$17:$A$1017,$B798))</f>
        <v/>
      </c>
      <c r="E798" s="17" t="str">
        <f>IF($A798="","",SUMIFS(Amortization!G$17:G$1017,Amortization!$A$17:$A$1017,$B798))</f>
        <v/>
      </c>
    </row>
    <row r="799" spans="2:5" hidden="1" x14ac:dyDescent="0.3">
      <c r="B799" s="1" t="str">
        <f t="shared" si="13"/>
        <v/>
      </c>
      <c r="C799" s="17" t="str">
        <f>IF($A799="","",SUMIFS(Amortization!E$17:E$1017,Amortization!$A$17:$A$1017,$B799))</f>
        <v/>
      </c>
      <c r="D799" s="17" t="str">
        <f>IF($A799="","",SUMIFS(Amortization!F$17:F$1017,Amortization!$A$17:$A$1017,$B799))</f>
        <v/>
      </c>
      <c r="E799" s="17" t="str">
        <f>IF($A799="","",SUMIFS(Amortization!G$17:G$1017,Amortization!$A$17:$A$1017,$B799))</f>
        <v/>
      </c>
    </row>
    <row r="800" spans="2:5" hidden="1" x14ac:dyDescent="0.3">
      <c r="B800" s="1" t="str">
        <f t="shared" si="13"/>
        <v/>
      </c>
      <c r="C800" s="17" t="str">
        <f>IF($A800="","",SUMIFS(Amortization!E$17:E$1017,Amortization!$A$17:$A$1017,$B800))</f>
        <v/>
      </c>
      <c r="D800" s="17" t="str">
        <f>IF($A800="","",SUMIFS(Amortization!F$17:F$1017,Amortization!$A$17:$A$1017,$B800))</f>
        <v/>
      </c>
      <c r="E800" s="17" t="str">
        <f>IF($A800="","",SUMIFS(Amortization!G$17:G$1017,Amortization!$A$17:$A$1017,$B800))</f>
        <v/>
      </c>
    </row>
    <row r="801" spans="2:5" hidden="1" x14ac:dyDescent="0.3">
      <c r="B801" s="1" t="str">
        <f t="shared" si="13"/>
        <v/>
      </c>
      <c r="C801" s="17" t="str">
        <f>IF($A801="","",SUMIFS(Amortization!E$17:E$1017,Amortization!$A$17:$A$1017,$B801))</f>
        <v/>
      </c>
      <c r="D801" s="17" t="str">
        <f>IF($A801="","",SUMIFS(Amortization!F$17:F$1017,Amortization!$A$17:$A$1017,$B801))</f>
        <v/>
      </c>
      <c r="E801" s="17" t="str">
        <f>IF($A801="","",SUMIFS(Amortization!G$17:G$1017,Amortization!$A$17:$A$1017,$B801))</f>
        <v/>
      </c>
    </row>
    <row r="802" spans="2:5" hidden="1" x14ac:dyDescent="0.3">
      <c r="B802" s="1" t="str">
        <f t="shared" si="13"/>
        <v/>
      </c>
      <c r="C802" s="17" t="str">
        <f>IF($A802="","",SUMIFS(Amortization!E$17:E$1017,Amortization!$A$17:$A$1017,$B802))</f>
        <v/>
      </c>
      <c r="D802" s="17" t="str">
        <f>IF($A802="","",SUMIFS(Amortization!F$17:F$1017,Amortization!$A$17:$A$1017,$B802))</f>
        <v/>
      </c>
      <c r="E802" s="17" t="str">
        <f>IF($A802="","",SUMIFS(Amortization!G$17:G$1017,Amortization!$A$17:$A$1017,$B802))</f>
        <v/>
      </c>
    </row>
    <row r="803" spans="2:5" hidden="1" x14ac:dyDescent="0.3">
      <c r="B803" s="1" t="str">
        <f t="shared" si="13"/>
        <v/>
      </c>
      <c r="C803" s="17" t="str">
        <f>IF($A803="","",SUMIFS(Amortization!E$17:E$1017,Amortization!$A$17:$A$1017,$B803))</f>
        <v/>
      </c>
      <c r="D803" s="17" t="str">
        <f>IF($A803="","",SUMIFS(Amortization!F$17:F$1017,Amortization!$A$17:$A$1017,$B803))</f>
        <v/>
      </c>
      <c r="E803" s="17" t="str">
        <f>IF($A803="","",SUMIFS(Amortization!G$17:G$1017,Amortization!$A$17:$A$1017,$B803))</f>
        <v/>
      </c>
    </row>
    <row r="804" spans="2:5" hidden="1" x14ac:dyDescent="0.3">
      <c r="B804" s="1" t="str">
        <f t="shared" si="13"/>
        <v/>
      </c>
      <c r="C804" s="17" t="str">
        <f>IF($A804="","",SUMIFS(Amortization!E$17:E$1017,Amortization!$A$17:$A$1017,$B804))</f>
        <v/>
      </c>
      <c r="D804" s="17" t="str">
        <f>IF($A804="","",SUMIFS(Amortization!F$17:F$1017,Amortization!$A$17:$A$1017,$B804))</f>
        <v/>
      </c>
      <c r="E804" s="17" t="str">
        <f>IF($A804="","",SUMIFS(Amortization!G$17:G$1017,Amortization!$A$17:$A$1017,$B804))</f>
        <v/>
      </c>
    </row>
    <row r="805" spans="2:5" hidden="1" x14ac:dyDescent="0.3">
      <c r="B805" s="1" t="str">
        <f t="shared" si="13"/>
        <v/>
      </c>
      <c r="C805" s="17" t="str">
        <f>IF($A805="","",SUMIFS(Amortization!E$17:E$1017,Amortization!$A$17:$A$1017,$B805))</f>
        <v/>
      </c>
      <c r="D805" s="17" t="str">
        <f>IF($A805="","",SUMIFS(Amortization!F$17:F$1017,Amortization!$A$17:$A$1017,$B805))</f>
        <v/>
      </c>
      <c r="E805" s="17" t="str">
        <f>IF($A805="","",SUMIFS(Amortization!G$17:G$1017,Amortization!$A$17:$A$1017,$B805))</f>
        <v/>
      </c>
    </row>
    <row r="806" spans="2:5" hidden="1" x14ac:dyDescent="0.3">
      <c r="B806" s="1" t="str">
        <f t="shared" si="13"/>
        <v/>
      </c>
      <c r="C806" s="17" t="str">
        <f>IF($A806="","",SUMIFS(Amortization!E$17:E$1017,Amortization!$A$17:$A$1017,$B806))</f>
        <v/>
      </c>
      <c r="D806" s="17" t="str">
        <f>IF($A806="","",SUMIFS(Amortization!F$17:F$1017,Amortization!$A$17:$A$1017,$B806))</f>
        <v/>
      </c>
      <c r="E806" s="17" t="str">
        <f>IF($A806="","",SUMIFS(Amortization!G$17:G$1017,Amortization!$A$17:$A$1017,$B806))</f>
        <v/>
      </c>
    </row>
    <row r="807" spans="2:5" hidden="1" x14ac:dyDescent="0.3">
      <c r="B807" s="1" t="str">
        <f t="shared" si="13"/>
        <v/>
      </c>
      <c r="C807" s="17" t="str">
        <f>IF($A807="","",SUMIFS(Amortization!E$17:E$1017,Amortization!$A$17:$A$1017,$B807))</f>
        <v/>
      </c>
      <c r="D807" s="17" t="str">
        <f>IF($A807="","",SUMIFS(Amortization!F$17:F$1017,Amortization!$A$17:$A$1017,$B807))</f>
        <v/>
      </c>
      <c r="E807" s="17" t="str">
        <f>IF($A807="","",SUMIFS(Amortization!G$17:G$1017,Amortization!$A$17:$A$1017,$B807))</f>
        <v/>
      </c>
    </row>
    <row r="808" spans="2:5" hidden="1" x14ac:dyDescent="0.3">
      <c r="B808" s="1" t="str">
        <f t="shared" si="13"/>
        <v/>
      </c>
      <c r="C808" s="17" t="str">
        <f>IF($A808="","",SUMIFS(Amortization!E$17:E$1017,Amortization!$A$17:$A$1017,$B808))</f>
        <v/>
      </c>
      <c r="D808" s="17" t="str">
        <f>IF($A808="","",SUMIFS(Amortization!F$17:F$1017,Amortization!$A$17:$A$1017,$B808))</f>
        <v/>
      </c>
      <c r="E808" s="17" t="str">
        <f>IF($A808="","",SUMIFS(Amortization!G$17:G$1017,Amortization!$A$17:$A$1017,$B808))</f>
        <v/>
      </c>
    </row>
    <row r="809" spans="2:5" hidden="1" x14ac:dyDescent="0.3">
      <c r="B809" s="1" t="str">
        <f t="shared" si="13"/>
        <v/>
      </c>
      <c r="C809" s="17" t="str">
        <f>IF($A809="","",SUMIFS(Amortization!E$17:E$1017,Amortization!$A$17:$A$1017,$B809))</f>
        <v/>
      </c>
      <c r="D809" s="17" t="str">
        <f>IF($A809="","",SUMIFS(Amortization!F$17:F$1017,Amortization!$A$17:$A$1017,$B809))</f>
        <v/>
      </c>
      <c r="E809" s="17" t="str">
        <f>IF($A809="","",SUMIFS(Amortization!G$17:G$1017,Amortization!$A$17:$A$1017,$B809))</f>
        <v/>
      </c>
    </row>
    <row r="810" spans="2:5" hidden="1" x14ac:dyDescent="0.3">
      <c r="B810" s="1" t="str">
        <f t="shared" si="13"/>
        <v/>
      </c>
      <c r="C810" s="17" t="str">
        <f>IF($A810="","",SUMIFS(Amortization!E$17:E$1017,Amortization!$A$17:$A$1017,$B810))</f>
        <v/>
      </c>
      <c r="D810" s="17" t="str">
        <f>IF($A810="","",SUMIFS(Amortization!F$17:F$1017,Amortization!$A$17:$A$1017,$B810))</f>
        <v/>
      </c>
      <c r="E810" s="17" t="str">
        <f>IF($A810="","",SUMIFS(Amortization!G$17:G$1017,Amortization!$A$17:$A$1017,$B810))</f>
        <v/>
      </c>
    </row>
    <row r="811" spans="2:5" hidden="1" x14ac:dyDescent="0.3">
      <c r="B811" s="1" t="str">
        <f t="shared" si="13"/>
        <v/>
      </c>
      <c r="C811" s="17" t="str">
        <f>IF($A811="","",SUMIFS(Amortization!E$17:E$1017,Amortization!$A$17:$A$1017,$B811))</f>
        <v/>
      </c>
      <c r="D811" s="17" t="str">
        <f>IF($A811="","",SUMIFS(Amortization!F$17:F$1017,Amortization!$A$17:$A$1017,$B811))</f>
        <v/>
      </c>
      <c r="E811" s="17" t="str">
        <f>IF($A811="","",SUMIFS(Amortization!G$17:G$1017,Amortization!$A$17:$A$1017,$B811))</f>
        <v/>
      </c>
    </row>
    <row r="812" spans="2:5" hidden="1" x14ac:dyDescent="0.3">
      <c r="B812" s="1" t="str">
        <f t="shared" si="13"/>
        <v/>
      </c>
      <c r="C812" s="17" t="str">
        <f>IF($A812="","",SUMIFS(Amortization!E$17:E$1017,Amortization!$A$17:$A$1017,$B812))</f>
        <v/>
      </c>
      <c r="D812" s="17" t="str">
        <f>IF($A812="","",SUMIFS(Amortization!F$17:F$1017,Amortization!$A$17:$A$1017,$B812))</f>
        <v/>
      </c>
      <c r="E812" s="17" t="str">
        <f>IF($A812="","",SUMIFS(Amortization!G$17:G$1017,Amortization!$A$17:$A$1017,$B812))</f>
        <v/>
      </c>
    </row>
    <row r="813" spans="2:5" hidden="1" x14ac:dyDescent="0.3">
      <c r="B813" s="1" t="str">
        <f t="shared" si="13"/>
        <v/>
      </c>
      <c r="C813" s="17" t="str">
        <f>IF($A813="","",SUMIFS(Amortization!E$17:E$1017,Amortization!$A$17:$A$1017,$B813))</f>
        <v/>
      </c>
      <c r="D813" s="17" t="str">
        <f>IF($A813="","",SUMIFS(Amortization!F$17:F$1017,Amortization!$A$17:$A$1017,$B813))</f>
        <v/>
      </c>
      <c r="E813" s="17" t="str">
        <f>IF($A813="","",SUMIFS(Amortization!G$17:G$1017,Amortization!$A$17:$A$1017,$B813))</f>
        <v/>
      </c>
    </row>
    <row r="814" spans="2:5" hidden="1" x14ac:dyDescent="0.3">
      <c r="B814" s="1" t="str">
        <f t="shared" si="13"/>
        <v/>
      </c>
      <c r="C814" s="17" t="str">
        <f>IF($A814="","",SUMIFS(Amortization!E$17:E$1017,Amortization!$A$17:$A$1017,$B814))</f>
        <v/>
      </c>
      <c r="D814" s="17" t="str">
        <f>IF($A814="","",SUMIFS(Amortization!F$17:F$1017,Amortization!$A$17:$A$1017,$B814))</f>
        <v/>
      </c>
      <c r="E814" s="17" t="str">
        <f>IF($A814="","",SUMIFS(Amortization!G$17:G$1017,Amortization!$A$17:$A$1017,$B814))</f>
        <v/>
      </c>
    </row>
    <row r="815" spans="2:5" hidden="1" x14ac:dyDescent="0.3">
      <c r="B815" s="1" t="str">
        <f t="shared" si="13"/>
        <v/>
      </c>
      <c r="C815" s="17" t="str">
        <f>IF($A815="","",SUMIFS(Amortization!E$17:E$1017,Amortization!$A$17:$A$1017,$B815))</f>
        <v/>
      </c>
      <c r="D815" s="17" t="str">
        <f>IF($A815="","",SUMIFS(Amortization!F$17:F$1017,Amortization!$A$17:$A$1017,$B815))</f>
        <v/>
      </c>
      <c r="E815" s="17" t="str">
        <f>IF($A815="","",SUMIFS(Amortization!G$17:G$1017,Amortization!$A$17:$A$1017,$B815))</f>
        <v/>
      </c>
    </row>
    <row r="816" spans="2:5" hidden="1" x14ac:dyDescent="0.3">
      <c r="B816" s="1" t="str">
        <f t="shared" si="13"/>
        <v/>
      </c>
      <c r="C816" s="17" t="str">
        <f>IF($A816="","",SUMIFS(Amortization!E$17:E$1017,Amortization!$A$17:$A$1017,$B816))</f>
        <v/>
      </c>
      <c r="D816" s="17" t="str">
        <f>IF($A816="","",SUMIFS(Amortization!F$17:F$1017,Amortization!$A$17:$A$1017,$B816))</f>
        <v/>
      </c>
      <c r="E816" s="17" t="str">
        <f>IF($A816="","",SUMIFS(Amortization!G$17:G$1017,Amortization!$A$17:$A$1017,$B816))</f>
        <v/>
      </c>
    </row>
    <row r="817" spans="2:5" hidden="1" x14ac:dyDescent="0.3">
      <c r="B817" s="1" t="str">
        <f t="shared" si="13"/>
        <v/>
      </c>
      <c r="C817" s="17" t="str">
        <f>IF($A817="","",SUMIFS(Amortization!E$17:E$1017,Amortization!$A$17:$A$1017,$B817))</f>
        <v/>
      </c>
      <c r="D817" s="17" t="str">
        <f>IF($A817="","",SUMIFS(Amortization!F$17:F$1017,Amortization!$A$17:$A$1017,$B817))</f>
        <v/>
      </c>
      <c r="E817" s="17" t="str">
        <f>IF($A817="","",SUMIFS(Amortization!G$17:G$1017,Amortization!$A$17:$A$1017,$B817))</f>
        <v/>
      </c>
    </row>
    <row r="818" spans="2:5" hidden="1" x14ac:dyDescent="0.3">
      <c r="B818" s="1" t="str">
        <f t="shared" si="13"/>
        <v/>
      </c>
      <c r="C818" s="17" t="str">
        <f>IF($A818="","",SUMIFS(Amortization!E$17:E$1017,Amortization!$A$17:$A$1017,$B818))</f>
        <v/>
      </c>
      <c r="D818" s="17" t="str">
        <f>IF($A818="","",SUMIFS(Amortization!F$17:F$1017,Amortization!$A$17:$A$1017,$B818))</f>
        <v/>
      </c>
      <c r="E818" s="17" t="str">
        <f>IF($A818="","",SUMIFS(Amortization!G$17:G$1017,Amortization!$A$17:$A$1017,$B818))</f>
        <v/>
      </c>
    </row>
    <row r="819" spans="2:5" hidden="1" x14ac:dyDescent="0.3">
      <c r="B819" s="1" t="str">
        <f t="shared" si="13"/>
        <v/>
      </c>
      <c r="C819" s="17" t="str">
        <f>IF($A819="","",SUMIFS(Amortization!E$17:E$1017,Amortization!$A$17:$A$1017,$B819))</f>
        <v/>
      </c>
      <c r="D819" s="17" t="str">
        <f>IF($A819="","",SUMIFS(Amortization!F$17:F$1017,Amortization!$A$17:$A$1017,$B819))</f>
        <v/>
      </c>
      <c r="E819" s="17" t="str">
        <f>IF($A819="","",SUMIFS(Amortization!G$17:G$1017,Amortization!$A$17:$A$1017,$B819))</f>
        <v/>
      </c>
    </row>
    <row r="820" spans="2:5" hidden="1" x14ac:dyDescent="0.3">
      <c r="B820" s="1" t="str">
        <f t="shared" si="13"/>
        <v/>
      </c>
      <c r="C820" s="17" t="str">
        <f>IF($A820="","",SUMIFS(Amortization!E$17:E$1017,Amortization!$A$17:$A$1017,$B820))</f>
        <v/>
      </c>
      <c r="D820" s="17" t="str">
        <f>IF($A820="","",SUMIFS(Amortization!F$17:F$1017,Amortization!$A$17:$A$1017,$B820))</f>
        <v/>
      </c>
      <c r="E820" s="17" t="str">
        <f>IF($A820="","",SUMIFS(Amortization!G$17:G$1017,Amortization!$A$17:$A$1017,$B820))</f>
        <v/>
      </c>
    </row>
    <row r="821" spans="2:5" hidden="1" x14ac:dyDescent="0.3">
      <c r="B821" s="1" t="str">
        <f t="shared" si="13"/>
        <v/>
      </c>
      <c r="C821" s="17" t="str">
        <f>IF($A821="","",SUMIFS(Amortization!E$17:E$1017,Amortization!$A$17:$A$1017,$B821))</f>
        <v/>
      </c>
      <c r="D821" s="17" t="str">
        <f>IF($A821="","",SUMIFS(Amortization!F$17:F$1017,Amortization!$A$17:$A$1017,$B821))</f>
        <v/>
      </c>
      <c r="E821" s="17" t="str">
        <f>IF($A821="","",SUMIFS(Amortization!G$17:G$1017,Amortization!$A$17:$A$1017,$B821))</f>
        <v/>
      </c>
    </row>
    <row r="822" spans="2:5" hidden="1" x14ac:dyDescent="0.3">
      <c r="B822" s="1" t="str">
        <f t="shared" si="13"/>
        <v/>
      </c>
      <c r="C822" s="17" t="str">
        <f>IF($A822="","",SUMIFS(Amortization!E$17:E$1017,Amortization!$A$17:$A$1017,$B822))</f>
        <v/>
      </c>
      <c r="D822" s="17" t="str">
        <f>IF($A822="","",SUMIFS(Amortization!F$17:F$1017,Amortization!$A$17:$A$1017,$B822))</f>
        <v/>
      </c>
      <c r="E822" s="17" t="str">
        <f>IF($A822="","",SUMIFS(Amortization!G$17:G$1017,Amortization!$A$17:$A$1017,$B822))</f>
        <v/>
      </c>
    </row>
    <row r="823" spans="2:5" hidden="1" x14ac:dyDescent="0.3">
      <c r="B823" s="1" t="str">
        <f t="shared" si="13"/>
        <v/>
      </c>
      <c r="C823" s="17" t="str">
        <f>IF($A823="","",SUMIFS(Amortization!E$17:E$1017,Amortization!$A$17:$A$1017,$B823))</f>
        <v/>
      </c>
      <c r="D823" s="17" t="str">
        <f>IF($A823="","",SUMIFS(Amortization!F$17:F$1017,Amortization!$A$17:$A$1017,$B823))</f>
        <v/>
      </c>
      <c r="E823" s="17" t="str">
        <f>IF($A823="","",SUMIFS(Amortization!G$17:G$1017,Amortization!$A$17:$A$1017,$B823))</f>
        <v/>
      </c>
    </row>
    <row r="824" spans="2:5" hidden="1" x14ac:dyDescent="0.3">
      <c r="B824" s="1" t="str">
        <f t="shared" si="13"/>
        <v/>
      </c>
      <c r="C824" s="17" t="str">
        <f>IF($A824="","",SUMIFS(Amortization!E$17:E$1017,Amortization!$A$17:$A$1017,$B824))</f>
        <v/>
      </c>
      <c r="D824" s="17" t="str">
        <f>IF($A824="","",SUMIFS(Amortization!F$17:F$1017,Amortization!$A$17:$A$1017,$B824))</f>
        <v/>
      </c>
      <c r="E824" s="17" t="str">
        <f>IF($A824="","",SUMIFS(Amortization!G$17:G$1017,Amortization!$A$17:$A$1017,$B824))</f>
        <v/>
      </c>
    </row>
    <row r="825" spans="2:5" hidden="1" x14ac:dyDescent="0.3">
      <c r="B825" s="1" t="str">
        <f t="shared" si="13"/>
        <v/>
      </c>
      <c r="C825" s="17" t="str">
        <f>IF($A825="","",SUMIFS(Amortization!E$17:E$1017,Amortization!$A$17:$A$1017,$B825))</f>
        <v/>
      </c>
      <c r="D825" s="17" t="str">
        <f>IF($A825="","",SUMIFS(Amortization!F$17:F$1017,Amortization!$A$17:$A$1017,$B825))</f>
        <v/>
      </c>
      <c r="E825" s="17" t="str">
        <f>IF($A825="","",SUMIFS(Amortization!G$17:G$1017,Amortization!$A$17:$A$1017,$B825))</f>
        <v/>
      </c>
    </row>
    <row r="826" spans="2:5" hidden="1" x14ac:dyDescent="0.3">
      <c r="B826" s="1" t="str">
        <f t="shared" si="13"/>
        <v/>
      </c>
      <c r="C826" s="17" t="str">
        <f>IF($A826="","",SUMIFS(Amortization!E$17:E$1017,Amortization!$A$17:$A$1017,$B826))</f>
        <v/>
      </c>
      <c r="D826" s="17" t="str">
        <f>IF($A826="","",SUMIFS(Amortization!F$17:F$1017,Amortization!$A$17:$A$1017,$B826))</f>
        <v/>
      </c>
      <c r="E826" s="17" t="str">
        <f>IF($A826="","",SUMIFS(Amortization!G$17:G$1017,Amortization!$A$17:$A$1017,$B826))</f>
        <v/>
      </c>
    </row>
    <row r="827" spans="2:5" hidden="1" x14ac:dyDescent="0.3">
      <c r="B827" s="1" t="str">
        <f t="shared" si="13"/>
        <v/>
      </c>
      <c r="C827" s="17" t="str">
        <f>IF($A827="","",SUMIFS(Amortization!E$17:E$1017,Amortization!$A$17:$A$1017,$B827))</f>
        <v/>
      </c>
      <c r="D827" s="17" t="str">
        <f>IF($A827="","",SUMIFS(Amortization!F$17:F$1017,Amortization!$A$17:$A$1017,$B827))</f>
        <v/>
      </c>
      <c r="E827" s="17" t="str">
        <f>IF($A827="","",SUMIFS(Amortization!G$17:G$1017,Amortization!$A$17:$A$1017,$B827))</f>
        <v/>
      </c>
    </row>
    <row r="828" spans="2:5" hidden="1" x14ac:dyDescent="0.3">
      <c r="B828" s="1" t="str">
        <f t="shared" si="13"/>
        <v/>
      </c>
      <c r="C828" s="17" t="str">
        <f>IF($A828="","",SUMIFS(Amortization!E$17:E$1017,Amortization!$A$17:$A$1017,$B828))</f>
        <v/>
      </c>
      <c r="D828" s="17" t="str">
        <f>IF($A828="","",SUMIFS(Amortization!F$17:F$1017,Amortization!$A$17:$A$1017,$B828))</f>
        <v/>
      </c>
      <c r="E828" s="17" t="str">
        <f>IF($A828="","",SUMIFS(Amortization!G$17:G$1017,Amortization!$A$17:$A$1017,$B828))</f>
        <v/>
      </c>
    </row>
    <row r="829" spans="2:5" hidden="1" x14ac:dyDescent="0.3">
      <c r="B829" s="1" t="str">
        <f t="shared" si="13"/>
        <v/>
      </c>
      <c r="C829" s="17" t="str">
        <f>IF($A829="","",SUMIFS(Amortization!E$17:E$1017,Amortization!$A$17:$A$1017,$B829))</f>
        <v/>
      </c>
      <c r="D829" s="17" t="str">
        <f>IF($A829="","",SUMIFS(Amortization!F$17:F$1017,Amortization!$A$17:$A$1017,$B829))</f>
        <v/>
      </c>
      <c r="E829" s="17" t="str">
        <f>IF($A829="","",SUMIFS(Amortization!G$17:G$1017,Amortization!$A$17:$A$1017,$B829))</f>
        <v/>
      </c>
    </row>
    <row r="830" spans="2:5" hidden="1" x14ac:dyDescent="0.3">
      <c r="B830" s="1" t="str">
        <f t="shared" si="13"/>
        <v/>
      </c>
      <c r="C830" s="17" t="str">
        <f>IF($A830="","",SUMIFS(Amortization!E$17:E$1017,Amortization!$A$17:$A$1017,$B830))</f>
        <v/>
      </c>
      <c r="D830" s="17" t="str">
        <f>IF($A830="","",SUMIFS(Amortization!F$17:F$1017,Amortization!$A$17:$A$1017,$B830))</f>
        <v/>
      </c>
      <c r="E830" s="17" t="str">
        <f>IF($A830="","",SUMIFS(Amortization!G$17:G$1017,Amortization!$A$17:$A$1017,$B830))</f>
        <v/>
      </c>
    </row>
    <row r="831" spans="2:5" hidden="1" x14ac:dyDescent="0.3">
      <c r="B831" s="1" t="str">
        <f t="shared" si="13"/>
        <v/>
      </c>
      <c r="C831" s="17" t="str">
        <f>IF($A831="","",SUMIFS(Amortization!E$17:E$1017,Amortization!$A$17:$A$1017,$B831))</f>
        <v/>
      </c>
      <c r="D831" s="17" t="str">
        <f>IF($A831="","",SUMIFS(Amortization!F$17:F$1017,Amortization!$A$17:$A$1017,$B831))</f>
        <v/>
      </c>
      <c r="E831" s="17" t="str">
        <f>IF($A831="","",SUMIFS(Amortization!G$17:G$1017,Amortization!$A$17:$A$1017,$B831))</f>
        <v/>
      </c>
    </row>
    <row r="832" spans="2:5" hidden="1" x14ac:dyDescent="0.3">
      <c r="B832" s="1" t="str">
        <f t="shared" si="13"/>
        <v/>
      </c>
      <c r="C832" s="17" t="str">
        <f>IF($A832="","",SUMIFS(Amortization!E$17:E$1017,Amortization!$A$17:$A$1017,$B832))</f>
        <v/>
      </c>
      <c r="D832" s="17" t="str">
        <f>IF($A832="","",SUMIFS(Amortization!F$17:F$1017,Amortization!$A$17:$A$1017,$B832))</f>
        <v/>
      </c>
      <c r="E832" s="17" t="str">
        <f>IF($A832="","",SUMIFS(Amortization!G$17:G$1017,Amortization!$A$17:$A$1017,$B832))</f>
        <v/>
      </c>
    </row>
    <row r="833" spans="2:5" hidden="1" x14ac:dyDescent="0.3">
      <c r="B833" s="1" t="str">
        <f t="shared" si="13"/>
        <v/>
      </c>
      <c r="C833" s="17" t="str">
        <f>IF($A833="","",SUMIFS(Amortization!E$17:E$1017,Amortization!$A$17:$A$1017,$B833))</f>
        <v/>
      </c>
      <c r="D833" s="17" t="str">
        <f>IF($A833="","",SUMIFS(Amortization!F$17:F$1017,Amortization!$A$17:$A$1017,$B833))</f>
        <v/>
      </c>
      <c r="E833" s="17" t="str">
        <f>IF($A833="","",SUMIFS(Amortization!G$17:G$1017,Amortization!$A$17:$A$1017,$B833))</f>
        <v/>
      </c>
    </row>
    <row r="834" spans="2:5" hidden="1" x14ac:dyDescent="0.3">
      <c r="B834" s="1" t="str">
        <f t="shared" si="13"/>
        <v/>
      </c>
      <c r="C834" s="17" t="str">
        <f>IF($A834="","",SUMIFS(Amortization!E$17:E$1017,Amortization!$A$17:$A$1017,$B834))</f>
        <v/>
      </c>
      <c r="D834" s="17" t="str">
        <f>IF($A834="","",SUMIFS(Amortization!F$17:F$1017,Amortization!$A$17:$A$1017,$B834))</f>
        <v/>
      </c>
      <c r="E834" s="17" t="str">
        <f>IF($A834="","",SUMIFS(Amortization!G$17:G$1017,Amortization!$A$17:$A$1017,$B834))</f>
        <v/>
      </c>
    </row>
    <row r="835" spans="2:5" hidden="1" x14ac:dyDescent="0.3">
      <c r="B835" s="1" t="str">
        <f t="shared" si="13"/>
        <v/>
      </c>
      <c r="C835" s="17" t="str">
        <f>IF($A835="","",SUMIFS(Amortization!E$17:E$1017,Amortization!$A$17:$A$1017,$B835))</f>
        <v/>
      </c>
      <c r="D835" s="17" t="str">
        <f>IF($A835="","",SUMIFS(Amortization!F$17:F$1017,Amortization!$A$17:$A$1017,$B835))</f>
        <v/>
      </c>
      <c r="E835" s="17" t="str">
        <f>IF($A835="","",SUMIFS(Amortization!G$17:G$1017,Amortization!$A$17:$A$1017,$B835))</f>
        <v/>
      </c>
    </row>
    <row r="836" spans="2:5" hidden="1" x14ac:dyDescent="0.3">
      <c r="B836" s="1" t="str">
        <f t="shared" si="13"/>
        <v/>
      </c>
      <c r="C836" s="17" t="str">
        <f>IF($A836="","",SUMIFS(Amortization!E$17:E$1017,Amortization!$A$17:$A$1017,$B836))</f>
        <v/>
      </c>
      <c r="D836" s="17" t="str">
        <f>IF($A836="","",SUMIFS(Amortization!F$17:F$1017,Amortization!$A$17:$A$1017,$B836))</f>
        <v/>
      </c>
      <c r="E836" s="17" t="str">
        <f>IF($A836="","",SUMIFS(Amortization!G$17:G$1017,Amortization!$A$17:$A$1017,$B836))</f>
        <v/>
      </c>
    </row>
    <row r="837" spans="2:5" hidden="1" x14ac:dyDescent="0.3">
      <c r="B837" s="1" t="str">
        <f t="shared" si="13"/>
        <v/>
      </c>
      <c r="C837" s="17" t="str">
        <f>IF($A837="","",SUMIFS(Amortization!E$17:E$1017,Amortization!$A$17:$A$1017,$B837))</f>
        <v/>
      </c>
      <c r="D837" s="17" t="str">
        <f>IF($A837="","",SUMIFS(Amortization!F$17:F$1017,Amortization!$A$17:$A$1017,$B837))</f>
        <v/>
      </c>
      <c r="E837" s="17" t="str">
        <f>IF($A837="","",SUMIFS(Amortization!G$17:G$1017,Amortization!$A$17:$A$1017,$B837))</f>
        <v/>
      </c>
    </row>
    <row r="838" spans="2:5" hidden="1" x14ac:dyDescent="0.3">
      <c r="B838" s="1" t="str">
        <f t="shared" si="13"/>
        <v/>
      </c>
      <c r="C838" s="17" t="str">
        <f>IF($A838="","",SUMIFS(Amortization!E$17:E$1017,Amortization!$A$17:$A$1017,$B838))</f>
        <v/>
      </c>
      <c r="D838" s="17" t="str">
        <f>IF($A838="","",SUMIFS(Amortization!F$17:F$1017,Amortization!$A$17:$A$1017,$B838))</f>
        <v/>
      </c>
      <c r="E838" s="17" t="str">
        <f>IF($A838="","",SUMIFS(Amortization!G$17:G$1017,Amortization!$A$17:$A$1017,$B838))</f>
        <v/>
      </c>
    </row>
    <row r="839" spans="2:5" hidden="1" x14ac:dyDescent="0.3">
      <c r="B839" s="1" t="str">
        <f t="shared" si="13"/>
        <v/>
      </c>
      <c r="C839" s="17" t="str">
        <f>IF($A839="","",SUMIFS(Amortization!E$17:E$1017,Amortization!$A$17:$A$1017,$B839))</f>
        <v/>
      </c>
      <c r="D839" s="17" t="str">
        <f>IF($A839="","",SUMIFS(Amortization!F$17:F$1017,Amortization!$A$17:$A$1017,$B839))</f>
        <v/>
      </c>
      <c r="E839" s="17" t="str">
        <f>IF($A839="","",SUMIFS(Amortization!G$17:G$1017,Amortization!$A$17:$A$1017,$B839))</f>
        <v/>
      </c>
    </row>
    <row r="840" spans="2:5" hidden="1" x14ac:dyDescent="0.3">
      <c r="B840" s="1" t="str">
        <f t="shared" si="13"/>
        <v/>
      </c>
      <c r="C840" s="17" t="str">
        <f>IF($A840="","",SUMIFS(Amortization!E$17:E$1017,Amortization!$A$17:$A$1017,$B840))</f>
        <v/>
      </c>
      <c r="D840" s="17" t="str">
        <f>IF($A840="","",SUMIFS(Amortization!F$17:F$1017,Amortization!$A$17:$A$1017,$B840))</f>
        <v/>
      </c>
      <c r="E840" s="17" t="str">
        <f>IF($A840="","",SUMIFS(Amortization!G$17:G$1017,Amortization!$A$17:$A$1017,$B840))</f>
        <v/>
      </c>
    </row>
    <row r="841" spans="2:5" hidden="1" x14ac:dyDescent="0.3">
      <c r="B841" s="1" t="str">
        <f t="shared" si="13"/>
        <v/>
      </c>
      <c r="C841" s="17" t="str">
        <f>IF($A841="","",SUMIFS(Amortization!E$17:E$1017,Amortization!$A$17:$A$1017,$B841))</f>
        <v/>
      </c>
      <c r="D841" s="17" t="str">
        <f>IF($A841="","",SUMIFS(Amortization!F$17:F$1017,Amortization!$A$17:$A$1017,$B841))</f>
        <v/>
      </c>
      <c r="E841" s="17" t="str">
        <f>IF($A841="","",SUMIFS(Amortization!G$17:G$1017,Amortization!$A$17:$A$1017,$B841))</f>
        <v/>
      </c>
    </row>
    <row r="842" spans="2:5" hidden="1" x14ac:dyDescent="0.3">
      <c r="B842" s="1" t="str">
        <f t="shared" si="13"/>
        <v/>
      </c>
      <c r="C842" s="17" t="str">
        <f>IF($A842="","",SUMIFS(Amortization!E$17:E$1017,Amortization!$A$17:$A$1017,$B842))</f>
        <v/>
      </c>
      <c r="D842" s="17" t="str">
        <f>IF($A842="","",SUMIFS(Amortization!F$17:F$1017,Amortization!$A$17:$A$1017,$B842))</f>
        <v/>
      </c>
      <c r="E842" s="17" t="str">
        <f>IF($A842="","",SUMIFS(Amortization!G$17:G$1017,Amortization!$A$17:$A$1017,$B842))</f>
        <v/>
      </c>
    </row>
    <row r="843" spans="2:5" hidden="1" x14ac:dyDescent="0.3">
      <c r="B843" s="1" t="str">
        <f t="shared" si="13"/>
        <v/>
      </c>
      <c r="C843" s="17" t="str">
        <f>IF($A843="","",SUMIFS(Amortization!E$17:E$1017,Amortization!$A$17:$A$1017,$B843))</f>
        <v/>
      </c>
      <c r="D843" s="17" t="str">
        <f>IF($A843="","",SUMIFS(Amortization!F$17:F$1017,Amortization!$A$17:$A$1017,$B843))</f>
        <v/>
      </c>
      <c r="E843" s="17" t="str">
        <f>IF($A843="","",SUMIFS(Amortization!G$17:G$1017,Amortization!$A$17:$A$1017,$B843))</f>
        <v/>
      </c>
    </row>
    <row r="844" spans="2:5" hidden="1" x14ac:dyDescent="0.3">
      <c r="B844" s="1" t="str">
        <f t="shared" si="13"/>
        <v/>
      </c>
      <c r="C844" s="17" t="str">
        <f>IF($A844="","",SUMIFS(Amortization!E$17:E$1017,Amortization!$A$17:$A$1017,$B844))</f>
        <v/>
      </c>
      <c r="D844" s="17" t="str">
        <f>IF($A844="","",SUMIFS(Amortization!F$17:F$1017,Amortization!$A$17:$A$1017,$B844))</f>
        <v/>
      </c>
      <c r="E844" s="17" t="str">
        <f>IF($A844="","",SUMIFS(Amortization!G$17:G$1017,Amortization!$A$17:$A$1017,$B844))</f>
        <v/>
      </c>
    </row>
    <row r="845" spans="2:5" hidden="1" x14ac:dyDescent="0.3">
      <c r="B845" s="1" t="str">
        <f t="shared" si="13"/>
        <v/>
      </c>
      <c r="C845" s="17" t="str">
        <f>IF($A845="","",SUMIFS(Amortization!E$17:E$1017,Amortization!$A$17:$A$1017,$B845))</f>
        <v/>
      </c>
      <c r="D845" s="17" t="str">
        <f>IF($A845="","",SUMIFS(Amortization!F$17:F$1017,Amortization!$A$17:$A$1017,$B845))</f>
        <v/>
      </c>
      <c r="E845" s="17" t="str">
        <f>IF($A845="","",SUMIFS(Amortization!G$17:G$1017,Amortization!$A$17:$A$1017,$B845))</f>
        <v/>
      </c>
    </row>
    <row r="846" spans="2:5" hidden="1" x14ac:dyDescent="0.3">
      <c r="B846" s="1" t="str">
        <f t="shared" si="13"/>
        <v/>
      </c>
      <c r="C846" s="17" t="str">
        <f>IF($A846="","",SUMIFS(Amortization!E$17:E$1017,Amortization!$A$17:$A$1017,$B846))</f>
        <v/>
      </c>
      <c r="D846" s="17" t="str">
        <f>IF($A846="","",SUMIFS(Amortization!F$17:F$1017,Amortization!$A$17:$A$1017,$B846))</f>
        <v/>
      </c>
      <c r="E846" s="17" t="str">
        <f>IF($A846="","",SUMIFS(Amortization!G$17:G$1017,Amortization!$A$17:$A$1017,$B846))</f>
        <v/>
      </c>
    </row>
    <row r="847" spans="2:5" hidden="1" x14ac:dyDescent="0.3">
      <c r="B847" s="1" t="str">
        <f t="shared" si="13"/>
        <v/>
      </c>
      <c r="C847" s="17" t="str">
        <f>IF($A847="","",SUMIFS(Amortization!E$17:E$1017,Amortization!$A$17:$A$1017,$B847))</f>
        <v/>
      </c>
      <c r="D847" s="17" t="str">
        <f>IF($A847="","",SUMIFS(Amortization!F$17:F$1017,Amortization!$A$17:$A$1017,$B847))</f>
        <v/>
      </c>
      <c r="E847" s="17" t="str">
        <f>IF($A847="","",SUMIFS(Amortization!G$17:G$1017,Amortization!$A$17:$A$1017,$B847))</f>
        <v/>
      </c>
    </row>
    <row r="848" spans="2:5" hidden="1" x14ac:dyDescent="0.3">
      <c r="B848" s="1" t="str">
        <f t="shared" si="13"/>
        <v/>
      </c>
      <c r="C848" s="17" t="str">
        <f>IF($A848="","",SUMIFS(Amortization!E$17:E$1017,Amortization!$A$17:$A$1017,$B848))</f>
        <v/>
      </c>
      <c r="D848" s="17" t="str">
        <f>IF($A848="","",SUMIFS(Amortization!F$17:F$1017,Amortization!$A$17:$A$1017,$B848))</f>
        <v/>
      </c>
      <c r="E848" s="17" t="str">
        <f>IF($A848="","",SUMIFS(Amortization!G$17:G$1017,Amortization!$A$17:$A$1017,$B848))</f>
        <v/>
      </c>
    </row>
    <row r="849" spans="2:5" hidden="1" x14ac:dyDescent="0.3">
      <c r="B849" s="1" t="str">
        <f t="shared" si="13"/>
        <v/>
      </c>
      <c r="C849" s="17" t="str">
        <f>IF($A849="","",SUMIFS(Amortization!E$17:E$1017,Amortization!$A$17:$A$1017,$B849))</f>
        <v/>
      </c>
      <c r="D849" s="17" t="str">
        <f>IF($A849="","",SUMIFS(Amortization!F$17:F$1017,Amortization!$A$17:$A$1017,$B849))</f>
        <v/>
      </c>
      <c r="E849" s="17" t="str">
        <f>IF($A849="","",SUMIFS(Amortization!G$17:G$1017,Amortization!$A$17:$A$1017,$B849))</f>
        <v/>
      </c>
    </row>
    <row r="850" spans="2:5" hidden="1" x14ac:dyDescent="0.3">
      <c r="B850" s="1" t="str">
        <f t="shared" si="13"/>
        <v/>
      </c>
      <c r="C850" s="17" t="str">
        <f>IF($A850="","",SUMIFS(Amortization!E$17:E$1017,Amortization!$A$17:$A$1017,$B850))</f>
        <v/>
      </c>
      <c r="D850" s="17" t="str">
        <f>IF($A850="","",SUMIFS(Amortization!F$17:F$1017,Amortization!$A$17:$A$1017,$B850))</f>
        <v/>
      </c>
      <c r="E850" s="17" t="str">
        <f>IF($A850="","",SUMIFS(Amortization!G$17:G$1017,Amortization!$A$17:$A$1017,$B850))</f>
        <v/>
      </c>
    </row>
    <row r="851" spans="2:5" hidden="1" x14ac:dyDescent="0.3">
      <c r="B851" s="1" t="str">
        <f t="shared" ref="B851:B914" si="14">IF(A851="","",B850+1)</f>
        <v/>
      </c>
      <c r="C851" s="17" t="str">
        <f>IF($A851="","",SUMIFS(Amortization!E$17:E$1017,Amortization!$A$17:$A$1017,$B851))</f>
        <v/>
      </c>
      <c r="D851" s="17" t="str">
        <f>IF($A851="","",SUMIFS(Amortization!F$17:F$1017,Amortization!$A$17:$A$1017,$B851))</f>
        <v/>
      </c>
      <c r="E851" s="17" t="str">
        <f>IF($A851="","",SUMIFS(Amortization!G$17:G$1017,Amortization!$A$17:$A$1017,$B851))</f>
        <v/>
      </c>
    </row>
    <row r="852" spans="2:5" hidden="1" x14ac:dyDescent="0.3">
      <c r="B852" s="1" t="str">
        <f t="shared" si="14"/>
        <v/>
      </c>
      <c r="C852" s="17" t="str">
        <f>IF($A852="","",SUMIFS(Amortization!E$17:E$1017,Amortization!$A$17:$A$1017,$B852))</f>
        <v/>
      </c>
      <c r="D852" s="17" t="str">
        <f>IF($A852="","",SUMIFS(Amortization!F$17:F$1017,Amortization!$A$17:$A$1017,$B852))</f>
        <v/>
      </c>
      <c r="E852" s="17" t="str">
        <f>IF($A852="","",SUMIFS(Amortization!G$17:G$1017,Amortization!$A$17:$A$1017,$B852))</f>
        <v/>
      </c>
    </row>
    <row r="853" spans="2:5" hidden="1" x14ac:dyDescent="0.3">
      <c r="B853" s="1" t="str">
        <f t="shared" si="14"/>
        <v/>
      </c>
      <c r="C853" s="17" t="str">
        <f>IF($A853="","",SUMIFS(Amortization!E$17:E$1017,Amortization!$A$17:$A$1017,$B853))</f>
        <v/>
      </c>
      <c r="D853" s="17" t="str">
        <f>IF($A853="","",SUMIFS(Amortization!F$17:F$1017,Amortization!$A$17:$A$1017,$B853))</f>
        <v/>
      </c>
      <c r="E853" s="17" t="str">
        <f>IF($A853="","",SUMIFS(Amortization!G$17:G$1017,Amortization!$A$17:$A$1017,$B853))</f>
        <v/>
      </c>
    </row>
    <row r="854" spans="2:5" hidden="1" x14ac:dyDescent="0.3">
      <c r="B854" s="1" t="str">
        <f t="shared" si="14"/>
        <v/>
      </c>
      <c r="C854" s="17" t="str">
        <f>IF($A854="","",SUMIFS(Amortization!E$17:E$1017,Amortization!$A$17:$A$1017,$B854))</f>
        <v/>
      </c>
      <c r="D854" s="17" t="str">
        <f>IF($A854="","",SUMIFS(Amortization!F$17:F$1017,Amortization!$A$17:$A$1017,$B854))</f>
        <v/>
      </c>
      <c r="E854" s="17" t="str">
        <f>IF($A854="","",SUMIFS(Amortization!G$17:G$1017,Amortization!$A$17:$A$1017,$B854))</f>
        <v/>
      </c>
    </row>
    <row r="855" spans="2:5" hidden="1" x14ac:dyDescent="0.3">
      <c r="B855" s="1" t="str">
        <f t="shared" si="14"/>
        <v/>
      </c>
      <c r="C855" s="17" t="str">
        <f>IF($A855="","",SUMIFS(Amortization!E$17:E$1017,Amortization!$A$17:$A$1017,$B855))</f>
        <v/>
      </c>
      <c r="D855" s="17" t="str">
        <f>IF($A855="","",SUMIFS(Amortization!F$17:F$1017,Amortization!$A$17:$A$1017,$B855))</f>
        <v/>
      </c>
      <c r="E855" s="17" t="str">
        <f>IF($A855="","",SUMIFS(Amortization!G$17:G$1017,Amortization!$A$17:$A$1017,$B855))</f>
        <v/>
      </c>
    </row>
    <row r="856" spans="2:5" hidden="1" x14ac:dyDescent="0.3">
      <c r="B856" s="1" t="str">
        <f t="shared" si="14"/>
        <v/>
      </c>
      <c r="C856" s="17" t="str">
        <f>IF($A856="","",SUMIFS(Amortization!E$17:E$1017,Amortization!$A$17:$A$1017,$B856))</f>
        <v/>
      </c>
      <c r="D856" s="17" t="str">
        <f>IF($A856="","",SUMIFS(Amortization!F$17:F$1017,Amortization!$A$17:$A$1017,$B856))</f>
        <v/>
      </c>
      <c r="E856" s="17" t="str">
        <f>IF($A856="","",SUMIFS(Amortization!G$17:G$1017,Amortization!$A$17:$A$1017,$B856))</f>
        <v/>
      </c>
    </row>
    <row r="857" spans="2:5" hidden="1" x14ac:dyDescent="0.3">
      <c r="B857" s="1" t="str">
        <f t="shared" si="14"/>
        <v/>
      </c>
      <c r="C857" s="17" t="str">
        <f>IF($A857="","",SUMIFS(Amortization!E$17:E$1017,Amortization!$A$17:$A$1017,$B857))</f>
        <v/>
      </c>
      <c r="D857" s="17" t="str">
        <f>IF($A857="","",SUMIFS(Amortization!F$17:F$1017,Amortization!$A$17:$A$1017,$B857))</f>
        <v/>
      </c>
      <c r="E857" s="17" t="str">
        <f>IF($A857="","",SUMIFS(Amortization!G$17:G$1017,Amortization!$A$17:$A$1017,$B857))</f>
        <v/>
      </c>
    </row>
    <row r="858" spans="2:5" hidden="1" x14ac:dyDescent="0.3">
      <c r="B858" s="1" t="str">
        <f t="shared" si="14"/>
        <v/>
      </c>
      <c r="C858" s="17" t="str">
        <f>IF($A858="","",SUMIFS(Amortization!E$17:E$1017,Amortization!$A$17:$A$1017,$B858))</f>
        <v/>
      </c>
      <c r="D858" s="17" t="str">
        <f>IF($A858="","",SUMIFS(Amortization!F$17:F$1017,Amortization!$A$17:$A$1017,$B858))</f>
        <v/>
      </c>
      <c r="E858" s="17" t="str">
        <f>IF($A858="","",SUMIFS(Amortization!G$17:G$1017,Amortization!$A$17:$A$1017,$B858))</f>
        <v/>
      </c>
    </row>
    <row r="859" spans="2:5" hidden="1" x14ac:dyDescent="0.3">
      <c r="B859" s="1" t="str">
        <f t="shared" si="14"/>
        <v/>
      </c>
      <c r="C859" s="17" t="str">
        <f>IF($A859="","",SUMIFS(Amortization!E$17:E$1017,Amortization!$A$17:$A$1017,$B859))</f>
        <v/>
      </c>
      <c r="D859" s="17" t="str">
        <f>IF($A859="","",SUMIFS(Amortization!F$17:F$1017,Amortization!$A$17:$A$1017,$B859))</f>
        <v/>
      </c>
      <c r="E859" s="17" t="str">
        <f>IF($A859="","",SUMIFS(Amortization!G$17:G$1017,Amortization!$A$17:$A$1017,$B859))</f>
        <v/>
      </c>
    </row>
    <row r="860" spans="2:5" hidden="1" x14ac:dyDescent="0.3">
      <c r="B860" s="1" t="str">
        <f t="shared" si="14"/>
        <v/>
      </c>
      <c r="C860" s="17" t="str">
        <f>IF($A860="","",SUMIFS(Amortization!E$17:E$1017,Amortization!$A$17:$A$1017,$B860))</f>
        <v/>
      </c>
      <c r="D860" s="17" t="str">
        <f>IF($A860="","",SUMIFS(Amortization!F$17:F$1017,Amortization!$A$17:$A$1017,$B860))</f>
        <v/>
      </c>
      <c r="E860" s="17" t="str">
        <f>IF($A860="","",SUMIFS(Amortization!G$17:G$1017,Amortization!$A$17:$A$1017,$B860))</f>
        <v/>
      </c>
    </row>
    <row r="861" spans="2:5" hidden="1" x14ac:dyDescent="0.3">
      <c r="B861" s="1" t="str">
        <f t="shared" si="14"/>
        <v/>
      </c>
      <c r="C861" s="17" t="str">
        <f>IF($A861="","",SUMIFS(Amortization!E$17:E$1017,Amortization!$A$17:$A$1017,$B861))</f>
        <v/>
      </c>
      <c r="D861" s="17" t="str">
        <f>IF($A861="","",SUMIFS(Amortization!F$17:F$1017,Amortization!$A$17:$A$1017,$B861))</f>
        <v/>
      </c>
      <c r="E861" s="17" t="str">
        <f>IF($A861="","",SUMIFS(Amortization!G$17:G$1017,Amortization!$A$17:$A$1017,$B861))</f>
        <v/>
      </c>
    </row>
    <row r="862" spans="2:5" hidden="1" x14ac:dyDescent="0.3">
      <c r="B862" s="1" t="str">
        <f t="shared" si="14"/>
        <v/>
      </c>
      <c r="C862" s="17" t="str">
        <f>IF($A862="","",SUMIFS(Amortization!E$17:E$1017,Amortization!$A$17:$A$1017,$B862))</f>
        <v/>
      </c>
      <c r="D862" s="17" t="str">
        <f>IF($A862="","",SUMIFS(Amortization!F$17:F$1017,Amortization!$A$17:$A$1017,$B862))</f>
        <v/>
      </c>
      <c r="E862" s="17" t="str">
        <f>IF($A862="","",SUMIFS(Amortization!G$17:G$1017,Amortization!$A$17:$A$1017,$B862))</f>
        <v/>
      </c>
    </row>
    <row r="863" spans="2:5" hidden="1" x14ac:dyDescent="0.3">
      <c r="B863" s="1" t="str">
        <f t="shared" si="14"/>
        <v/>
      </c>
      <c r="C863" s="17" t="str">
        <f>IF($A863="","",SUMIFS(Amortization!E$17:E$1017,Amortization!$A$17:$A$1017,$B863))</f>
        <v/>
      </c>
      <c r="D863" s="17" t="str">
        <f>IF($A863="","",SUMIFS(Amortization!F$17:F$1017,Amortization!$A$17:$A$1017,$B863))</f>
        <v/>
      </c>
      <c r="E863" s="17" t="str">
        <f>IF($A863="","",SUMIFS(Amortization!G$17:G$1017,Amortization!$A$17:$A$1017,$B863))</f>
        <v/>
      </c>
    </row>
    <row r="864" spans="2:5" hidden="1" x14ac:dyDescent="0.3">
      <c r="B864" s="1" t="str">
        <f t="shared" si="14"/>
        <v/>
      </c>
      <c r="C864" s="17" t="str">
        <f>IF($A864="","",SUMIFS(Amortization!E$17:E$1017,Amortization!$A$17:$A$1017,$B864))</f>
        <v/>
      </c>
      <c r="D864" s="17" t="str">
        <f>IF($A864="","",SUMIFS(Amortization!F$17:F$1017,Amortization!$A$17:$A$1017,$B864))</f>
        <v/>
      </c>
      <c r="E864" s="17" t="str">
        <f>IF($A864="","",SUMIFS(Amortization!G$17:G$1017,Amortization!$A$17:$A$1017,$B864))</f>
        <v/>
      </c>
    </row>
    <row r="865" spans="2:5" hidden="1" x14ac:dyDescent="0.3">
      <c r="B865" s="1" t="str">
        <f t="shared" si="14"/>
        <v/>
      </c>
      <c r="C865" s="17" t="str">
        <f>IF($A865="","",SUMIFS(Amortization!E$17:E$1017,Amortization!$A$17:$A$1017,$B865))</f>
        <v/>
      </c>
      <c r="D865" s="17" t="str">
        <f>IF($A865="","",SUMIFS(Amortization!F$17:F$1017,Amortization!$A$17:$A$1017,$B865))</f>
        <v/>
      </c>
      <c r="E865" s="17" t="str">
        <f>IF($A865="","",SUMIFS(Amortization!G$17:G$1017,Amortization!$A$17:$A$1017,$B865))</f>
        <v/>
      </c>
    </row>
    <row r="866" spans="2:5" hidden="1" x14ac:dyDescent="0.3">
      <c r="B866" s="1" t="str">
        <f t="shared" si="14"/>
        <v/>
      </c>
      <c r="C866" s="17" t="str">
        <f>IF($A866="","",SUMIFS(Amortization!E$17:E$1017,Amortization!$A$17:$A$1017,$B866))</f>
        <v/>
      </c>
      <c r="D866" s="17" t="str">
        <f>IF($A866="","",SUMIFS(Amortization!F$17:F$1017,Amortization!$A$17:$A$1017,$B866))</f>
        <v/>
      </c>
      <c r="E866" s="17" t="str">
        <f>IF($A866="","",SUMIFS(Amortization!G$17:G$1017,Amortization!$A$17:$A$1017,$B866))</f>
        <v/>
      </c>
    </row>
    <row r="867" spans="2:5" hidden="1" x14ac:dyDescent="0.3">
      <c r="B867" s="1" t="str">
        <f t="shared" si="14"/>
        <v/>
      </c>
      <c r="C867" s="17" t="str">
        <f>IF($A867="","",SUMIFS(Amortization!E$17:E$1017,Amortization!$A$17:$A$1017,$B867))</f>
        <v/>
      </c>
      <c r="D867" s="17" t="str">
        <f>IF($A867="","",SUMIFS(Amortization!F$17:F$1017,Amortization!$A$17:$A$1017,$B867))</f>
        <v/>
      </c>
      <c r="E867" s="17" t="str">
        <f>IF($A867="","",SUMIFS(Amortization!G$17:G$1017,Amortization!$A$17:$A$1017,$B867))</f>
        <v/>
      </c>
    </row>
    <row r="868" spans="2:5" hidden="1" x14ac:dyDescent="0.3">
      <c r="B868" s="1" t="str">
        <f t="shared" si="14"/>
        <v/>
      </c>
      <c r="C868" s="17" t="str">
        <f>IF($A868="","",SUMIFS(Amortization!E$17:E$1017,Amortization!$A$17:$A$1017,$B868))</f>
        <v/>
      </c>
      <c r="D868" s="17" t="str">
        <f>IF($A868="","",SUMIFS(Amortization!F$17:F$1017,Amortization!$A$17:$A$1017,$B868))</f>
        <v/>
      </c>
      <c r="E868" s="17" t="str">
        <f>IF($A868="","",SUMIFS(Amortization!G$17:G$1017,Amortization!$A$17:$A$1017,$B868))</f>
        <v/>
      </c>
    </row>
    <row r="869" spans="2:5" hidden="1" x14ac:dyDescent="0.3">
      <c r="B869" s="1" t="str">
        <f t="shared" si="14"/>
        <v/>
      </c>
      <c r="C869" s="17" t="str">
        <f>IF($A869="","",SUMIFS(Amortization!E$17:E$1017,Amortization!$A$17:$A$1017,$B869))</f>
        <v/>
      </c>
      <c r="D869" s="17" t="str">
        <f>IF($A869="","",SUMIFS(Amortization!F$17:F$1017,Amortization!$A$17:$A$1017,$B869))</f>
        <v/>
      </c>
      <c r="E869" s="17" t="str">
        <f>IF($A869="","",SUMIFS(Amortization!G$17:G$1017,Amortization!$A$17:$A$1017,$B869))</f>
        <v/>
      </c>
    </row>
    <row r="870" spans="2:5" hidden="1" x14ac:dyDescent="0.3">
      <c r="B870" s="1" t="str">
        <f t="shared" si="14"/>
        <v/>
      </c>
      <c r="C870" s="17" t="str">
        <f>IF($A870="","",SUMIFS(Amortization!E$17:E$1017,Amortization!$A$17:$A$1017,$B870))</f>
        <v/>
      </c>
      <c r="D870" s="17" t="str">
        <f>IF($A870="","",SUMIFS(Amortization!F$17:F$1017,Amortization!$A$17:$A$1017,$B870))</f>
        <v/>
      </c>
      <c r="E870" s="17" t="str">
        <f>IF($A870="","",SUMIFS(Amortization!G$17:G$1017,Amortization!$A$17:$A$1017,$B870))</f>
        <v/>
      </c>
    </row>
    <row r="871" spans="2:5" hidden="1" x14ac:dyDescent="0.3">
      <c r="B871" s="1" t="str">
        <f t="shared" si="14"/>
        <v/>
      </c>
      <c r="C871" s="17" t="str">
        <f>IF($A871="","",SUMIFS(Amortization!E$17:E$1017,Amortization!$A$17:$A$1017,$B871))</f>
        <v/>
      </c>
      <c r="D871" s="17" t="str">
        <f>IF($A871="","",SUMIFS(Amortization!F$17:F$1017,Amortization!$A$17:$A$1017,$B871))</f>
        <v/>
      </c>
      <c r="E871" s="17" t="str">
        <f>IF($A871="","",SUMIFS(Amortization!G$17:G$1017,Amortization!$A$17:$A$1017,$B871))</f>
        <v/>
      </c>
    </row>
    <row r="872" spans="2:5" hidden="1" x14ac:dyDescent="0.3">
      <c r="B872" s="1" t="str">
        <f t="shared" si="14"/>
        <v/>
      </c>
      <c r="C872" s="17" t="str">
        <f>IF($A872="","",SUMIFS(Amortization!E$17:E$1017,Amortization!$A$17:$A$1017,$B872))</f>
        <v/>
      </c>
      <c r="D872" s="17" t="str">
        <f>IF($A872="","",SUMIFS(Amortization!F$17:F$1017,Amortization!$A$17:$A$1017,$B872))</f>
        <v/>
      </c>
      <c r="E872" s="17" t="str">
        <f>IF($A872="","",SUMIFS(Amortization!G$17:G$1017,Amortization!$A$17:$A$1017,$B872))</f>
        <v/>
      </c>
    </row>
    <row r="873" spans="2:5" hidden="1" x14ac:dyDescent="0.3">
      <c r="B873" s="1" t="str">
        <f t="shared" si="14"/>
        <v/>
      </c>
      <c r="C873" s="17" t="str">
        <f>IF($A873="","",SUMIFS(Amortization!E$17:E$1017,Amortization!$A$17:$A$1017,$B873))</f>
        <v/>
      </c>
      <c r="D873" s="17" t="str">
        <f>IF($A873="","",SUMIFS(Amortization!F$17:F$1017,Amortization!$A$17:$A$1017,$B873))</f>
        <v/>
      </c>
      <c r="E873" s="17" t="str">
        <f>IF($A873="","",SUMIFS(Amortization!G$17:G$1017,Amortization!$A$17:$A$1017,$B873))</f>
        <v/>
      </c>
    </row>
    <row r="874" spans="2:5" hidden="1" x14ac:dyDescent="0.3">
      <c r="B874" s="1" t="str">
        <f t="shared" si="14"/>
        <v/>
      </c>
      <c r="C874" s="17" t="str">
        <f>IF($A874="","",SUMIFS(Amortization!E$17:E$1017,Amortization!$A$17:$A$1017,$B874))</f>
        <v/>
      </c>
      <c r="D874" s="17" t="str">
        <f>IF($A874="","",SUMIFS(Amortization!F$17:F$1017,Amortization!$A$17:$A$1017,$B874))</f>
        <v/>
      </c>
      <c r="E874" s="17" t="str">
        <f>IF($A874="","",SUMIFS(Amortization!G$17:G$1017,Amortization!$A$17:$A$1017,$B874))</f>
        <v/>
      </c>
    </row>
    <row r="875" spans="2:5" hidden="1" x14ac:dyDescent="0.3">
      <c r="B875" s="1" t="str">
        <f t="shared" si="14"/>
        <v/>
      </c>
      <c r="C875" s="17" t="str">
        <f>IF($A875="","",SUMIFS(Amortization!E$17:E$1017,Amortization!$A$17:$A$1017,$B875))</f>
        <v/>
      </c>
      <c r="D875" s="17" t="str">
        <f>IF($A875="","",SUMIFS(Amortization!F$17:F$1017,Amortization!$A$17:$A$1017,$B875))</f>
        <v/>
      </c>
      <c r="E875" s="17" t="str">
        <f>IF($A875="","",SUMIFS(Amortization!G$17:G$1017,Amortization!$A$17:$A$1017,$B875))</f>
        <v/>
      </c>
    </row>
    <row r="876" spans="2:5" hidden="1" x14ac:dyDescent="0.3">
      <c r="B876" s="1" t="str">
        <f t="shared" si="14"/>
        <v/>
      </c>
      <c r="C876" s="17" t="str">
        <f>IF($A876="","",SUMIFS(Amortization!E$17:E$1017,Amortization!$A$17:$A$1017,$B876))</f>
        <v/>
      </c>
      <c r="D876" s="17" t="str">
        <f>IF($A876="","",SUMIFS(Amortization!F$17:F$1017,Amortization!$A$17:$A$1017,$B876))</f>
        <v/>
      </c>
      <c r="E876" s="17" t="str">
        <f>IF($A876="","",SUMIFS(Amortization!G$17:G$1017,Amortization!$A$17:$A$1017,$B876))</f>
        <v/>
      </c>
    </row>
    <row r="877" spans="2:5" hidden="1" x14ac:dyDescent="0.3">
      <c r="B877" s="1" t="str">
        <f t="shared" si="14"/>
        <v/>
      </c>
      <c r="C877" s="17" t="str">
        <f>IF($A877="","",SUMIFS(Amortization!E$17:E$1017,Amortization!$A$17:$A$1017,$B877))</f>
        <v/>
      </c>
      <c r="D877" s="17" t="str">
        <f>IF($A877="","",SUMIFS(Amortization!F$17:F$1017,Amortization!$A$17:$A$1017,$B877))</f>
        <v/>
      </c>
      <c r="E877" s="17" t="str">
        <f>IF($A877="","",SUMIFS(Amortization!G$17:G$1017,Amortization!$A$17:$A$1017,$B877))</f>
        <v/>
      </c>
    </row>
    <row r="878" spans="2:5" hidden="1" x14ac:dyDescent="0.3">
      <c r="B878" s="1" t="str">
        <f t="shared" si="14"/>
        <v/>
      </c>
      <c r="C878" s="17" t="str">
        <f>IF($A878="","",SUMIFS(Amortization!E$17:E$1017,Amortization!$A$17:$A$1017,$B878))</f>
        <v/>
      </c>
      <c r="D878" s="17" t="str">
        <f>IF($A878="","",SUMIFS(Amortization!F$17:F$1017,Amortization!$A$17:$A$1017,$B878))</f>
        <v/>
      </c>
      <c r="E878" s="17" t="str">
        <f>IF($A878="","",SUMIFS(Amortization!G$17:G$1017,Amortization!$A$17:$A$1017,$B878))</f>
        <v/>
      </c>
    </row>
    <row r="879" spans="2:5" hidden="1" x14ac:dyDescent="0.3">
      <c r="B879" s="1" t="str">
        <f t="shared" si="14"/>
        <v/>
      </c>
      <c r="C879" s="17" t="str">
        <f>IF($A879="","",SUMIFS(Amortization!E$17:E$1017,Amortization!$A$17:$A$1017,$B879))</f>
        <v/>
      </c>
      <c r="D879" s="17" t="str">
        <f>IF($A879="","",SUMIFS(Amortization!F$17:F$1017,Amortization!$A$17:$A$1017,$B879))</f>
        <v/>
      </c>
      <c r="E879" s="17" t="str">
        <f>IF($A879="","",SUMIFS(Amortization!G$17:G$1017,Amortization!$A$17:$A$1017,$B879))</f>
        <v/>
      </c>
    </row>
    <row r="880" spans="2:5" hidden="1" x14ac:dyDescent="0.3">
      <c r="B880" s="1" t="str">
        <f t="shared" si="14"/>
        <v/>
      </c>
      <c r="C880" s="17" t="str">
        <f>IF($A880="","",SUMIFS(Amortization!E$17:E$1017,Amortization!$A$17:$A$1017,$B880))</f>
        <v/>
      </c>
      <c r="D880" s="17" t="str">
        <f>IF($A880="","",SUMIFS(Amortization!F$17:F$1017,Amortization!$A$17:$A$1017,$B880))</f>
        <v/>
      </c>
      <c r="E880" s="17" t="str">
        <f>IF($A880="","",SUMIFS(Amortization!G$17:G$1017,Amortization!$A$17:$A$1017,$B880))</f>
        <v/>
      </c>
    </row>
    <row r="881" spans="2:5" hidden="1" x14ac:dyDescent="0.3">
      <c r="B881" s="1" t="str">
        <f t="shared" si="14"/>
        <v/>
      </c>
      <c r="C881" s="17" t="str">
        <f>IF($A881="","",SUMIFS(Amortization!E$17:E$1017,Amortization!$A$17:$A$1017,$B881))</f>
        <v/>
      </c>
      <c r="D881" s="17" t="str">
        <f>IF($A881="","",SUMIFS(Amortization!F$17:F$1017,Amortization!$A$17:$A$1017,$B881))</f>
        <v/>
      </c>
      <c r="E881" s="17" t="str">
        <f>IF($A881="","",SUMIFS(Amortization!G$17:G$1017,Amortization!$A$17:$A$1017,$B881))</f>
        <v/>
      </c>
    </row>
    <row r="882" spans="2:5" hidden="1" x14ac:dyDescent="0.3">
      <c r="B882" s="1" t="str">
        <f t="shared" si="14"/>
        <v/>
      </c>
      <c r="C882" s="17" t="str">
        <f>IF($A882="","",SUMIFS(Amortization!E$17:E$1017,Amortization!$A$17:$A$1017,$B882))</f>
        <v/>
      </c>
      <c r="D882" s="17" t="str">
        <f>IF($A882="","",SUMIFS(Amortization!F$17:F$1017,Amortization!$A$17:$A$1017,$B882))</f>
        <v/>
      </c>
      <c r="E882" s="17" t="str">
        <f>IF($A882="","",SUMIFS(Amortization!G$17:G$1017,Amortization!$A$17:$A$1017,$B882))</f>
        <v/>
      </c>
    </row>
    <row r="883" spans="2:5" hidden="1" x14ac:dyDescent="0.3">
      <c r="B883" s="1" t="str">
        <f t="shared" si="14"/>
        <v/>
      </c>
      <c r="C883" s="17" t="str">
        <f>IF($A883="","",SUMIFS(Amortization!E$17:E$1017,Amortization!$A$17:$A$1017,$B883))</f>
        <v/>
      </c>
      <c r="D883" s="17" t="str">
        <f>IF($A883="","",SUMIFS(Amortization!F$17:F$1017,Amortization!$A$17:$A$1017,$B883))</f>
        <v/>
      </c>
      <c r="E883" s="17" t="str">
        <f>IF($A883="","",SUMIFS(Amortization!G$17:G$1017,Amortization!$A$17:$A$1017,$B883))</f>
        <v/>
      </c>
    </row>
    <row r="884" spans="2:5" hidden="1" x14ac:dyDescent="0.3">
      <c r="B884" s="1" t="str">
        <f t="shared" si="14"/>
        <v/>
      </c>
      <c r="C884" s="17" t="str">
        <f>IF($A884="","",SUMIFS(Amortization!E$17:E$1017,Amortization!$A$17:$A$1017,$B884))</f>
        <v/>
      </c>
      <c r="D884" s="17" t="str">
        <f>IF($A884="","",SUMIFS(Amortization!F$17:F$1017,Amortization!$A$17:$A$1017,$B884))</f>
        <v/>
      </c>
      <c r="E884" s="17" t="str">
        <f>IF($A884="","",SUMIFS(Amortization!G$17:G$1017,Amortization!$A$17:$A$1017,$B884))</f>
        <v/>
      </c>
    </row>
    <row r="885" spans="2:5" hidden="1" x14ac:dyDescent="0.3">
      <c r="B885" s="1" t="str">
        <f t="shared" si="14"/>
        <v/>
      </c>
      <c r="C885" s="17" t="str">
        <f>IF($A885="","",SUMIFS(Amortization!E$17:E$1017,Amortization!$A$17:$A$1017,$B885))</f>
        <v/>
      </c>
      <c r="D885" s="17" t="str">
        <f>IF($A885="","",SUMIFS(Amortization!F$17:F$1017,Amortization!$A$17:$A$1017,$B885))</f>
        <v/>
      </c>
      <c r="E885" s="17" t="str">
        <f>IF($A885="","",SUMIFS(Amortization!G$17:G$1017,Amortization!$A$17:$A$1017,$B885))</f>
        <v/>
      </c>
    </row>
    <row r="886" spans="2:5" hidden="1" x14ac:dyDescent="0.3">
      <c r="B886" s="1" t="str">
        <f t="shared" si="14"/>
        <v/>
      </c>
      <c r="C886" s="17" t="str">
        <f>IF($A886="","",SUMIFS(Amortization!E$17:E$1017,Amortization!$A$17:$A$1017,$B886))</f>
        <v/>
      </c>
      <c r="D886" s="17" t="str">
        <f>IF($A886="","",SUMIFS(Amortization!F$17:F$1017,Amortization!$A$17:$A$1017,$B886))</f>
        <v/>
      </c>
      <c r="E886" s="17" t="str">
        <f>IF($A886="","",SUMIFS(Amortization!G$17:G$1017,Amortization!$A$17:$A$1017,$B886))</f>
        <v/>
      </c>
    </row>
    <row r="887" spans="2:5" hidden="1" x14ac:dyDescent="0.3">
      <c r="B887" s="1" t="str">
        <f t="shared" si="14"/>
        <v/>
      </c>
      <c r="C887" s="17" t="str">
        <f>IF($A887="","",SUMIFS(Amortization!E$17:E$1017,Amortization!$A$17:$A$1017,$B887))</f>
        <v/>
      </c>
      <c r="D887" s="17" t="str">
        <f>IF($A887="","",SUMIFS(Amortization!F$17:F$1017,Amortization!$A$17:$A$1017,$B887))</f>
        <v/>
      </c>
      <c r="E887" s="17" t="str">
        <f>IF($A887="","",SUMIFS(Amortization!G$17:G$1017,Amortization!$A$17:$A$1017,$B887))</f>
        <v/>
      </c>
    </row>
    <row r="888" spans="2:5" hidden="1" x14ac:dyDescent="0.3">
      <c r="B888" s="1" t="str">
        <f t="shared" si="14"/>
        <v/>
      </c>
      <c r="C888" s="17" t="str">
        <f>IF($A888="","",SUMIFS(Amortization!E$17:E$1017,Amortization!$A$17:$A$1017,$B888))</f>
        <v/>
      </c>
      <c r="D888" s="17" t="str">
        <f>IF($A888="","",SUMIFS(Amortization!F$17:F$1017,Amortization!$A$17:$A$1017,$B888))</f>
        <v/>
      </c>
      <c r="E888" s="17" t="str">
        <f>IF($A888="","",SUMIFS(Amortization!G$17:G$1017,Amortization!$A$17:$A$1017,$B888))</f>
        <v/>
      </c>
    </row>
    <row r="889" spans="2:5" hidden="1" x14ac:dyDescent="0.3">
      <c r="B889" s="1" t="str">
        <f t="shared" si="14"/>
        <v/>
      </c>
      <c r="C889" s="17" t="str">
        <f>IF($A889="","",SUMIFS(Amortization!E$17:E$1017,Amortization!$A$17:$A$1017,$B889))</f>
        <v/>
      </c>
      <c r="D889" s="17" t="str">
        <f>IF($A889="","",SUMIFS(Amortization!F$17:F$1017,Amortization!$A$17:$A$1017,$B889))</f>
        <v/>
      </c>
      <c r="E889" s="17" t="str">
        <f>IF($A889="","",SUMIFS(Amortization!G$17:G$1017,Amortization!$A$17:$A$1017,$B889))</f>
        <v/>
      </c>
    </row>
    <row r="890" spans="2:5" hidden="1" x14ac:dyDescent="0.3">
      <c r="B890" s="1" t="str">
        <f t="shared" si="14"/>
        <v/>
      </c>
      <c r="C890" s="17" t="str">
        <f>IF($A890="","",SUMIFS(Amortization!E$17:E$1017,Amortization!$A$17:$A$1017,$B890))</f>
        <v/>
      </c>
      <c r="D890" s="17" t="str">
        <f>IF($A890="","",SUMIFS(Amortization!F$17:F$1017,Amortization!$A$17:$A$1017,$B890))</f>
        <v/>
      </c>
      <c r="E890" s="17" t="str">
        <f>IF($A890="","",SUMIFS(Amortization!G$17:G$1017,Amortization!$A$17:$A$1017,$B890))</f>
        <v/>
      </c>
    </row>
    <row r="891" spans="2:5" hidden="1" x14ac:dyDescent="0.3">
      <c r="B891" s="1" t="str">
        <f t="shared" si="14"/>
        <v/>
      </c>
      <c r="C891" s="17" t="str">
        <f>IF($A891="","",SUMIFS(Amortization!E$17:E$1017,Amortization!$A$17:$A$1017,$B891))</f>
        <v/>
      </c>
      <c r="D891" s="17" t="str">
        <f>IF($A891="","",SUMIFS(Amortization!F$17:F$1017,Amortization!$A$17:$A$1017,$B891))</f>
        <v/>
      </c>
      <c r="E891" s="17" t="str">
        <f>IF($A891="","",SUMIFS(Amortization!G$17:G$1017,Amortization!$A$17:$A$1017,$B891))</f>
        <v/>
      </c>
    </row>
    <row r="892" spans="2:5" hidden="1" x14ac:dyDescent="0.3">
      <c r="B892" s="1" t="str">
        <f t="shared" si="14"/>
        <v/>
      </c>
      <c r="C892" s="17" t="str">
        <f>IF($A892="","",SUMIFS(Amortization!E$17:E$1017,Amortization!$A$17:$A$1017,$B892))</f>
        <v/>
      </c>
      <c r="D892" s="17" t="str">
        <f>IF($A892="","",SUMIFS(Amortization!F$17:F$1017,Amortization!$A$17:$A$1017,$B892))</f>
        <v/>
      </c>
      <c r="E892" s="17" t="str">
        <f>IF($A892="","",SUMIFS(Amortization!G$17:G$1017,Amortization!$A$17:$A$1017,$B892))</f>
        <v/>
      </c>
    </row>
    <row r="893" spans="2:5" hidden="1" x14ac:dyDescent="0.3">
      <c r="B893" s="1" t="str">
        <f t="shared" si="14"/>
        <v/>
      </c>
      <c r="C893" s="17" t="str">
        <f>IF($A893="","",SUMIFS(Amortization!E$17:E$1017,Amortization!$A$17:$A$1017,$B893))</f>
        <v/>
      </c>
      <c r="D893" s="17" t="str">
        <f>IF($A893="","",SUMIFS(Amortization!F$17:F$1017,Amortization!$A$17:$A$1017,$B893))</f>
        <v/>
      </c>
      <c r="E893" s="17" t="str">
        <f>IF($A893="","",SUMIFS(Amortization!G$17:G$1017,Amortization!$A$17:$A$1017,$B893))</f>
        <v/>
      </c>
    </row>
    <row r="894" spans="2:5" hidden="1" x14ac:dyDescent="0.3">
      <c r="B894" s="1" t="str">
        <f t="shared" si="14"/>
        <v/>
      </c>
      <c r="C894" s="17" t="str">
        <f>IF($A894="","",SUMIFS(Amortization!E$17:E$1017,Amortization!$A$17:$A$1017,$B894))</f>
        <v/>
      </c>
      <c r="D894" s="17" t="str">
        <f>IF($A894="","",SUMIFS(Amortization!F$17:F$1017,Amortization!$A$17:$A$1017,$B894))</f>
        <v/>
      </c>
      <c r="E894" s="17" t="str">
        <f>IF($A894="","",SUMIFS(Amortization!G$17:G$1017,Amortization!$A$17:$A$1017,$B894))</f>
        <v/>
      </c>
    </row>
    <row r="895" spans="2:5" hidden="1" x14ac:dyDescent="0.3">
      <c r="B895" s="1" t="str">
        <f t="shared" si="14"/>
        <v/>
      </c>
      <c r="C895" s="17" t="str">
        <f>IF($A895="","",SUMIFS(Amortization!E$17:E$1017,Amortization!$A$17:$A$1017,$B895))</f>
        <v/>
      </c>
      <c r="D895" s="17" t="str">
        <f>IF($A895="","",SUMIFS(Amortization!F$17:F$1017,Amortization!$A$17:$A$1017,$B895))</f>
        <v/>
      </c>
      <c r="E895" s="17" t="str">
        <f>IF($A895="","",SUMIFS(Amortization!G$17:G$1017,Amortization!$A$17:$A$1017,$B895))</f>
        <v/>
      </c>
    </row>
    <row r="896" spans="2:5" hidden="1" x14ac:dyDescent="0.3">
      <c r="B896" s="1" t="str">
        <f t="shared" si="14"/>
        <v/>
      </c>
      <c r="C896" s="17" t="str">
        <f>IF($A896="","",SUMIFS(Amortization!E$17:E$1017,Amortization!$A$17:$A$1017,$B896))</f>
        <v/>
      </c>
      <c r="D896" s="17" t="str">
        <f>IF($A896="","",SUMIFS(Amortization!F$17:F$1017,Amortization!$A$17:$A$1017,$B896))</f>
        <v/>
      </c>
      <c r="E896" s="17" t="str">
        <f>IF($A896="","",SUMIFS(Amortization!G$17:G$1017,Amortization!$A$17:$A$1017,$B896))</f>
        <v/>
      </c>
    </row>
    <row r="897" spans="2:5" hidden="1" x14ac:dyDescent="0.3">
      <c r="B897" s="1" t="str">
        <f t="shared" si="14"/>
        <v/>
      </c>
      <c r="C897" s="17" t="str">
        <f>IF($A897="","",SUMIFS(Amortization!E$17:E$1017,Amortization!$A$17:$A$1017,$B897))</f>
        <v/>
      </c>
      <c r="D897" s="17" t="str">
        <f>IF($A897="","",SUMIFS(Amortization!F$17:F$1017,Amortization!$A$17:$A$1017,$B897))</f>
        <v/>
      </c>
      <c r="E897" s="17" t="str">
        <f>IF($A897="","",SUMIFS(Amortization!G$17:G$1017,Amortization!$A$17:$A$1017,$B897))</f>
        <v/>
      </c>
    </row>
    <row r="898" spans="2:5" hidden="1" x14ac:dyDescent="0.3">
      <c r="B898" s="1" t="str">
        <f t="shared" si="14"/>
        <v/>
      </c>
      <c r="C898" s="17" t="str">
        <f>IF($A898="","",SUMIFS(Amortization!E$17:E$1017,Amortization!$A$17:$A$1017,$B898))</f>
        <v/>
      </c>
      <c r="D898" s="17" t="str">
        <f>IF($A898="","",SUMIFS(Amortization!F$17:F$1017,Amortization!$A$17:$A$1017,$B898))</f>
        <v/>
      </c>
      <c r="E898" s="17" t="str">
        <f>IF($A898="","",SUMIFS(Amortization!G$17:G$1017,Amortization!$A$17:$A$1017,$B898))</f>
        <v/>
      </c>
    </row>
    <row r="899" spans="2:5" hidden="1" x14ac:dyDescent="0.3">
      <c r="B899" s="1" t="str">
        <f t="shared" si="14"/>
        <v/>
      </c>
      <c r="C899" s="17" t="str">
        <f>IF($A899="","",SUMIFS(Amortization!E$17:E$1017,Amortization!$A$17:$A$1017,$B899))</f>
        <v/>
      </c>
      <c r="D899" s="17" t="str">
        <f>IF($A899="","",SUMIFS(Amortization!F$17:F$1017,Amortization!$A$17:$A$1017,$B899))</f>
        <v/>
      </c>
      <c r="E899" s="17" t="str">
        <f>IF($A899="","",SUMIFS(Amortization!G$17:G$1017,Amortization!$A$17:$A$1017,$B899))</f>
        <v/>
      </c>
    </row>
    <row r="900" spans="2:5" hidden="1" x14ac:dyDescent="0.3">
      <c r="B900" s="1" t="str">
        <f t="shared" si="14"/>
        <v/>
      </c>
      <c r="C900" s="17" t="str">
        <f>IF($A900="","",SUMIFS(Amortization!E$17:E$1017,Amortization!$A$17:$A$1017,$B900))</f>
        <v/>
      </c>
      <c r="D900" s="17" t="str">
        <f>IF($A900="","",SUMIFS(Amortization!F$17:F$1017,Amortization!$A$17:$A$1017,$B900))</f>
        <v/>
      </c>
      <c r="E900" s="17" t="str">
        <f>IF($A900="","",SUMIFS(Amortization!G$17:G$1017,Amortization!$A$17:$A$1017,$B900))</f>
        <v/>
      </c>
    </row>
    <row r="901" spans="2:5" hidden="1" x14ac:dyDescent="0.3">
      <c r="B901" s="1" t="str">
        <f t="shared" si="14"/>
        <v/>
      </c>
      <c r="C901" s="17" t="str">
        <f>IF($A901="","",SUMIFS(Amortization!E$17:E$1017,Amortization!$A$17:$A$1017,$B901))</f>
        <v/>
      </c>
      <c r="D901" s="17" t="str">
        <f>IF($A901="","",SUMIFS(Amortization!F$17:F$1017,Amortization!$A$17:$A$1017,$B901))</f>
        <v/>
      </c>
      <c r="E901" s="17" t="str">
        <f>IF($A901="","",SUMIFS(Amortization!G$17:G$1017,Amortization!$A$17:$A$1017,$B901))</f>
        <v/>
      </c>
    </row>
    <row r="902" spans="2:5" hidden="1" x14ac:dyDescent="0.3">
      <c r="B902" s="1" t="str">
        <f t="shared" si="14"/>
        <v/>
      </c>
      <c r="C902" s="17" t="str">
        <f>IF($A902="","",SUMIFS(Amortization!E$17:E$1017,Amortization!$A$17:$A$1017,$B902))</f>
        <v/>
      </c>
      <c r="D902" s="17" t="str">
        <f>IF($A902="","",SUMIFS(Amortization!F$17:F$1017,Amortization!$A$17:$A$1017,$B902))</f>
        <v/>
      </c>
      <c r="E902" s="17" t="str">
        <f>IF($A902="","",SUMIFS(Amortization!G$17:G$1017,Amortization!$A$17:$A$1017,$B902))</f>
        <v/>
      </c>
    </row>
    <row r="903" spans="2:5" hidden="1" x14ac:dyDescent="0.3">
      <c r="B903" s="1" t="str">
        <f t="shared" si="14"/>
        <v/>
      </c>
      <c r="C903" s="17" t="str">
        <f>IF($A903="","",SUMIFS(Amortization!E$17:E$1017,Amortization!$A$17:$A$1017,$B903))</f>
        <v/>
      </c>
      <c r="D903" s="17" t="str">
        <f>IF($A903="","",SUMIFS(Amortization!F$17:F$1017,Amortization!$A$17:$A$1017,$B903))</f>
        <v/>
      </c>
      <c r="E903" s="17" t="str">
        <f>IF($A903="","",SUMIFS(Amortization!G$17:G$1017,Amortization!$A$17:$A$1017,$B903))</f>
        <v/>
      </c>
    </row>
    <row r="904" spans="2:5" hidden="1" x14ac:dyDescent="0.3">
      <c r="B904" s="1" t="str">
        <f t="shared" si="14"/>
        <v/>
      </c>
      <c r="C904" s="17" t="str">
        <f>IF($A904="","",SUMIFS(Amortization!E$17:E$1017,Amortization!$A$17:$A$1017,$B904))</f>
        <v/>
      </c>
      <c r="D904" s="17" t="str">
        <f>IF($A904="","",SUMIFS(Amortization!F$17:F$1017,Amortization!$A$17:$A$1017,$B904))</f>
        <v/>
      </c>
      <c r="E904" s="17" t="str">
        <f>IF($A904="","",SUMIFS(Amortization!G$17:G$1017,Amortization!$A$17:$A$1017,$B904))</f>
        <v/>
      </c>
    </row>
    <row r="905" spans="2:5" hidden="1" x14ac:dyDescent="0.3">
      <c r="B905" s="1" t="str">
        <f t="shared" si="14"/>
        <v/>
      </c>
      <c r="C905" s="17" t="str">
        <f>IF($A905="","",SUMIFS(Amortization!E$17:E$1017,Amortization!$A$17:$A$1017,$B905))</f>
        <v/>
      </c>
      <c r="D905" s="17" t="str">
        <f>IF($A905="","",SUMIFS(Amortization!F$17:F$1017,Amortization!$A$17:$A$1017,$B905))</f>
        <v/>
      </c>
      <c r="E905" s="17" t="str">
        <f>IF($A905="","",SUMIFS(Amortization!G$17:G$1017,Amortization!$A$17:$A$1017,$B905))</f>
        <v/>
      </c>
    </row>
    <row r="906" spans="2:5" hidden="1" x14ac:dyDescent="0.3">
      <c r="B906" s="1" t="str">
        <f t="shared" si="14"/>
        <v/>
      </c>
      <c r="C906" s="17" t="str">
        <f>IF($A906="","",SUMIFS(Amortization!E$17:E$1017,Amortization!$A$17:$A$1017,$B906))</f>
        <v/>
      </c>
      <c r="D906" s="17" t="str">
        <f>IF($A906="","",SUMIFS(Amortization!F$17:F$1017,Amortization!$A$17:$A$1017,$B906))</f>
        <v/>
      </c>
      <c r="E906" s="17" t="str">
        <f>IF($A906="","",SUMIFS(Amortization!G$17:G$1017,Amortization!$A$17:$A$1017,$B906))</f>
        <v/>
      </c>
    </row>
    <row r="907" spans="2:5" hidden="1" x14ac:dyDescent="0.3">
      <c r="B907" s="1" t="str">
        <f t="shared" si="14"/>
        <v/>
      </c>
      <c r="C907" s="17" t="str">
        <f>IF($A907="","",SUMIFS(Amortization!E$17:E$1017,Amortization!$A$17:$A$1017,$B907))</f>
        <v/>
      </c>
      <c r="D907" s="17" t="str">
        <f>IF($A907="","",SUMIFS(Amortization!F$17:F$1017,Amortization!$A$17:$A$1017,$B907))</f>
        <v/>
      </c>
      <c r="E907" s="17" t="str">
        <f>IF($A907="","",SUMIFS(Amortization!G$17:G$1017,Amortization!$A$17:$A$1017,$B907))</f>
        <v/>
      </c>
    </row>
    <row r="908" spans="2:5" hidden="1" x14ac:dyDescent="0.3">
      <c r="B908" s="1" t="str">
        <f t="shared" si="14"/>
        <v/>
      </c>
      <c r="C908" s="17" t="str">
        <f>IF($A908="","",SUMIFS(Amortization!E$17:E$1017,Amortization!$A$17:$A$1017,$B908))</f>
        <v/>
      </c>
      <c r="D908" s="17" t="str">
        <f>IF($A908="","",SUMIFS(Amortization!F$17:F$1017,Amortization!$A$17:$A$1017,$B908))</f>
        <v/>
      </c>
      <c r="E908" s="17" t="str">
        <f>IF($A908="","",SUMIFS(Amortization!G$17:G$1017,Amortization!$A$17:$A$1017,$B908))</f>
        <v/>
      </c>
    </row>
    <row r="909" spans="2:5" hidden="1" x14ac:dyDescent="0.3">
      <c r="B909" s="1" t="str">
        <f t="shared" si="14"/>
        <v/>
      </c>
      <c r="C909" s="17" t="str">
        <f>IF($A909="","",SUMIFS(Amortization!E$17:E$1017,Amortization!$A$17:$A$1017,$B909))</f>
        <v/>
      </c>
      <c r="D909" s="17" t="str">
        <f>IF($A909="","",SUMIFS(Amortization!F$17:F$1017,Amortization!$A$17:$A$1017,$B909))</f>
        <v/>
      </c>
      <c r="E909" s="17" t="str">
        <f>IF($A909="","",SUMIFS(Amortization!G$17:G$1017,Amortization!$A$17:$A$1017,$B909))</f>
        <v/>
      </c>
    </row>
    <row r="910" spans="2:5" hidden="1" x14ac:dyDescent="0.3">
      <c r="B910" s="1" t="str">
        <f t="shared" si="14"/>
        <v/>
      </c>
      <c r="C910" s="17" t="str">
        <f>IF($A910="","",SUMIFS(Amortization!E$17:E$1017,Amortization!$A$17:$A$1017,$B910))</f>
        <v/>
      </c>
      <c r="D910" s="17" t="str">
        <f>IF($A910="","",SUMIFS(Amortization!F$17:F$1017,Amortization!$A$17:$A$1017,$B910))</f>
        <v/>
      </c>
      <c r="E910" s="17" t="str">
        <f>IF($A910="","",SUMIFS(Amortization!G$17:G$1017,Amortization!$A$17:$A$1017,$B910))</f>
        <v/>
      </c>
    </row>
    <row r="911" spans="2:5" hidden="1" x14ac:dyDescent="0.3">
      <c r="B911" s="1" t="str">
        <f t="shared" si="14"/>
        <v/>
      </c>
      <c r="C911" s="17" t="str">
        <f>IF($A911="","",SUMIFS(Amortization!E$17:E$1017,Amortization!$A$17:$A$1017,$B911))</f>
        <v/>
      </c>
      <c r="D911" s="17" t="str">
        <f>IF($A911="","",SUMIFS(Amortization!F$17:F$1017,Amortization!$A$17:$A$1017,$B911))</f>
        <v/>
      </c>
      <c r="E911" s="17" t="str">
        <f>IF($A911="","",SUMIFS(Amortization!G$17:G$1017,Amortization!$A$17:$A$1017,$B911))</f>
        <v/>
      </c>
    </row>
    <row r="912" spans="2:5" hidden="1" x14ac:dyDescent="0.3">
      <c r="B912" s="1" t="str">
        <f t="shared" si="14"/>
        <v/>
      </c>
      <c r="C912" s="17" t="str">
        <f>IF($A912="","",SUMIFS(Amortization!E$17:E$1017,Amortization!$A$17:$A$1017,$B912))</f>
        <v/>
      </c>
      <c r="D912" s="17" t="str">
        <f>IF($A912="","",SUMIFS(Amortization!F$17:F$1017,Amortization!$A$17:$A$1017,$B912))</f>
        <v/>
      </c>
      <c r="E912" s="17" t="str">
        <f>IF($A912="","",SUMIFS(Amortization!G$17:G$1017,Amortization!$A$17:$A$1017,$B912))</f>
        <v/>
      </c>
    </row>
    <row r="913" spans="2:5" hidden="1" x14ac:dyDescent="0.3">
      <c r="B913" s="1" t="str">
        <f t="shared" si="14"/>
        <v/>
      </c>
      <c r="C913" s="17" t="str">
        <f>IF($A913="","",SUMIFS(Amortization!E$17:E$1017,Amortization!$A$17:$A$1017,$B913))</f>
        <v/>
      </c>
      <c r="D913" s="17" t="str">
        <f>IF($A913="","",SUMIFS(Amortization!F$17:F$1017,Amortization!$A$17:$A$1017,$B913))</f>
        <v/>
      </c>
      <c r="E913" s="17" t="str">
        <f>IF($A913="","",SUMIFS(Amortization!G$17:G$1017,Amortization!$A$17:$A$1017,$B913))</f>
        <v/>
      </c>
    </row>
    <row r="914" spans="2:5" hidden="1" x14ac:dyDescent="0.3">
      <c r="B914" s="1" t="str">
        <f t="shared" si="14"/>
        <v/>
      </c>
      <c r="C914" s="17" t="str">
        <f>IF($A914="","",SUMIFS(Amortization!E$17:E$1017,Amortization!$A$17:$A$1017,$B914))</f>
        <v/>
      </c>
      <c r="D914" s="17" t="str">
        <f>IF($A914="","",SUMIFS(Amortization!F$17:F$1017,Amortization!$A$17:$A$1017,$B914))</f>
        <v/>
      </c>
      <c r="E914" s="17" t="str">
        <f>IF($A914="","",SUMIFS(Amortization!G$17:G$1017,Amortization!$A$17:$A$1017,$B914))</f>
        <v/>
      </c>
    </row>
    <row r="915" spans="2:5" hidden="1" x14ac:dyDescent="0.3">
      <c r="B915" s="1" t="str">
        <f t="shared" ref="B915:B978" si="15">IF(A915="","",B914+1)</f>
        <v/>
      </c>
      <c r="C915" s="17" t="str">
        <f>IF($A915="","",SUMIFS(Amortization!E$17:E$1017,Amortization!$A$17:$A$1017,$B915))</f>
        <v/>
      </c>
      <c r="D915" s="17" t="str">
        <f>IF($A915="","",SUMIFS(Amortization!F$17:F$1017,Amortization!$A$17:$A$1017,$B915))</f>
        <v/>
      </c>
      <c r="E915" s="17" t="str">
        <f>IF($A915="","",SUMIFS(Amortization!G$17:G$1017,Amortization!$A$17:$A$1017,$B915))</f>
        <v/>
      </c>
    </row>
    <row r="916" spans="2:5" hidden="1" x14ac:dyDescent="0.3">
      <c r="B916" s="1" t="str">
        <f t="shared" si="15"/>
        <v/>
      </c>
      <c r="C916" s="17" t="str">
        <f>IF($A916="","",SUMIFS(Amortization!E$17:E$1017,Amortization!$A$17:$A$1017,$B916))</f>
        <v/>
      </c>
      <c r="D916" s="17" t="str">
        <f>IF($A916="","",SUMIFS(Amortization!F$17:F$1017,Amortization!$A$17:$A$1017,$B916))</f>
        <v/>
      </c>
      <c r="E916" s="17" t="str">
        <f>IF($A916="","",SUMIFS(Amortization!G$17:G$1017,Amortization!$A$17:$A$1017,$B916))</f>
        <v/>
      </c>
    </row>
    <row r="917" spans="2:5" hidden="1" x14ac:dyDescent="0.3">
      <c r="B917" s="1" t="str">
        <f t="shared" si="15"/>
        <v/>
      </c>
      <c r="C917" s="17" t="str">
        <f>IF($A917="","",SUMIFS(Amortization!E$17:E$1017,Amortization!$A$17:$A$1017,$B917))</f>
        <v/>
      </c>
      <c r="D917" s="17" t="str">
        <f>IF($A917="","",SUMIFS(Amortization!F$17:F$1017,Amortization!$A$17:$A$1017,$B917))</f>
        <v/>
      </c>
      <c r="E917" s="17" t="str">
        <f>IF($A917="","",SUMIFS(Amortization!G$17:G$1017,Amortization!$A$17:$A$1017,$B917))</f>
        <v/>
      </c>
    </row>
    <row r="918" spans="2:5" hidden="1" x14ac:dyDescent="0.3">
      <c r="B918" s="1" t="str">
        <f t="shared" si="15"/>
        <v/>
      </c>
      <c r="C918" s="17" t="str">
        <f>IF($A918="","",SUMIFS(Amortization!E$17:E$1017,Amortization!$A$17:$A$1017,$B918))</f>
        <v/>
      </c>
      <c r="D918" s="17" t="str">
        <f>IF($A918="","",SUMIFS(Amortization!F$17:F$1017,Amortization!$A$17:$A$1017,$B918))</f>
        <v/>
      </c>
      <c r="E918" s="17" t="str">
        <f>IF($A918="","",SUMIFS(Amortization!G$17:G$1017,Amortization!$A$17:$A$1017,$B918))</f>
        <v/>
      </c>
    </row>
    <row r="919" spans="2:5" hidden="1" x14ac:dyDescent="0.3">
      <c r="B919" s="1" t="str">
        <f t="shared" si="15"/>
        <v/>
      </c>
      <c r="C919" s="17" t="str">
        <f>IF($A919="","",SUMIFS(Amortization!E$17:E$1017,Amortization!$A$17:$A$1017,$B919))</f>
        <v/>
      </c>
      <c r="D919" s="17" t="str">
        <f>IF($A919="","",SUMIFS(Amortization!F$17:F$1017,Amortization!$A$17:$A$1017,$B919))</f>
        <v/>
      </c>
      <c r="E919" s="17" t="str">
        <f>IF($A919="","",SUMIFS(Amortization!G$17:G$1017,Amortization!$A$17:$A$1017,$B919))</f>
        <v/>
      </c>
    </row>
    <row r="920" spans="2:5" hidden="1" x14ac:dyDescent="0.3">
      <c r="B920" s="1" t="str">
        <f t="shared" si="15"/>
        <v/>
      </c>
      <c r="C920" s="17" t="str">
        <f>IF($A920="","",SUMIFS(Amortization!E$17:E$1017,Amortization!$A$17:$A$1017,$B920))</f>
        <v/>
      </c>
      <c r="D920" s="17" t="str">
        <f>IF($A920="","",SUMIFS(Amortization!F$17:F$1017,Amortization!$A$17:$A$1017,$B920))</f>
        <v/>
      </c>
      <c r="E920" s="17" t="str">
        <f>IF($A920="","",SUMIFS(Amortization!G$17:G$1017,Amortization!$A$17:$A$1017,$B920))</f>
        <v/>
      </c>
    </row>
    <row r="921" spans="2:5" hidden="1" x14ac:dyDescent="0.3">
      <c r="B921" s="1" t="str">
        <f t="shared" si="15"/>
        <v/>
      </c>
      <c r="C921" s="17" t="str">
        <f>IF($A921="","",SUMIFS(Amortization!E$17:E$1017,Amortization!$A$17:$A$1017,$B921))</f>
        <v/>
      </c>
      <c r="D921" s="17" t="str">
        <f>IF($A921="","",SUMIFS(Amortization!F$17:F$1017,Amortization!$A$17:$A$1017,$B921))</f>
        <v/>
      </c>
      <c r="E921" s="17" t="str">
        <f>IF($A921="","",SUMIFS(Amortization!G$17:G$1017,Amortization!$A$17:$A$1017,$B921))</f>
        <v/>
      </c>
    </row>
    <row r="922" spans="2:5" hidden="1" x14ac:dyDescent="0.3">
      <c r="B922" s="1" t="str">
        <f t="shared" si="15"/>
        <v/>
      </c>
      <c r="C922" s="17" t="str">
        <f>IF($A922="","",SUMIFS(Amortization!E$17:E$1017,Amortization!$A$17:$A$1017,$B922))</f>
        <v/>
      </c>
      <c r="D922" s="17" t="str">
        <f>IF($A922="","",SUMIFS(Amortization!F$17:F$1017,Amortization!$A$17:$A$1017,$B922))</f>
        <v/>
      </c>
      <c r="E922" s="17" t="str">
        <f>IF($A922="","",SUMIFS(Amortization!G$17:G$1017,Amortization!$A$17:$A$1017,$B922))</f>
        <v/>
      </c>
    </row>
    <row r="923" spans="2:5" hidden="1" x14ac:dyDescent="0.3">
      <c r="B923" s="1" t="str">
        <f t="shared" si="15"/>
        <v/>
      </c>
      <c r="C923" s="17" t="str">
        <f>IF($A923="","",SUMIFS(Amortization!E$17:E$1017,Amortization!$A$17:$A$1017,$B923))</f>
        <v/>
      </c>
      <c r="D923" s="17" t="str">
        <f>IF($A923="","",SUMIFS(Amortization!F$17:F$1017,Amortization!$A$17:$A$1017,$B923))</f>
        <v/>
      </c>
      <c r="E923" s="17" t="str">
        <f>IF($A923="","",SUMIFS(Amortization!G$17:G$1017,Amortization!$A$17:$A$1017,$B923))</f>
        <v/>
      </c>
    </row>
    <row r="924" spans="2:5" hidden="1" x14ac:dyDescent="0.3">
      <c r="B924" s="1" t="str">
        <f t="shared" si="15"/>
        <v/>
      </c>
      <c r="C924" s="17" t="str">
        <f>IF($A924="","",SUMIFS(Amortization!E$17:E$1017,Amortization!$A$17:$A$1017,$B924))</f>
        <v/>
      </c>
      <c r="D924" s="17" t="str">
        <f>IF($A924="","",SUMIFS(Amortization!F$17:F$1017,Amortization!$A$17:$A$1017,$B924))</f>
        <v/>
      </c>
      <c r="E924" s="17" t="str">
        <f>IF($A924="","",SUMIFS(Amortization!G$17:G$1017,Amortization!$A$17:$A$1017,$B924))</f>
        <v/>
      </c>
    </row>
    <row r="925" spans="2:5" hidden="1" x14ac:dyDescent="0.3">
      <c r="B925" s="1" t="str">
        <f t="shared" si="15"/>
        <v/>
      </c>
      <c r="C925" s="17" t="str">
        <f>IF($A925="","",SUMIFS(Amortization!E$17:E$1017,Amortization!$A$17:$A$1017,$B925))</f>
        <v/>
      </c>
      <c r="D925" s="17" t="str">
        <f>IF($A925="","",SUMIFS(Amortization!F$17:F$1017,Amortization!$A$17:$A$1017,$B925))</f>
        <v/>
      </c>
      <c r="E925" s="17" t="str">
        <f>IF($A925="","",SUMIFS(Amortization!G$17:G$1017,Amortization!$A$17:$A$1017,$B925))</f>
        <v/>
      </c>
    </row>
    <row r="926" spans="2:5" hidden="1" x14ac:dyDescent="0.3">
      <c r="B926" s="1" t="str">
        <f t="shared" si="15"/>
        <v/>
      </c>
      <c r="C926" s="17" t="str">
        <f>IF($A926="","",SUMIFS(Amortization!E$17:E$1017,Amortization!$A$17:$A$1017,$B926))</f>
        <v/>
      </c>
      <c r="D926" s="17" t="str">
        <f>IF($A926="","",SUMIFS(Amortization!F$17:F$1017,Amortization!$A$17:$A$1017,$B926))</f>
        <v/>
      </c>
      <c r="E926" s="17" t="str">
        <f>IF($A926="","",SUMIFS(Amortization!G$17:G$1017,Amortization!$A$17:$A$1017,$B926))</f>
        <v/>
      </c>
    </row>
    <row r="927" spans="2:5" hidden="1" x14ac:dyDescent="0.3">
      <c r="B927" s="1" t="str">
        <f t="shared" si="15"/>
        <v/>
      </c>
      <c r="C927" s="17" t="str">
        <f>IF($A927="","",SUMIFS(Amortization!E$17:E$1017,Amortization!$A$17:$A$1017,$B927))</f>
        <v/>
      </c>
      <c r="D927" s="17" t="str">
        <f>IF($A927="","",SUMIFS(Amortization!F$17:F$1017,Amortization!$A$17:$A$1017,$B927))</f>
        <v/>
      </c>
      <c r="E927" s="17" t="str">
        <f>IF($A927="","",SUMIFS(Amortization!G$17:G$1017,Amortization!$A$17:$A$1017,$B927))</f>
        <v/>
      </c>
    </row>
    <row r="928" spans="2:5" hidden="1" x14ac:dyDescent="0.3">
      <c r="B928" s="1" t="str">
        <f t="shared" si="15"/>
        <v/>
      </c>
      <c r="C928" s="17" t="str">
        <f>IF($A928="","",SUMIFS(Amortization!E$17:E$1017,Amortization!$A$17:$A$1017,$B928))</f>
        <v/>
      </c>
      <c r="D928" s="17" t="str">
        <f>IF($A928="","",SUMIFS(Amortization!F$17:F$1017,Amortization!$A$17:$A$1017,$B928))</f>
        <v/>
      </c>
      <c r="E928" s="17" t="str">
        <f>IF($A928="","",SUMIFS(Amortization!G$17:G$1017,Amortization!$A$17:$A$1017,$B928))</f>
        <v/>
      </c>
    </row>
    <row r="929" spans="2:5" hidden="1" x14ac:dyDescent="0.3">
      <c r="B929" s="1" t="str">
        <f t="shared" si="15"/>
        <v/>
      </c>
      <c r="C929" s="17" t="str">
        <f>IF($A929="","",SUMIFS(Amortization!E$17:E$1017,Amortization!$A$17:$A$1017,$B929))</f>
        <v/>
      </c>
      <c r="D929" s="17" t="str">
        <f>IF($A929="","",SUMIFS(Amortization!F$17:F$1017,Amortization!$A$17:$A$1017,$B929))</f>
        <v/>
      </c>
      <c r="E929" s="17" t="str">
        <f>IF($A929="","",SUMIFS(Amortization!G$17:G$1017,Amortization!$A$17:$A$1017,$B929))</f>
        <v/>
      </c>
    </row>
    <row r="930" spans="2:5" hidden="1" x14ac:dyDescent="0.3">
      <c r="B930" s="1" t="str">
        <f t="shared" si="15"/>
        <v/>
      </c>
      <c r="C930" s="17" t="str">
        <f>IF($A930="","",SUMIFS(Amortization!E$17:E$1017,Amortization!$A$17:$A$1017,$B930))</f>
        <v/>
      </c>
      <c r="D930" s="17" t="str">
        <f>IF($A930="","",SUMIFS(Amortization!F$17:F$1017,Amortization!$A$17:$A$1017,$B930))</f>
        <v/>
      </c>
      <c r="E930" s="17" t="str">
        <f>IF($A930="","",SUMIFS(Amortization!G$17:G$1017,Amortization!$A$17:$A$1017,$B930))</f>
        <v/>
      </c>
    </row>
    <row r="931" spans="2:5" hidden="1" x14ac:dyDescent="0.3">
      <c r="B931" s="1" t="str">
        <f t="shared" si="15"/>
        <v/>
      </c>
      <c r="C931" s="17" t="str">
        <f>IF($A931="","",SUMIFS(Amortization!E$17:E$1017,Amortization!$A$17:$A$1017,$B931))</f>
        <v/>
      </c>
      <c r="D931" s="17" t="str">
        <f>IF($A931="","",SUMIFS(Amortization!F$17:F$1017,Amortization!$A$17:$A$1017,$B931))</f>
        <v/>
      </c>
      <c r="E931" s="17" t="str">
        <f>IF($A931="","",SUMIFS(Amortization!G$17:G$1017,Amortization!$A$17:$A$1017,$B931))</f>
        <v/>
      </c>
    </row>
    <row r="932" spans="2:5" hidden="1" x14ac:dyDescent="0.3">
      <c r="B932" s="1" t="str">
        <f t="shared" si="15"/>
        <v/>
      </c>
      <c r="C932" s="17" t="str">
        <f>IF($A932="","",SUMIFS(Amortization!E$17:E$1017,Amortization!$A$17:$A$1017,$B932))</f>
        <v/>
      </c>
      <c r="D932" s="17" t="str">
        <f>IF($A932="","",SUMIFS(Amortization!F$17:F$1017,Amortization!$A$17:$A$1017,$B932))</f>
        <v/>
      </c>
      <c r="E932" s="17" t="str">
        <f>IF($A932="","",SUMIFS(Amortization!G$17:G$1017,Amortization!$A$17:$A$1017,$B932))</f>
        <v/>
      </c>
    </row>
    <row r="933" spans="2:5" hidden="1" x14ac:dyDescent="0.3">
      <c r="B933" s="1" t="str">
        <f t="shared" si="15"/>
        <v/>
      </c>
      <c r="C933" s="17" t="str">
        <f>IF($A933="","",SUMIFS(Amortization!E$17:E$1017,Amortization!$A$17:$A$1017,$B933))</f>
        <v/>
      </c>
      <c r="D933" s="17" t="str">
        <f>IF($A933="","",SUMIFS(Amortization!F$17:F$1017,Amortization!$A$17:$A$1017,$B933))</f>
        <v/>
      </c>
      <c r="E933" s="17" t="str">
        <f>IF($A933="","",SUMIFS(Amortization!G$17:G$1017,Amortization!$A$17:$A$1017,$B933))</f>
        <v/>
      </c>
    </row>
    <row r="934" spans="2:5" hidden="1" x14ac:dyDescent="0.3">
      <c r="B934" s="1" t="str">
        <f t="shared" si="15"/>
        <v/>
      </c>
      <c r="C934" s="17" t="str">
        <f>IF($A934="","",SUMIFS(Amortization!E$17:E$1017,Amortization!$A$17:$A$1017,$B934))</f>
        <v/>
      </c>
      <c r="D934" s="17" t="str">
        <f>IF($A934="","",SUMIFS(Amortization!F$17:F$1017,Amortization!$A$17:$A$1017,$B934))</f>
        <v/>
      </c>
      <c r="E934" s="17" t="str">
        <f>IF($A934="","",SUMIFS(Amortization!G$17:G$1017,Amortization!$A$17:$A$1017,$B934))</f>
        <v/>
      </c>
    </row>
    <row r="935" spans="2:5" hidden="1" x14ac:dyDescent="0.3">
      <c r="B935" s="1" t="str">
        <f t="shared" si="15"/>
        <v/>
      </c>
      <c r="C935" s="17" t="str">
        <f>IF($A935="","",SUMIFS(Amortization!E$17:E$1017,Amortization!$A$17:$A$1017,$B935))</f>
        <v/>
      </c>
      <c r="D935" s="17" t="str">
        <f>IF($A935="","",SUMIFS(Amortization!F$17:F$1017,Amortization!$A$17:$A$1017,$B935))</f>
        <v/>
      </c>
      <c r="E935" s="17" t="str">
        <f>IF($A935="","",SUMIFS(Amortization!G$17:G$1017,Amortization!$A$17:$A$1017,$B935))</f>
        <v/>
      </c>
    </row>
    <row r="936" spans="2:5" hidden="1" x14ac:dyDescent="0.3">
      <c r="B936" s="1" t="str">
        <f t="shared" si="15"/>
        <v/>
      </c>
      <c r="C936" s="17" t="str">
        <f>IF($A936="","",SUMIFS(Amortization!E$17:E$1017,Amortization!$A$17:$A$1017,$B936))</f>
        <v/>
      </c>
      <c r="D936" s="17" t="str">
        <f>IF($A936="","",SUMIFS(Amortization!F$17:F$1017,Amortization!$A$17:$A$1017,$B936))</f>
        <v/>
      </c>
      <c r="E936" s="17" t="str">
        <f>IF($A936="","",SUMIFS(Amortization!G$17:G$1017,Amortization!$A$17:$A$1017,$B936))</f>
        <v/>
      </c>
    </row>
    <row r="937" spans="2:5" hidden="1" x14ac:dyDescent="0.3">
      <c r="B937" s="1" t="str">
        <f t="shared" si="15"/>
        <v/>
      </c>
      <c r="C937" s="17" t="str">
        <f>IF($A937="","",SUMIFS(Amortization!E$17:E$1017,Amortization!$A$17:$A$1017,$B937))</f>
        <v/>
      </c>
      <c r="D937" s="17" t="str">
        <f>IF($A937="","",SUMIFS(Amortization!F$17:F$1017,Amortization!$A$17:$A$1017,$B937))</f>
        <v/>
      </c>
      <c r="E937" s="17" t="str">
        <f>IF($A937="","",SUMIFS(Amortization!G$17:G$1017,Amortization!$A$17:$A$1017,$B937))</f>
        <v/>
      </c>
    </row>
    <row r="938" spans="2:5" hidden="1" x14ac:dyDescent="0.3">
      <c r="B938" s="1" t="str">
        <f t="shared" si="15"/>
        <v/>
      </c>
      <c r="C938" s="17" t="str">
        <f>IF($A938="","",SUMIFS(Amortization!E$17:E$1017,Amortization!$A$17:$A$1017,$B938))</f>
        <v/>
      </c>
      <c r="D938" s="17" t="str">
        <f>IF($A938="","",SUMIFS(Amortization!F$17:F$1017,Amortization!$A$17:$A$1017,$B938))</f>
        <v/>
      </c>
      <c r="E938" s="17" t="str">
        <f>IF($A938="","",SUMIFS(Amortization!G$17:G$1017,Amortization!$A$17:$A$1017,$B938))</f>
        <v/>
      </c>
    </row>
    <row r="939" spans="2:5" hidden="1" x14ac:dyDescent="0.3">
      <c r="B939" s="1" t="str">
        <f t="shared" si="15"/>
        <v/>
      </c>
      <c r="C939" s="17" t="str">
        <f>IF($A939="","",SUMIFS(Amortization!E$17:E$1017,Amortization!$A$17:$A$1017,$B939))</f>
        <v/>
      </c>
      <c r="D939" s="17" t="str">
        <f>IF($A939="","",SUMIFS(Amortization!F$17:F$1017,Amortization!$A$17:$A$1017,$B939))</f>
        <v/>
      </c>
      <c r="E939" s="17" t="str">
        <f>IF($A939="","",SUMIFS(Amortization!G$17:G$1017,Amortization!$A$17:$A$1017,$B939))</f>
        <v/>
      </c>
    </row>
    <row r="940" spans="2:5" hidden="1" x14ac:dyDescent="0.3">
      <c r="B940" s="1" t="str">
        <f t="shared" si="15"/>
        <v/>
      </c>
      <c r="C940" s="17" t="str">
        <f>IF($A940="","",SUMIFS(Amortization!E$17:E$1017,Amortization!$A$17:$A$1017,$B940))</f>
        <v/>
      </c>
      <c r="D940" s="17" t="str">
        <f>IF($A940="","",SUMIFS(Amortization!F$17:F$1017,Amortization!$A$17:$A$1017,$B940))</f>
        <v/>
      </c>
      <c r="E940" s="17" t="str">
        <f>IF($A940="","",SUMIFS(Amortization!G$17:G$1017,Amortization!$A$17:$A$1017,$B940))</f>
        <v/>
      </c>
    </row>
    <row r="941" spans="2:5" hidden="1" x14ac:dyDescent="0.3">
      <c r="B941" s="1" t="str">
        <f t="shared" si="15"/>
        <v/>
      </c>
      <c r="C941" s="17" t="str">
        <f>IF($A941="","",SUMIFS(Amortization!E$17:E$1017,Amortization!$A$17:$A$1017,$B941))</f>
        <v/>
      </c>
      <c r="D941" s="17" t="str">
        <f>IF($A941="","",SUMIFS(Amortization!F$17:F$1017,Amortization!$A$17:$A$1017,$B941))</f>
        <v/>
      </c>
      <c r="E941" s="17" t="str">
        <f>IF($A941="","",SUMIFS(Amortization!G$17:G$1017,Amortization!$A$17:$A$1017,$B941))</f>
        <v/>
      </c>
    </row>
    <row r="942" spans="2:5" hidden="1" x14ac:dyDescent="0.3">
      <c r="B942" s="1" t="str">
        <f t="shared" si="15"/>
        <v/>
      </c>
      <c r="C942" s="17" t="str">
        <f>IF($A942="","",SUMIFS(Amortization!E$17:E$1017,Amortization!$A$17:$A$1017,$B942))</f>
        <v/>
      </c>
      <c r="D942" s="17" t="str">
        <f>IF($A942="","",SUMIFS(Amortization!F$17:F$1017,Amortization!$A$17:$A$1017,$B942))</f>
        <v/>
      </c>
      <c r="E942" s="17" t="str">
        <f>IF($A942="","",SUMIFS(Amortization!G$17:G$1017,Amortization!$A$17:$A$1017,$B942))</f>
        <v/>
      </c>
    </row>
    <row r="943" spans="2:5" hidden="1" x14ac:dyDescent="0.3">
      <c r="B943" s="1" t="str">
        <f t="shared" si="15"/>
        <v/>
      </c>
      <c r="C943" s="17" t="str">
        <f>IF($A943="","",SUMIFS(Amortization!E$17:E$1017,Amortization!$A$17:$A$1017,$B943))</f>
        <v/>
      </c>
      <c r="D943" s="17" t="str">
        <f>IF($A943="","",SUMIFS(Amortization!F$17:F$1017,Amortization!$A$17:$A$1017,$B943))</f>
        <v/>
      </c>
      <c r="E943" s="17" t="str">
        <f>IF($A943="","",SUMIFS(Amortization!G$17:G$1017,Amortization!$A$17:$A$1017,$B943))</f>
        <v/>
      </c>
    </row>
    <row r="944" spans="2:5" hidden="1" x14ac:dyDescent="0.3">
      <c r="B944" s="1" t="str">
        <f t="shared" si="15"/>
        <v/>
      </c>
      <c r="C944" s="17" t="str">
        <f>IF($A944="","",SUMIFS(Amortization!E$17:E$1017,Amortization!$A$17:$A$1017,$B944))</f>
        <v/>
      </c>
      <c r="D944" s="17" t="str">
        <f>IF($A944="","",SUMIFS(Amortization!F$17:F$1017,Amortization!$A$17:$A$1017,$B944))</f>
        <v/>
      </c>
      <c r="E944" s="17" t="str">
        <f>IF($A944="","",SUMIFS(Amortization!G$17:G$1017,Amortization!$A$17:$A$1017,$B944))</f>
        <v/>
      </c>
    </row>
    <row r="945" spans="2:5" hidden="1" x14ac:dyDescent="0.3">
      <c r="B945" s="1" t="str">
        <f t="shared" si="15"/>
        <v/>
      </c>
      <c r="C945" s="17" t="str">
        <f>IF($A945="","",SUMIFS(Amortization!E$17:E$1017,Amortization!$A$17:$A$1017,$B945))</f>
        <v/>
      </c>
      <c r="D945" s="17" t="str">
        <f>IF($A945="","",SUMIFS(Amortization!F$17:F$1017,Amortization!$A$17:$A$1017,$B945))</f>
        <v/>
      </c>
      <c r="E945" s="17" t="str">
        <f>IF($A945="","",SUMIFS(Amortization!G$17:G$1017,Amortization!$A$17:$A$1017,$B945))</f>
        <v/>
      </c>
    </row>
    <row r="946" spans="2:5" hidden="1" x14ac:dyDescent="0.3">
      <c r="B946" s="1" t="str">
        <f t="shared" si="15"/>
        <v/>
      </c>
      <c r="C946" s="17" t="str">
        <f>IF($A946="","",SUMIFS(Amortization!E$17:E$1017,Amortization!$A$17:$A$1017,$B946))</f>
        <v/>
      </c>
      <c r="D946" s="17" t="str">
        <f>IF($A946="","",SUMIFS(Amortization!F$17:F$1017,Amortization!$A$17:$A$1017,$B946))</f>
        <v/>
      </c>
      <c r="E946" s="17" t="str">
        <f>IF($A946="","",SUMIFS(Amortization!G$17:G$1017,Amortization!$A$17:$A$1017,$B946))</f>
        <v/>
      </c>
    </row>
    <row r="947" spans="2:5" hidden="1" x14ac:dyDescent="0.3">
      <c r="B947" s="1" t="str">
        <f t="shared" si="15"/>
        <v/>
      </c>
      <c r="C947" s="17" t="str">
        <f>IF($A947="","",SUMIFS(Amortization!E$17:E$1017,Amortization!$A$17:$A$1017,$B947))</f>
        <v/>
      </c>
      <c r="D947" s="17" t="str">
        <f>IF($A947="","",SUMIFS(Amortization!F$17:F$1017,Amortization!$A$17:$A$1017,$B947))</f>
        <v/>
      </c>
      <c r="E947" s="17" t="str">
        <f>IF($A947="","",SUMIFS(Amortization!G$17:G$1017,Amortization!$A$17:$A$1017,$B947))</f>
        <v/>
      </c>
    </row>
    <row r="948" spans="2:5" hidden="1" x14ac:dyDescent="0.3">
      <c r="B948" s="1" t="str">
        <f t="shared" si="15"/>
        <v/>
      </c>
      <c r="C948" s="17" t="str">
        <f>IF($A948="","",SUMIFS(Amortization!E$17:E$1017,Amortization!$A$17:$A$1017,$B948))</f>
        <v/>
      </c>
      <c r="D948" s="17" t="str">
        <f>IF($A948="","",SUMIFS(Amortization!F$17:F$1017,Amortization!$A$17:$A$1017,$B948))</f>
        <v/>
      </c>
      <c r="E948" s="17" t="str">
        <f>IF($A948="","",SUMIFS(Amortization!G$17:G$1017,Amortization!$A$17:$A$1017,$B948))</f>
        <v/>
      </c>
    </row>
    <row r="949" spans="2:5" hidden="1" x14ac:dyDescent="0.3">
      <c r="B949" s="1" t="str">
        <f t="shared" si="15"/>
        <v/>
      </c>
      <c r="C949" s="17" t="str">
        <f>IF($A949="","",SUMIFS(Amortization!E$17:E$1017,Amortization!$A$17:$A$1017,$B949))</f>
        <v/>
      </c>
      <c r="D949" s="17" t="str">
        <f>IF($A949="","",SUMIFS(Amortization!F$17:F$1017,Amortization!$A$17:$A$1017,$B949))</f>
        <v/>
      </c>
      <c r="E949" s="17" t="str">
        <f>IF($A949="","",SUMIFS(Amortization!G$17:G$1017,Amortization!$A$17:$A$1017,$B949))</f>
        <v/>
      </c>
    </row>
    <row r="950" spans="2:5" hidden="1" x14ac:dyDescent="0.3">
      <c r="B950" s="1" t="str">
        <f t="shared" si="15"/>
        <v/>
      </c>
      <c r="C950" s="17" t="str">
        <f>IF($A950="","",SUMIFS(Amortization!E$17:E$1017,Amortization!$A$17:$A$1017,$B950))</f>
        <v/>
      </c>
      <c r="D950" s="17" t="str">
        <f>IF($A950="","",SUMIFS(Amortization!F$17:F$1017,Amortization!$A$17:$A$1017,$B950))</f>
        <v/>
      </c>
      <c r="E950" s="17" t="str">
        <f>IF($A950="","",SUMIFS(Amortization!G$17:G$1017,Amortization!$A$17:$A$1017,$B950))</f>
        <v/>
      </c>
    </row>
    <row r="951" spans="2:5" hidden="1" x14ac:dyDescent="0.3">
      <c r="B951" s="1" t="str">
        <f t="shared" si="15"/>
        <v/>
      </c>
      <c r="C951" s="17" t="str">
        <f>IF($A951="","",SUMIFS(Amortization!E$17:E$1017,Amortization!$A$17:$A$1017,$B951))</f>
        <v/>
      </c>
      <c r="D951" s="17" t="str">
        <f>IF($A951="","",SUMIFS(Amortization!F$17:F$1017,Amortization!$A$17:$A$1017,$B951))</f>
        <v/>
      </c>
      <c r="E951" s="17" t="str">
        <f>IF($A951="","",SUMIFS(Amortization!G$17:G$1017,Amortization!$A$17:$A$1017,$B951))</f>
        <v/>
      </c>
    </row>
    <row r="952" spans="2:5" hidden="1" x14ac:dyDescent="0.3">
      <c r="B952" s="1" t="str">
        <f t="shared" si="15"/>
        <v/>
      </c>
      <c r="C952" s="17" t="str">
        <f>IF($A952="","",SUMIFS(Amortization!E$17:E$1017,Amortization!$A$17:$A$1017,$B952))</f>
        <v/>
      </c>
      <c r="D952" s="17" t="str">
        <f>IF($A952="","",SUMIFS(Amortization!F$17:F$1017,Amortization!$A$17:$A$1017,$B952))</f>
        <v/>
      </c>
      <c r="E952" s="17" t="str">
        <f>IF($A952="","",SUMIFS(Amortization!G$17:G$1017,Amortization!$A$17:$A$1017,$B952))</f>
        <v/>
      </c>
    </row>
    <row r="953" spans="2:5" hidden="1" x14ac:dyDescent="0.3">
      <c r="B953" s="1" t="str">
        <f t="shared" si="15"/>
        <v/>
      </c>
      <c r="C953" s="17" t="str">
        <f>IF($A953="","",SUMIFS(Amortization!E$17:E$1017,Amortization!$A$17:$A$1017,$B953))</f>
        <v/>
      </c>
      <c r="D953" s="17" t="str">
        <f>IF($A953="","",SUMIFS(Amortization!F$17:F$1017,Amortization!$A$17:$A$1017,$B953))</f>
        <v/>
      </c>
      <c r="E953" s="17" t="str">
        <f>IF($A953="","",SUMIFS(Amortization!G$17:G$1017,Amortization!$A$17:$A$1017,$B953))</f>
        <v/>
      </c>
    </row>
    <row r="954" spans="2:5" hidden="1" x14ac:dyDescent="0.3">
      <c r="B954" s="1" t="str">
        <f t="shared" si="15"/>
        <v/>
      </c>
      <c r="C954" s="17" t="str">
        <f>IF($A954="","",SUMIFS(Amortization!E$17:E$1017,Amortization!$A$17:$A$1017,$B954))</f>
        <v/>
      </c>
      <c r="D954" s="17" t="str">
        <f>IF($A954="","",SUMIFS(Amortization!F$17:F$1017,Amortization!$A$17:$A$1017,$B954))</f>
        <v/>
      </c>
      <c r="E954" s="17" t="str">
        <f>IF($A954="","",SUMIFS(Amortization!G$17:G$1017,Amortization!$A$17:$A$1017,$B954))</f>
        <v/>
      </c>
    </row>
    <row r="955" spans="2:5" hidden="1" x14ac:dyDescent="0.3">
      <c r="B955" s="1" t="str">
        <f t="shared" si="15"/>
        <v/>
      </c>
      <c r="C955" s="17" t="str">
        <f>IF($A955="","",SUMIFS(Amortization!E$17:E$1017,Amortization!$A$17:$A$1017,$B955))</f>
        <v/>
      </c>
      <c r="D955" s="17" t="str">
        <f>IF($A955="","",SUMIFS(Amortization!F$17:F$1017,Amortization!$A$17:$A$1017,$B955))</f>
        <v/>
      </c>
      <c r="E955" s="17" t="str">
        <f>IF($A955="","",SUMIFS(Amortization!G$17:G$1017,Amortization!$A$17:$A$1017,$B955))</f>
        <v/>
      </c>
    </row>
    <row r="956" spans="2:5" hidden="1" x14ac:dyDescent="0.3">
      <c r="B956" s="1" t="str">
        <f t="shared" si="15"/>
        <v/>
      </c>
      <c r="C956" s="17" t="str">
        <f>IF($A956="","",SUMIFS(Amortization!E$17:E$1017,Amortization!$A$17:$A$1017,$B956))</f>
        <v/>
      </c>
      <c r="D956" s="17" t="str">
        <f>IF($A956="","",SUMIFS(Amortization!F$17:F$1017,Amortization!$A$17:$A$1017,$B956))</f>
        <v/>
      </c>
      <c r="E956" s="17" t="str">
        <f>IF($A956="","",SUMIFS(Amortization!G$17:G$1017,Amortization!$A$17:$A$1017,$B956))</f>
        <v/>
      </c>
    </row>
    <row r="957" spans="2:5" hidden="1" x14ac:dyDescent="0.3">
      <c r="B957" s="1" t="str">
        <f t="shared" si="15"/>
        <v/>
      </c>
      <c r="C957" s="17" t="str">
        <f>IF($A957="","",SUMIFS(Amortization!E$17:E$1017,Amortization!$A$17:$A$1017,$B957))</f>
        <v/>
      </c>
      <c r="D957" s="17" t="str">
        <f>IF($A957="","",SUMIFS(Amortization!F$17:F$1017,Amortization!$A$17:$A$1017,$B957))</f>
        <v/>
      </c>
      <c r="E957" s="17" t="str">
        <f>IF($A957="","",SUMIFS(Amortization!G$17:G$1017,Amortization!$A$17:$A$1017,$B957))</f>
        <v/>
      </c>
    </row>
    <row r="958" spans="2:5" hidden="1" x14ac:dyDescent="0.3">
      <c r="B958" s="1" t="str">
        <f t="shared" si="15"/>
        <v/>
      </c>
      <c r="C958" s="17" t="str">
        <f>IF($A958="","",SUMIFS(Amortization!E$17:E$1017,Amortization!$A$17:$A$1017,$B958))</f>
        <v/>
      </c>
      <c r="D958" s="17" t="str">
        <f>IF($A958="","",SUMIFS(Amortization!F$17:F$1017,Amortization!$A$17:$A$1017,$B958))</f>
        <v/>
      </c>
      <c r="E958" s="17" t="str">
        <f>IF($A958="","",SUMIFS(Amortization!G$17:G$1017,Amortization!$A$17:$A$1017,$B958))</f>
        <v/>
      </c>
    </row>
    <row r="959" spans="2:5" hidden="1" x14ac:dyDescent="0.3">
      <c r="B959" s="1" t="str">
        <f t="shared" si="15"/>
        <v/>
      </c>
      <c r="C959" s="17" t="str">
        <f>IF($A959="","",SUMIFS(Amortization!E$17:E$1017,Amortization!$A$17:$A$1017,$B959))</f>
        <v/>
      </c>
      <c r="D959" s="17" t="str">
        <f>IF($A959="","",SUMIFS(Amortization!F$17:F$1017,Amortization!$A$17:$A$1017,$B959))</f>
        <v/>
      </c>
      <c r="E959" s="17" t="str">
        <f>IF($A959="","",SUMIFS(Amortization!G$17:G$1017,Amortization!$A$17:$A$1017,$B959))</f>
        <v/>
      </c>
    </row>
    <row r="960" spans="2:5" hidden="1" x14ac:dyDescent="0.3">
      <c r="B960" s="1" t="str">
        <f t="shared" si="15"/>
        <v/>
      </c>
      <c r="C960" s="17" t="str">
        <f>IF($A960="","",SUMIFS(Amortization!E$17:E$1017,Amortization!$A$17:$A$1017,$B960))</f>
        <v/>
      </c>
      <c r="D960" s="17" t="str">
        <f>IF($A960="","",SUMIFS(Amortization!F$17:F$1017,Amortization!$A$17:$A$1017,$B960))</f>
        <v/>
      </c>
      <c r="E960" s="17" t="str">
        <f>IF($A960="","",SUMIFS(Amortization!G$17:G$1017,Amortization!$A$17:$A$1017,$B960))</f>
        <v/>
      </c>
    </row>
    <row r="961" spans="2:5" hidden="1" x14ac:dyDescent="0.3">
      <c r="B961" s="1" t="str">
        <f t="shared" si="15"/>
        <v/>
      </c>
      <c r="C961" s="17" t="str">
        <f>IF($A961="","",SUMIFS(Amortization!E$17:E$1017,Amortization!$A$17:$A$1017,$B961))</f>
        <v/>
      </c>
      <c r="D961" s="17" t="str">
        <f>IF($A961="","",SUMIFS(Amortization!F$17:F$1017,Amortization!$A$17:$A$1017,$B961))</f>
        <v/>
      </c>
      <c r="E961" s="17" t="str">
        <f>IF($A961="","",SUMIFS(Amortization!G$17:G$1017,Amortization!$A$17:$A$1017,$B961))</f>
        <v/>
      </c>
    </row>
    <row r="962" spans="2:5" hidden="1" x14ac:dyDescent="0.3">
      <c r="B962" s="1" t="str">
        <f t="shared" si="15"/>
        <v/>
      </c>
      <c r="C962" s="17" t="str">
        <f>IF($A962="","",SUMIFS(Amortization!E$17:E$1017,Amortization!$A$17:$A$1017,$B962))</f>
        <v/>
      </c>
      <c r="D962" s="17" t="str">
        <f>IF($A962="","",SUMIFS(Amortization!F$17:F$1017,Amortization!$A$17:$A$1017,$B962))</f>
        <v/>
      </c>
      <c r="E962" s="17" t="str">
        <f>IF($A962="","",SUMIFS(Amortization!G$17:G$1017,Amortization!$A$17:$A$1017,$B962))</f>
        <v/>
      </c>
    </row>
    <row r="963" spans="2:5" hidden="1" x14ac:dyDescent="0.3">
      <c r="B963" s="1" t="str">
        <f t="shared" si="15"/>
        <v/>
      </c>
      <c r="C963" s="17" t="str">
        <f>IF($A963="","",SUMIFS(Amortization!E$17:E$1017,Amortization!$A$17:$A$1017,$B963))</f>
        <v/>
      </c>
      <c r="D963" s="17" t="str">
        <f>IF($A963="","",SUMIFS(Amortization!F$17:F$1017,Amortization!$A$17:$A$1017,$B963))</f>
        <v/>
      </c>
      <c r="E963" s="17" t="str">
        <f>IF($A963="","",SUMIFS(Amortization!G$17:G$1017,Amortization!$A$17:$A$1017,$B963))</f>
        <v/>
      </c>
    </row>
    <row r="964" spans="2:5" hidden="1" x14ac:dyDescent="0.3">
      <c r="B964" s="1" t="str">
        <f t="shared" si="15"/>
        <v/>
      </c>
      <c r="C964" s="17" t="str">
        <f>IF($A964="","",SUMIFS(Amortization!E$17:E$1017,Amortization!$A$17:$A$1017,$B964))</f>
        <v/>
      </c>
      <c r="D964" s="17" t="str">
        <f>IF($A964="","",SUMIFS(Amortization!F$17:F$1017,Amortization!$A$17:$A$1017,$B964))</f>
        <v/>
      </c>
      <c r="E964" s="17" t="str">
        <f>IF($A964="","",SUMIFS(Amortization!G$17:G$1017,Amortization!$A$17:$A$1017,$B964))</f>
        <v/>
      </c>
    </row>
    <row r="965" spans="2:5" hidden="1" x14ac:dyDescent="0.3">
      <c r="B965" s="1" t="str">
        <f t="shared" si="15"/>
        <v/>
      </c>
      <c r="C965" s="17" t="str">
        <f>IF($A965="","",SUMIFS(Amortization!E$17:E$1017,Amortization!$A$17:$A$1017,$B965))</f>
        <v/>
      </c>
      <c r="D965" s="17" t="str">
        <f>IF($A965="","",SUMIFS(Amortization!F$17:F$1017,Amortization!$A$17:$A$1017,$B965))</f>
        <v/>
      </c>
      <c r="E965" s="17" t="str">
        <f>IF($A965="","",SUMIFS(Amortization!G$17:G$1017,Amortization!$A$17:$A$1017,$B965))</f>
        <v/>
      </c>
    </row>
    <row r="966" spans="2:5" hidden="1" x14ac:dyDescent="0.3">
      <c r="B966" s="1" t="str">
        <f t="shared" si="15"/>
        <v/>
      </c>
      <c r="C966" s="17" t="str">
        <f>IF($A966="","",SUMIFS(Amortization!E$17:E$1017,Amortization!$A$17:$A$1017,$B966))</f>
        <v/>
      </c>
      <c r="D966" s="17" t="str">
        <f>IF($A966="","",SUMIFS(Amortization!F$17:F$1017,Amortization!$A$17:$A$1017,$B966))</f>
        <v/>
      </c>
      <c r="E966" s="17" t="str">
        <f>IF($A966="","",SUMIFS(Amortization!G$17:G$1017,Amortization!$A$17:$A$1017,$B966))</f>
        <v/>
      </c>
    </row>
    <row r="967" spans="2:5" hidden="1" x14ac:dyDescent="0.3">
      <c r="B967" s="1" t="str">
        <f t="shared" si="15"/>
        <v/>
      </c>
      <c r="C967" s="17" t="str">
        <f>IF($A967="","",SUMIFS(Amortization!E$17:E$1017,Amortization!$A$17:$A$1017,$B967))</f>
        <v/>
      </c>
      <c r="D967" s="17" t="str">
        <f>IF($A967="","",SUMIFS(Amortization!F$17:F$1017,Amortization!$A$17:$A$1017,$B967))</f>
        <v/>
      </c>
      <c r="E967" s="17" t="str">
        <f>IF($A967="","",SUMIFS(Amortization!G$17:G$1017,Amortization!$A$17:$A$1017,$B967))</f>
        <v/>
      </c>
    </row>
    <row r="968" spans="2:5" hidden="1" x14ac:dyDescent="0.3">
      <c r="B968" s="1" t="str">
        <f t="shared" si="15"/>
        <v/>
      </c>
      <c r="C968" s="17" t="str">
        <f>IF($A968="","",SUMIFS(Amortization!E$17:E$1017,Amortization!$A$17:$A$1017,$B968))</f>
        <v/>
      </c>
      <c r="D968" s="17" t="str">
        <f>IF($A968="","",SUMIFS(Amortization!F$17:F$1017,Amortization!$A$17:$A$1017,$B968))</f>
        <v/>
      </c>
      <c r="E968" s="17" t="str">
        <f>IF($A968="","",SUMIFS(Amortization!G$17:G$1017,Amortization!$A$17:$A$1017,$B968))</f>
        <v/>
      </c>
    </row>
    <row r="969" spans="2:5" hidden="1" x14ac:dyDescent="0.3">
      <c r="B969" s="1" t="str">
        <f t="shared" si="15"/>
        <v/>
      </c>
      <c r="C969" s="17" t="str">
        <f>IF($A969="","",SUMIFS(Amortization!E$17:E$1017,Amortization!$A$17:$A$1017,$B969))</f>
        <v/>
      </c>
      <c r="D969" s="17" t="str">
        <f>IF($A969="","",SUMIFS(Amortization!F$17:F$1017,Amortization!$A$17:$A$1017,$B969))</f>
        <v/>
      </c>
      <c r="E969" s="17" t="str">
        <f>IF($A969="","",SUMIFS(Amortization!G$17:G$1017,Amortization!$A$17:$A$1017,$B969))</f>
        <v/>
      </c>
    </row>
    <row r="970" spans="2:5" hidden="1" x14ac:dyDescent="0.3">
      <c r="B970" s="1" t="str">
        <f t="shared" si="15"/>
        <v/>
      </c>
      <c r="C970" s="17" t="str">
        <f>IF($A970="","",SUMIFS(Amortization!E$17:E$1017,Amortization!$A$17:$A$1017,$B970))</f>
        <v/>
      </c>
      <c r="D970" s="17" t="str">
        <f>IF($A970="","",SUMIFS(Amortization!F$17:F$1017,Amortization!$A$17:$A$1017,$B970))</f>
        <v/>
      </c>
      <c r="E970" s="17" t="str">
        <f>IF($A970="","",SUMIFS(Amortization!G$17:G$1017,Amortization!$A$17:$A$1017,$B970))</f>
        <v/>
      </c>
    </row>
    <row r="971" spans="2:5" hidden="1" x14ac:dyDescent="0.3">
      <c r="B971" s="1" t="str">
        <f t="shared" si="15"/>
        <v/>
      </c>
      <c r="C971" s="17" t="str">
        <f>IF($A971="","",SUMIFS(Amortization!E$17:E$1017,Amortization!$A$17:$A$1017,$B971))</f>
        <v/>
      </c>
      <c r="D971" s="17" t="str">
        <f>IF($A971="","",SUMIFS(Amortization!F$17:F$1017,Amortization!$A$17:$A$1017,$B971))</f>
        <v/>
      </c>
      <c r="E971" s="17" t="str">
        <f>IF($A971="","",SUMIFS(Amortization!G$17:G$1017,Amortization!$A$17:$A$1017,$B971))</f>
        <v/>
      </c>
    </row>
    <row r="972" spans="2:5" hidden="1" x14ac:dyDescent="0.3">
      <c r="B972" s="1" t="str">
        <f t="shared" si="15"/>
        <v/>
      </c>
      <c r="C972" s="17" t="str">
        <f>IF($A972="","",SUMIFS(Amortization!E$17:E$1017,Amortization!$A$17:$A$1017,$B972))</f>
        <v/>
      </c>
      <c r="D972" s="17" t="str">
        <f>IF($A972="","",SUMIFS(Amortization!F$17:F$1017,Amortization!$A$17:$A$1017,$B972))</f>
        <v/>
      </c>
      <c r="E972" s="17" t="str">
        <f>IF($A972="","",SUMIFS(Amortization!G$17:G$1017,Amortization!$A$17:$A$1017,$B972))</f>
        <v/>
      </c>
    </row>
    <row r="973" spans="2:5" hidden="1" x14ac:dyDescent="0.3">
      <c r="B973" s="1" t="str">
        <f t="shared" si="15"/>
        <v/>
      </c>
      <c r="C973" s="17" t="str">
        <f>IF($A973="","",SUMIFS(Amortization!E$17:E$1017,Amortization!$A$17:$A$1017,$B973))</f>
        <v/>
      </c>
      <c r="D973" s="17" t="str">
        <f>IF($A973="","",SUMIFS(Amortization!F$17:F$1017,Amortization!$A$17:$A$1017,$B973))</f>
        <v/>
      </c>
      <c r="E973" s="17" t="str">
        <f>IF($A973="","",SUMIFS(Amortization!G$17:G$1017,Amortization!$A$17:$A$1017,$B973))</f>
        <v/>
      </c>
    </row>
    <row r="974" spans="2:5" hidden="1" x14ac:dyDescent="0.3">
      <c r="B974" s="1" t="str">
        <f t="shared" si="15"/>
        <v/>
      </c>
      <c r="C974" s="17" t="str">
        <f>IF($A974="","",SUMIFS(Amortization!E$17:E$1017,Amortization!$A$17:$A$1017,$B974))</f>
        <v/>
      </c>
      <c r="D974" s="17" t="str">
        <f>IF($A974="","",SUMIFS(Amortization!F$17:F$1017,Amortization!$A$17:$A$1017,$B974))</f>
        <v/>
      </c>
      <c r="E974" s="17" t="str">
        <f>IF($A974="","",SUMIFS(Amortization!G$17:G$1017,Amortization!$A$17:$A$1017,$B974))</f>
        <v/>
      </c>
    </row>
    <row r="975" spans="2:5" hidden="1" x14ac:dyDescent="0.3">
      <c r="B975" s="1" t="str">
        <f t="shared" si="15"/>
        <v/>
      </c>
      <c r="C975" s="17" t="str">
        <f>IF($A975="","",SUMIFS(Amortization!E$17:E$1017,Amortization!$A$17:$A$1017,$B975))</f>
        <v/>
      </c>
      <c r="D975" s="17" t="str">
        <f>IF($A975="","",SUMIFS(Amortization!F$17:F$1017,Amortization!$A$17:$A$1017,$B975))</f>
        <v/>
      </c>
      <c r="E975" s="17" t="str">
        <f>IF($A975="","",SUMIFS(Amortization!G$17:G$1017,Amortization!$A$17:$A$1017,$B975))</f>
        <v/>
      </c>
    </row>
    <row r="976" spans="2:5" hidden="1" x14ac:dyDescent="0.3">
      <c r="B976" s="1" t="str">
        <f t="shared" si="15"/>
        <v/>
      </c>
      <c r="C976" s="17" t="str">
        <f>IF($A976="","",SUMIFS(Amortization!E$17:E$1017,Amortization!$A$17:$A$1017,$B976))</f>
        <v/>
      </c>
      <c r="D976" s="17" t="str">
        <f>IF($A976="","",SUMIFS(Amortization!F$17:F$1017,Amortization!$A$17:$A$1017,$B976))</f>
        <v/>
      </c>
      <c r="E976" s="17" t="str">
        <f>IF($A976="","",SUMIFS(Amortization!G$17:G$1017,Amortization!$A$17:$A$1017,$B976))</f>
        <v/>
      </c>
    </row>
    <row r="977" spans="2:5" hidden="1" x14ac:dyDescent="0.3">
      <c r="B977" s="1" t="str">
        <f t="shared" si="15"/>
        <v/>
      </c>
      <c r="C977" s="17" t="str">
        <f>IF($A977="","",SUMIFS(Amortization!E$17:E$1017,Amortization!$A$17:$A$1017,$B977))</f>
        <v/>
      </c>
      <c r="D977" s="17" t="str">
        <f>IF($A977="","",SUMIFS(Amortization!F$17:F$1017,Amortization!$A$17:$A$1017,$B977))</f>
        <v/>
      </c>
      <c r="E977" s="17" t="str">
        <f>IF($A977="","",SUMIFS(Amortization!G$17:G$1017,Amortization!$A$17:$A$1017,$B977))</f>
        <v/>
      </c>
    </row>
    <row r="978" spans="2:5" hidden="1" x14ac:dyDescent="0.3">
      <c r="B978" s="1" t="str">
        <f t="shared" si="15"/>
        <v/>
      </c>
      <c r="C978" s="17" t="str">
        <f>IF($A978="","",SUMIFS(Amortization!E$17:E$1017,Amortization!$A$17:$A$1017,$B978))</f>
        <v/>
      </c>
      <c r="D978" s="17" t="str">
        <f>IF($A978="","",SUMIFS(Amortization!F$17:F$1017,Amortization!$A$17:$A$1017,$B978))</f>
        <v/>
      </c>
      <c r="E978" s="17" t="str">
        <f>IF($A978="","",SUMIFS(Amortization!G$17:G$1017,Amortization!$A$17:$A$1017,$B978))</f>
        <v/>
      </c>
    </row>
    <row r="979" spans="2:5" hidden="1" x14ac:dyDescent="0.3">
      <c r="B979" s="1" t="str">
        <f t="shared" ref="B979:B1018" si="16">IF(A979="","",B978+1)</f>
        <v/>
      </c>
      <c r="C979" s="17" t="str">
        <f>IF($A979="","",SUMIFS(Amortization!E$17:E$1017,Amortization!$A$17:$A$1017,$B979))</f>
        <v/>
      </c>
      <c r="D979" s="17" t="str">
        <f>IF($A979="","",SUMIFS(Amortization!F$17:F$1017,Amortization!$A$17:$A$1017,$B979))</f>
        <v/>
      </c>
      <c r="E979" s="17" t="str">
        <f>IF($A979="","",SUMIFS(Amortization!G$17:G$1017,Amortization!$A$17:$A$1017,$B979))</f>
        <v/>
      </c>
    </row>
    <row r="980" spans="2:5" hidden="1" x14ac:dyDescent="0.3">
      <c r="B980" s="1" t="str">
        <f t="shared" si="16"/>
        <v/>
      </c>
      <c r="C980" s="17" t="str">
        <f>IF($A980="","",SUMIFS(Amortization!E$17:E$1017,Amortization!$A$17:$A$1017,$B980))</f>
        <v/>
      </c>
      <c r="D980" s="17" t="str">
        <f>IF($A980="","",SUMIFS(Amortization!F$17:F$1017,Amortization!$A$17:$A$1017,$B980))</f>
        <v/>
      </c>
      <c r="E980" s="17" t="str">
        <f>IF($A980="","",SUMIFS(Amortization!G$17:G$1017,Amortization!$A$17:$A$1017,$B980))</f>
        <v/>
      </c>
    </row>
    <row r="981" spans="2:5" hidden="1" x14ac:dyDescent="0.3">
      <c r="B981" s="1" t="str">
        <f t="shared" si="16"/>
        <v/>
      </c>
      <c r="C981" s="17" t="str">
        <f>IF($A981="","",SUMIFS(Amortization!E$17:E$1017,Amortization!$A$17:$A$1017,$B981))</f>
        <v/>
      </c>
      <c r="D981" s="17" t="str">
        <f>IF($A981="","",SUMIFS(Amortization!F$17:F$1017,Amortization!$A$17:$A$1017,$B981))</f>
        <v/>
      </c>
      <c r="E981" s="17" t="str">
        <f>IF($A981="","",SUMIFS(Amortization!G$17:G$1017,Amortization!$A$17:$A$1017,$B981))</f>
        <v/>
      </c>
    </row>
    <row r="982" spans="2:5" hidden="1" x14ac:dyDescent="0.3">
      <c r="B982" s="1" t="str">
        <f t="shared" si="16"/>
        <v/>
      </c>
      <c r="C982" s="17" t="str">
        <f>IF($A982="","",SUMIFS(Amortization!E$17:E$1017,Amortization!$A$17:$A$1017,$B982))</f>
        <v/>
      </c>
      <c r="D982" s="17" t="str">
        <f>IF($A982="","",SUMIFS(Amortization!F$17:F$1017,Amortization!$A$17:$A$1017,$B982))</f>
        <v/>
      </c>
      <c r="E982" s="17" t="str">
        <f>IF($A982="","",SUMIFS(Amortization!G$17:G$1017,Amortization!$A$17:$A$1017,$B982))</f>
        <v/>
      </c>
    </row>
    <row r="983" spans="2:5" hidden="1" x14ac:dyDescent="0.3">
      <c r="B983" s="1" t="str">
        <f t="shared" si="16"/>
        <v/>
      </c>
      <c r="C983" s="17" t="str">
        <f>IF($A983="","",SUMIFS(Amortization!E$17:E$1017,Amortization!$A$17:$A$1017,$B983))</f>
        <v/>
      </c>
      <c r="D983" s="17" t="str">
        <f>IF($A983="","",SUMIFS(Amortization!F$17:F$1017,Amortization!$A$17:$A$1017,$B983))</f>
        <v/>
      </c>
      <c r="E983" s="17" t="str">
        <f>IF($A983="","",SUMIFS(Amortization!G$17:G$1017,Amortization!$A$17:$A$1017,$B983))</f>
        <v/>
      </c>
    </row>
    <row r="984" spans="2:5" hidden="1" x14ac:dyDescent="0.3">
      <c r="B984" s="1" t="str">
        <f t="shared" si="16"/>
        <v/>
      </c>
      <c r="C984" s="17" t="str">
        <f>IF($A984="","",SUMIFS(Amortization!E$17:E$1017,Amortization!$A$17:$A$1017,$B984))</f>
        <v/>
      </c>
      <c r="D984" s="17" t="str">
        <f>IF($A984="","",SUMIFS(Amortization!F$17:F$1017,Amortization!$A$17:$A$1017,$B984))</f>
        <v/>
      </c>
      <c r="E984" s="17" t="str">
        <f>IF($A984="","",SUMIFS(Amortization!G$17:G$1017,Amortization!$A$17:$A$1017,$B984))</f>
        <v/>
      </c>
    </row>
    <row r="985" spans="2:5" hidden="1" x14ac:dyDescent="0.3">
      <c r="B985" s="1" t="str">
        <f t="shared" si="16"/>
        <v/>
      </c>
      <c r="C985" s="17" t="str">
        <f>IF($A985="","",SUMIFS(Amortization!E$17:E$1017,Amortization!$A$17:$A$1017,$B985))</f>
        <v/>
      </c>
      <c r="D985" s="17" t="str">
        <f>IF($A985="","",SUMIFS(Amortization!F$17:F$1017,Amortization!$A$17:$A$1017,$B985))</f>
        <v/>
      </c>
      <c r="E985" s="17" t="str">
        <f>IF($A985="","",SUMIFS(Amortization!G$17:G$1017,Amortization!$A$17:$A$1017,$B985))</f>
        <v/>
      </c>
    </row>
    <row r="986" spans="2:5" hidden="1" x14ac:dyDescent="0.3">
      <c r="B986" s="1" t="str">
        <f t="shared" si="16"/>
        <v/>
      </c>
      <c r="C986" s="17" t="str">
        <f>IF($A986="","",SUMIFS(Amortization!E$17:E$1017,Amortization!$A$17:$A$1017,$B986))</f>
        <v/>
      </c>
      <c r="D986" s="17" t="str">
        <f>IF($A986="","",SUMIFS(Amortization!F$17:F$1017,Amortization!$A$17:$A$1017,$B986))</f>
        <v/>
      </c>
      <c r="E986" s="17" t="str">
        <f>IF($A986="","",SUMIFS(Amortization!G$17:G$1017,Amortization!$A$17:$A$1017,$B986))</f>
        <v/>
      </c>
    </row>
    <row r="987" spans="2:5" hidden="1" x14ac:dyDescent="0.3">
      <c r="B987" s="1" t="str">
        <f t="shared" si="16"/>
        <v/>
      </c>
      <c r="C987" s="17" t="str">
        <f>IF($A987="","",SUMIFS(Amortization!E$17:E$1017,Amortization!$A$17:$A$1017,$B987))</f>
        <v/>
      </c>
      <c r="D987" s="17" t="str">
        <f>IF($A987="","",SUMIFS(Amortization!F$17:F$1017,Amortization!$A$17:$A$1017,$B987))</f>
        <v/>
      </c>
      <c r="E987" s="17" t="str">
        <f>IF($A987="","",SUMIFS(Amortization!G$17:G$1017,Amortization!$A$17:$A$1017,$B987))</f>
        <v/>
      </c>
    </row>
    <row r="988" spans="2:5" hidden="1" x14ac:dyDescent="0.3">
      <c r="B988" s="1" t="str">
        <f t="shared" si="16"/>
        <v/>
      </c>
      <c r="C988" s="17" t="str">
        <f>IF($A988="","",SUMIFS(Amortization!E$17:E$1017,Amortization!$A$17:$A$1017,$B988))</f>
        <v/>
      </c>
      <c r="D988" s="17" t="str">
        <f>IF($A988="","",SUMIFS(Amortization!F$17:F$1017,Amortization!$A$17:$A$1017,$B988))</f>
        <v/>
      </c>
      <c r="E988" s="17" t="str">
        <f>IF($A988="","",SUMIFS(Amortization!G$17:G$1017,Amortization!$A$17:$A$1017,$B988))</f>
        <v/>
      </c>
    </row>
    <row r="989" spans="2:5" hidden="1" x14ac:dyDescent="0.3">
      <c r="B989" s="1" t="str">
        <f t="shared" si="16"/>
        <v/>
      </c>
      <c r="C989" s="17" t="str">
        <f>IF($A989="","",SUMIFS(Amortization!E$17:E$1017,Amortization!$A$17:$A$1017,$B989))</f>
        <v/>
      </c>
      <c r="D989" s="17" t="str">
        <f>IF($A989="","",SUMIFS(Amortization!F$17:F$1017,Amortization!$A$17:$A$1017,$B989))</f>
        <v/>
      </c>
      <c r="E989" s="17" t="str">
        <f>IF($A989="","",SUMIFS(Amortization!G$17:G$1017,Amortization!$A$17:$A$1017,$B989))</f>
        <v/>
      </c>
    </row>
    <row r="990" spans="2:5" hidden="1" x14ac:dyDescent="0.3">
      <c r="B990" s="1" t="str">
        <f t="shared" si="16"/>
        <v/>
      </c>
      <c r="C990" s="17" t="str">
        <f>IF($A990="","",SUMIFS(Amortization!E$17:E$1017,Amortization!$A$17:$A$1017,$B990))</f>
        <v/>
      </c>
      <c r="D990" s="17" t="str">
        <f>IF($A990="","",SUMIFS(Amortization!F$17:F$1017,Amortization!$A$17:$A$1017,$B990))</f>
        <v/>
      </c>
      <c r="E990" s="17" t="str">
        <f>IF($A990="","",SUMIFS(Amortization!G$17:G$1017,Amortization!$A$17:$A$1017,$B990))</f>
        <v/>
      </c>
    </row>
    <row r="991" spans="2:5" hidden="1" x14ac:dyDescent="0.3">
      <c r="B991" s="1" t="str">
        <f t="shared" si="16"/>
        <v/>
      </c>
      <c r="C991" s="17" t="str">
        <f>IF($A991="","",SUMIFS(Amortization!E$17:E$1017,Amortization!$A$17:$A$1017,$B991))</f>
        <v/>
      </c>
      <c r="D991" s="17" t="str">
        <f>IF($A991="","",SUMIFS(Amortization!F$17:F$1017,Amortization!$A$17:$A$1017,$B991))</f>
        <v/>
      </c>
      <c r="E991" s="17" t="str">
        <f>IF($A991="","",SUMIFS(Amortization!G$17:G$1017,Amortization!$A$17:$A$1017,$B991))</f>
        <v/>
      </c>
    </row>
    <row r="992" spans="2:5" hidden="1" x14ac:dyDescent="0.3">
      <c r="B992" s="1" t="str">
        <f t="shared" si="16"/>
        <v/>
      </c>
      <c r="C992" s="17" t="str">
        <f>IF($A992="","",SUMIFS(Amortization!E$17:E$1017,Amortization!$A$17:$A$1017,$B992))</f>
        <v/>
      </c>
      <c r="D992" s="17" t="str">
        <f>IF($A992="","",SUMIFS(Amortization!F$17:F$1017,Amortization!$A$17:$A$1017,$B992))</f>
        <v/>
      </c>
      <c r="E992" s="17" t="str">
        <f>IF($A992="","",SUMIFS(Amortization!G$17:G$1017,Amortization!$A$17:$A$1017,$B992))</f>
        <v/>
      </c>
    </row>
    <row r="993" spans="2:5" hidden="1" x14ac:dyDescent="0.3">
      <c r="B993" s="1" t="str">
        <f t="shared" si="16"/>
        <v/>
      </c>
      <c r="C993" s="17" t="str">
        <f>IF($A993="","",SUMIFS(Amortization!E$17:E$1017,Amortization!$A$17:$A$1017,$B993))</f>
        <v/>
      </c>
      <c r="D993" s="17" t="str">
        <f>IF($A993="","",SUMIFS(Amortization!F$17:F$1017,Amortization!$A$17:$A$1017,$B993))</f>
        <v/>
      </c>
      <c r="E993" s="17" t="str">
        <f>IF($A993="","",SUMIFS(Amortization!G$17:G$1017,Amortization!$A$17:$A$1017,$B993))</f>
        <v/>
      </c>
    </row>
    <row r="994" spans="2:5" hidden="1" x14ac:dyDescent="0.3">
      <c r="B994" s="1" t="str">
        <f t="shared" si="16"/>
        <v/>
      </c>
      <c r="C994" s="17" t="str">
        <f>IF($A994="","",SUMIFS(Amortization!E$17:E$1017,Amortization!$A$17:$A$1017,$B994))</f>
        <v/>
      </c>
      <c r="D994" s="17" t="str">
        <f>IF($A994="","",SUMIFS(Amortization!F$17:F$1017,Amortization!$A$17:$A$1017,$B994))</f>
        <v/>
      </c>
      <c r="E994" s="17" t="str">
        <f>IF($A994="","",SUMIFS(Amortization!G$17:G$1017,Amortization!$A$17:$A$1017,$B994))</f>
        <v/>
      </c>
    </row>
    <row r="995" spans="2:5" hidden="1" x14ac:dyDescent="0.3">
      <c r="B995" s="1" t="str">
        <f t="shared" si="16"/>
        <v/>
      </c>
      <c r="C995" s="17" t="str">
        <f>IF($A995="","",SUMIFS(Amortization!E$17:E$1017,Amortization!$A$17:$A$1017,$B995))</f>
        <v/>
      </c>
      <c r="D995" s="17" t="str">
        <f>IF($A995="","",SUMIFS(Amortization!F$17:F$1017,Amortization!$A$17:$A$1017,$B995))</f>
        <v/>
      </c>
      <c r="E995" s="17" t="str">
        <f>IF($A995="","",SUMIFS(Amortization!G$17:G$1017,Amortization!$A$17:$A$1017,$B995))</f>
        <v/>
      </c>
    </row>
    <row r="996" spans="2:5" hidden="1" x14ac:dyDescent="0.3">
      <c r="B996" s="1" t="str">
        <f t="shared" si="16"/>
        <v/>
      </c>
      <c r="C996" s="17" t="str">
        <f>IF($A996="","",SUMIFS(Amortization!E$17:E$1017,Amortization!$A$17:$A$1017,$B996))</f>
        <v/>
      </c>
      <c r="D996" s="17" t="str">
        <f>IF($A996="","",SUMIFS(Amortization!F$17:F$1017,Amortization!$A$17:$A$1017,$B996))</f>
        <v/>
      </c>
      <c r="E996" s="17" t="str">
        <f>IF($A996="","",SUMIFS(Amortization!G$17:G$1017,Amortization!$A$17:$A$1017,$B996))</f>
        <v/>
      </c>
    </row>
    <row r="997" spans="2:5" hidden="1" x14ac:dyDescent="0.3">
      <c r="B997" s="1" t="str">
        <f t="shared" si="16"/>
        <v/>
      </c>
      <c r="C997" s="17" t="str">
        <f>IF($A997="","",SUMIFS(Amortization!E$17:E$1017,Amortization!$A$17:$A$1017,$B997))</f>
        <v/>
      </c>
      <c r="D997" s="17" t="str">
        <f>IF($A997="","",SUMIFS(Amortization!F$17:F$1017,Amortization!$A$17:$A$1017,$B997))</f>
        <v/>
      </c>
      <c r="E997" s="17" t="str">
        <f>IF($A997="","",SUMIFS(Amortization!G$17:G$1017,Amortization!$A$17:$A$1017,$B997))</f>
        <v/>
      </c>
    </row>
    <row r="998" spans="2:5" hidden="1" x14ac:dyDescent="0.3">
      <c r="B998" s="1" t="str">
        <f t="shared" si="16"/>
        <v/>
      </c>
      <c r="C998" s="17" t="str">
        <f>IF($A998="","",SUMIFS(Amortization!E$17:E$1017,Amortization!$A$17:$A$1017,$B998))</f>
        <v/>
      </c>
      <c r="D998" s="17" t="str">
        <f>IF($A998="","",SUMIFS(Amortization!F$17:F$1017,Amortization!$A$17:$A$1017,$B998))</f>
        <v/>
      </c>
      <c r="E998" s="17" t="str">
        <f>IF($A998="","",SUMIFS(Amortization!G$17:G$1017,Amortization!$A$17:$A$1017,$B998))</f>
        <v/>
      </c>
    </row>
    <row r="999" spans="2:5" hidden="1" x14ac:dyDescent="0.3">
      <c r="B999" s="1" t="str">
        <f t="shared" si="16"/>
        <v/>
      </c>
      <c r="C999" s="17" t="str">
        <f>IF($A999="","",SUMIFS(Amortization!E$17:E$1017,Amortization!$A$17:$A$1017,$B999))</f>
        <v/>
      </c>
      <c r="D999" s="17" t="str">
        <f>IF($A999="","",SUMIFS(Amortization!F$17:F$1017,Amortization!$A$17:$A$1017,$B999))</f>
        <v/>
      </c>
      <c r="E999" s="17" t="str">
        <f>IF($A999="","",SUMIFS(Amortization!G$17:G$1017,Amortization!$A$17:$A$1017,$B999))</f>
        <v/>
      </c>
    </row>
    <row r="1000" spans="2:5" hidden="1" x14ac:dyDescent="0.3">
      <c r="B1000" s="1" t="str">
        <f t="shared" si="16"/>
        <v/>
      </c>
      <c r="C1000" s="17" t="str">
        <f>IF($A1000="","",SUMIFS(Amortization!E$17:E$1017,Amortization!$A$17:$A$1017,$B1000))</f>
        <v/>
      </c>
      <c r="D1000" s="17" t="str">
        <f>IF($A1000="","",SUMIFS(Amortization!F$17:F$1017,Amortization!$A$17:$A$1017,$B1000))</f>
        <v/>
      </c>
      <c r="E1000" s="17" t="str">
        <f>IF($A1000="","",SUMIFS(Amortization!G$17:G$1017,Amortization!$A$17:$A$1017,$B1000))</f>
        <v/>
      </c>
    </row>
    <row r="1001" spans="2:5" hidden="1" x14ac:dyDescent="0.3">
      <c r="B1001" s="1" t="str">
        <f t="shared" si="16"/>
        <v/>
      </c>
      <c r="C1001" s="17" t="str">
        <f>IF($A1001="","",SUMIFS(Amortization!E$17:E$1017,Amortization!$A$17:$A$1017,$B1001))</f>
        <v/>
      </c>
      <c r="D1001" s="17" t="str">
        <f>IF($A1001="","",SUMIFS(Amortization!F$17:F$1017,Amortization!$A$17:$A$1017,$B1001))</f>
        <v/>
      </c>
      <c r="E1001" s="17" t="str">
        <f>IF($A1001="","",SUMIFS(Amortization!G$17:G$1017,Amortization!$A$17:$A$1017,$B1001))</f>
        <v/>
      </c>
    </row>
    <row r="1002" spans="2:5" hidden="1" x14ac:dyDescent="0.3">
      <c r="B1002" s="1" t="str">
        <f t="shared" si="16"/>
        <v/>
      </c>
      <c r="C1002" s="17" t="str">
        <f>IF($A1002="","",SUMIFS(Amortization!E$17:E$1017,Amortization!$A$17:$A$1017,$B1002))</f>
        <v/>
      </c>
      <c r="D1002" s="17" t="str">
        <f>IF($A1002="","",SUMIFS(Amortization!F$17:F$1017,Amortization!$A$17:$A$1017,$B1002))</f>
        <v/>
      </c>
      <c r="E1002" s="17" t="str">
        <f>IF($A1002="","",SUMIFS(Amortization!G$17:G$1017,Amortization!$A$17:$A$1017,$B1002))</f>
        <v/>
      </c>
    </row>
    <row r="1003" spans="2:5" hidden="1" x14ac:dyDescent="0.3">
      <c r="B1003" s="1" t="str">
        <f t="shared" si="16"/>
        <v/>
      </c>
      <c r="C1003" s="17" t="str">
        <f>IF($A1003="","",SUMIFS(Amortization!E$17:E$1017,Amortization!$A$17:$A$1017,$B1003))</f>
        <v/>
      </c>
      <c r="D1003" s="17" t="str">
        <f>IF($A1003="","",SUMIFS(Amortization!F$17:F$1017,Amortization!$A$17:$A$1017,$B1003))</f>
        <v/>
      </c>
      <c r="E1003" s="17" t="str">
        <f>IF($A1003="","",SUMIFS(Amortization!G$17:G$1017,Amortization!$A$17:$A$1017,$B1003))</f>
        <v/>
      </c>
    </row>
    <row r="1004" spans="2:5" hidden="1" x14ac:dyDescent="0.3">
      <c r="B1004" s="1" t="str">
        <f t="shared" si="16"/>
        <v/>
      </c>
      <c r="C1004" s="17" t="str">
        <f>IF($A1004="","",SUMIFS(Amortization!E$17:E$1017,Amortization!$A$17:$A$1017,$B1004))</f>
        <v/>
      </c>
      <c r="D1004" s="17" t="str">
        <f>IF($A1004="","",SUMIFS(Amortization!F$17:F$1017,Amortization!$A$17:$A$1017,$B1004))</f>
        <v/>
      </c>
      <c r="E1004" s="17" t="str">
        <f>IF($A1004="","",SUMIFS(Amortization!G$17:G$1017,Amortization!$A$17:$A$1017,$B1004))</f>
        <v/>
      </c>
    </row>
    <row r="1005" spans="2:5" hidden="1" x14ac:dyDescent="0.3">
      <c r="B1005" s="1" t="str">
        <f t="shared" si="16"/>
        <v/>
      </c>
      <c r="C1005" s="17" t="str">
        <f>IF($A1005="","",SUMIFS(Amortization!E$17:E$1017,Amortization!$A$17:$A$1017,$B1005))</f>
        <v/>
      </c>
      <c r="D1005" s="17" t="str">
        <f>IF($A1005="","",SUMIFS(Amortization!F$17:F$1017,Amortization!$A$17:$A$1017,$B1005))</f>
        <v/>
      </c>
      <c r="E1005" s="17" t="str">
        <f>IF($A1005="","",SUMIFS(Amortization!G$17:G$1017,Amortization!$A$17:$A$1017,$B1005))</f>
        <v/>
      </c>
    </row>
    <row r="1006" spans="2:5" hidden="1" x14ac:dyDescent="0.3">
      <c r="B1006" s="1" t="str">
        <f t="shared" si="16"/>
        <v/>
      </c>
      <c r="C1006" s="17" t="str">
        <f>IF($A1006="","",SUMIFS(Amortization!E$17:E$1017,Amortization!$A$17:$A$1017,$B1006))</f>
        <v/>
      </c>
      <c r="D1006" s="17" t="str">
        <f>IF($A1006="","",SUMIFS(Amortization!F$17:F$1017,Amortization!$A$17:$A$1017,$B1006))</f>
        <v/>
      </c>
      <c r="E1006" s="17" t="str">
        <f>IF($A1006="","",SUMIFS(Amortization!G$17:G$1017,Amortization!$A$17:$A$1017,$B1006))</f>
        <v/>
      </c>
    </row>
    <row r="1007" spans="2:5" hidden="1" x14ac:dyDescent="0.3">
      <c r="B1007" s="1" t="str">
        <f t="shared" si="16"/>
        <v/>
      </c>
      <c r="C1007" s="17" t="str">
        <f>IF($A1007="","",SUMIFS(Amortization!E$17:E$1017,Amortization!$A$17:$A$1017,$B1007))</f>
        <v/>
      </c>
      <c r="D1007" s="17" t="str">
        <f>IF($A1007="","",SUMIFS(Amortization!F$17:F$1017,Amortization!$A$17:$A$1017,$B1007))</f>
        <v/>
      </c>
      <c r="E1007" s="17" t="str">
        <f>IF($A1007="","",SUMIFS(Amortization!G$17:G$1017,Amortization!$A$17:$A$1017,$B1007))</f>
        <v/>
      </c>
    </row>
    <row r="1008" spans="2:5" hidden="1" x14ac:dyDescent="0.3">
      <c r="B1008" s="1" t="str">
        <f t="shared" si="16"/>
        <v/>
      </c>
      <c r="C1008" s="17" t="str">
        <f>IF($A1008="","",SUMIFS(Amortization!E$17:E$1017,Amortization!$A$17:$A$1017,$B1008))</f>
        <v/>
      </c>
      <c r="D1008" s="17" t="str">
        <f>IF($A1008="","",SUMIFS(Amortization!F$17:F$1017,Amortization!$A$17:$A$1017,$B1008))</f>
        <v/>
      </c>
      <c r="E1008" s="17" t="str">
        <f>IF($A1008="","",SUMIFS(Amortization!G$17:G$1017,Amortization!$A$17:$A$1017,$B1008))</f>
        <v/>
      </c>
    </row>
    <row r="1009" spans="2:5" hidden="1" x14ac:dyDescent="0.3">
      <c r="B1009" s="1" t="str">
        <f t="shared" si="16"/>
        <v/>
      </c>
      <c r="C1009" s="17" t="str">
        <f>IF($A1009="","",SUMIFS(Amortization!E$17:E$1017,Amortization!$A$17:$A$1017,$B1009))</f>
        <v/>
      </c>
      <c r="D1009" s="17" t="str">
        <f>IF($A1009="","",SUMIFS(Amortization!F$17:F$1017,Amortization!$A$17:$A$1017,$B1009))</f>
        <v/>
      </c>
      <c r="E1009" s="17" t="str">
        <f>IF($A1009="","",SUMIFS(Amortization!G$17:G$1017,Amortization!$A$17:$A$1017,$B1009))</f>
        <v/>
      </c>
    </row>
    <row r="1010" spans="2:5" hidden="1" x14ac:dyDescent="0.3">
      <c r="B1010" s="1" t="str">
        <f t="shared" si="16"/>
        <v/>
      </c>
      <c r="C1010" s="17" t="str">
        <f>IF($A1010="","",SUMIFS(Amortization!E$17:E$1017,Amortization!$A$17:$A$1017,$B1010))</f>
        <v/>
      </c>
      <c r="D1010" s="17" t="str">
        <f>IF($A1010="","",SUMIFS(Amortization!F$17:F$1017,Amortization!$A$17:$A$1017,$B1010))</f>
        <v/>
      </c>
      <c r="E1010" s="17" t="str">
        <f>IF($A1010="","",SUMIFS(Amortization!G$17:G$1017,Amortization!$A$17:$A$1017,$B1010))</f>
        <v/>
      </c>
    </row>
    <row r="1011" spans="2:5" hidden="1" x14ac:dyDescent="0.3">
      <c r="B1011" s="1" t="str">
        <f t="shared" si="16"/>
        <v/>
      </c>
      <c r="C1011" s="17" t="str">
        <f>IF($A1011="","",SUMIFS(Amortization!E$17:E$1017,Amortization!$A$17:$A$1017,$B1011))</f>
        <v/>
      </c>
      <c r="D1011" s="17" t="str">
        <f>IF($A1011="","",SUMIFS(Amortization!F$17:F$1017,Amortization!$A$17:$A$1017,$B1011))</f>
        <v/>
      </c>
      <c r="E1011" s="17" t="str">
        <f>IF($A1011="","",SUMIFS(Amortization!G$17:G$1017,Amortization!$A$17:$A$1017,$B1011))</f>
        <v/>
      </c>
    </row>
    <row r="1012" spans="2:5" hidden="1" x14ac:dyDescent="0.3">
      <c r="B1012" s="1" t="str">
        <f t="shared" si="16"/>
        <v/>
      </c>
      <c r="C1012" s="17" t="str">
        <f>IF($A1012="","",SUMIFS(Amortization!E$17:E$1017,Amortization!$A$17:$A$1017,$B1012))</f>
        <v/>
      </c>
      <c r="D1012" s="17" t="str">
        <f>IF($A1012="","",SUMIFS(Amortization!F$17:F$1017,Amortization!$A$17:$A$1017,$B1012))</f>
        <v/>
      </c>
      <c r="E1012" s="17" t="str">
        <f>IF($A1012="","",SUMIFS(Amortization!G$17:G$1017,Amortization!$A$17:$A$1017,$B1012))</f>
        <v/>
      </c>
    </row>
    <row r="1013" spans="2:5" hidden="1" x14ac:dyDescent="0.3">
      <c r="B1013" s="1" t="str">
        <f t="shared" si="16"/>
        <v/>
      </c>
      <c r="C1013" s="17" t="str">
        <f>IF($A1013="","",SUMIFS(Amortization!E$17:E$1017,Amortization!$A$17:$A$1017,$B1013))</f>
        <v/>
      </c>
      <c r="D1013" s="17" t="str">
        <f>IF($A1013="","",SUMIFS(Amortization!F$17:F$1017,Amortization!$A$17:$A$1017,$B1013))</f>
        <v/>
      </c>
      <c r="E1013" s="17" t="str">
        <f>IF($A1013="","",SUMIFS(Amortization!G$17:G$1017,Amortization!$A$17:$A$1017,$B1013))</f>
        <v/>
      </c>
    </row>
    <row r="1014" spans="2:5" hidden="1" x14ac:dyDescent="0.3">
      <c r="B1014" s="1" t="str">
        <f t="shared" si="16"/>
        <v/>
      </c>
      <c r="C1014" s="17" t="str">
        <f>IF($A1014="","",SUMIFS(Amortization!E$17:E$1017,Amortization!$A$17:$A$1017,$B1014))</f>
        <v/>
      </c>
      <c r="D1014" s="17" t="str">
        <f>IF($A1014="","",SUMIFS(Amortization!F$17:F$1017,Amortization!$A$17:$A$1017,$B1014))</f>
        <v/>
      </c>
      <c r="E1014" s="17" t="str">
        <f>IF($A1014="","",SUMIFS(Amortization!G$17:G$1017,Amortization!$A$17:$A$1017,$B1014))</f>
        <v/>
      </c>
    </row>
    <row r="1015" spans="2:5" hidden="1" x14ac:dyDescent="0.3">
      <c r="B1015" s="1" t="str">
        <f t="shared" si="16"/>
        <v/>
      </c>
      <c r="C1015" s="17" t="str">
        <f>IF($A1015="","",SUMIFS(Amortization!E$17:E$1017,Amortization!$A$17:$A$1017,$B1015))</f>
        <v/>
      </c>
      <c r="D1015" s="17" t="str">
        <f>IF($A1015="","",SUMIFS(Amortization!F$17:F$1017,Amortization!$A$17:$A$1017,$B1015))</f>
        <v/>
      </c>
      <c r="E1015" s="17" t="str">
        <f>IF($A1015="","",SUMIFS(Amortization!G$17:G$1017,Amortization!$A$17:$A$1017,$B1015))</f>
        <v/>
      </c>
    </row>
    <row r="1016" spans="2:5" hidden="1" x14ac:dyDescent="0.3">
      <c r="B1016" s="1" t="str">
        <f t="shared" si="16"/>
        <v/>
      </c>
      <c r="C1016" s="17" t="str">
        <f>IF($A1016="","",SUMIFS(Amortization!E$17:E$1017,Amortization!$A$17:$A$1017,$B1016))</f>
        <v/>
      </c>
      <c r="D1016" s="17" t="str">
        <f>IF($A1016="","",SUMIFS(Amortization!F$17:F$1017,Amortization!$A$17:$A$1017,$B1016))</f>
        <v/>
      </c>
      <c r="E1016" s="17" t="str">
        <f>IF($A1016="","",SUMIFS(Amortization!G$17:G$1017,Amortization!$A$17:$A$1017,$B1016))</f>
        <v/>
      </c>
    </row>
    <row r="1017" spans="2:5" hidden="1" x14ac:dyDescent="0.3">
      <c r="B1017" s="1" t="str">
        <f t="shared" si="16"/>
        <v/>
      </c>
      <c r="C1017" s="17" t="str">
        <f>IF($A1017="","",SUMIFS(Amortization!E$17:E$1017,Amortization!$A$17:$A$1017,$B1017))</f>
        <v/>
      </c>
      <c r="D1017" s="17" t="str">
        <f>IF($A1017="","",SUMIFS(Amortization!F$17:F$1017,Amortization!$A$17:$A$1017,$B1017))</f>
        <v/>
      </c>
      <c r="E1017" s="17" t="str">
        <f>IF($A1017="","",SUMIFS(Amortization!G$17:G$1017,Amortization!$A$17:$A$1017,$B1017))</f>
        <v/>
      </c>
    </row>
    <row r="1018" spans="2:5" hidden="1" x14ac:dyDescent="0.3">
      <c r="B1018" s="1" t="str">
        <f t="shared" si="16"/>
        <v/>
      </c>
      <c r="C1018" s="17" t="str">
        <f>IF($A1018="","",SUMIFS(Amortization!E$17:E$1017,Amortization!$A$17:$A$1017,$B1018))</f>
        <v/>
      </c>
      <c r="D1018" s="17" t="str">
        <f>IF($A1018="","",SUMIFS(Amortization!F$17:F$1017,Amortization!$A$17:$A$1017,$B1018))</f>
        <v/>
      </c>
      <c r="E1018" s="17" t="str">
        <f>IF($A1018="","",SUMIFS(Amortization!G$17:G$1017,Amortization!$A$17:$A$1017,$B1018))</f>
        <v/>
      </c>
    </row>
  </sheetData>
  <autoFilter ref="A17:Y1018" xr:uid="{B34106FC-A4AD-48A3-A1FD-E4B1555D23CB}">
    <filterColumn colId="1">
      <customFilters>
        <customFilter operator="notEqual" val=" "/>
      </customFilters>
    </filterColumn>
  </autoFilter>
  <mergeCells count="8">
    <mergeCell ref="A1:F5"/>
    <mergeCell ref="B14:C14"/>
    <mergeCell ref="A7:G7"/>
    <mergeCell ref="B11:C11"/>
    <mergeCell ref="D11:E11"/>
    <mergeCell ref="B12:C12"/>
    <mergeCell ref="D12:E12"/>
    <mergeCell ref="B13:C13"/>
  </mergeCells>
  <pageMargins left="0.7" right="0.7" top="0.75" bottom="0.75" header="0.3" footer="0.3"/>
  <pageSetup orientation="portrait" r:id="rId1"/>
  <headerFooter>
    <oddFooter>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E11B-B5D1-4938-A6D1-86C682C22672}">
  <sheetPr codeName="Sheet4">
    <tabColor theme="5"/>
  </sheetPr>
  <dimension ref="A1:D3"/>
  <sheetViews>
    <sheetView workbookViewId="0">
      <selection activeCell="C3" sqref="C3"/>
    </sheetView>
  </sheetViews>
  <sheetFormatPr defaultRowHeight="14.4" x14ac:dyDescent="0.3"/>
  <cols>
    <col min="1" max="1" width="9.5546875" bestFit="1" customWidth="1"/>
  </cols>
  <sheetData>
    <row r="1" spans="1:4" x14ac:dyDescent="0.3">
      <c r="B1" t="s">
        <v>28</v>
      </c>
      <c r="C1" t="s">
        <v>29</v>
      </c>
      <c r="D1" t="s">
        <v>23</v>
      </c>
    </row>
    <row r="2" spans="1:4" x14ac:dyDescent="0.3">
      <c r="A2" s="14">
        <f>INPUTS!B7</f>
        <v>45345</v>
      </c>
      <c r="B2">
        <f>MONTH(A2)</f>
        <v>2</v>
      </c>
      <c r="C2">
        <f>DAY(A2)</f>
        <v>23</v>
      </c>
      <c r="D2">
        <f>YEAR(A2)</f>
        <v>2024</v>
      </c>
    </row>
    <row r="3" spans="1:4" x14ac:dyDescent="0.3">
      <c r="A3" s="14">
        <f>Amortization!D18</f>
        <v>38069</v>
      </c>
      <c r="B3">
        <f>MONTH(A3)</f>
        <v>3</v>
      </c>
      <c r="C3">
        <f>DAY(A3)</f>
        <v>23</v>
      </c>
      <c r="D3">
        <f>YEAR(A3)</f>
        <v>2004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</vt:lpstr>
      <vt:lpstr>Amortization</vt:lpstr>
      <vt:lpstr>Yearly Totals</vt:lpstr>
      <vt:lpstr>Txt_Dates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Isaiah Gains</dc:creator>
  <cp:lastModifiedBy>Isaiah Gains</cp:lastModifiedBy>
  <cp:lastPrinted>2024-03-30T10:02:27Z</cp:lastPrinted>
  <dcterms:created xsi:type="dcterms:W3CDTF">2023-03-05T21:52:21Z</dcterms:created>
  <dcterms:modified xsi:type="dcterms:W3CDTF">2025-01-22T14:58:24Z</dcterms:modified>
</cp:coreProperties>
</file>