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Gai\Desktop\Freelance\__Other\"/>
    </mc:Choice>
  </mc:AlternateContent>
  <xr:revisionPtr revIDLastSave="0" documentId="13_ncr:1_{E8AA7F46-ED82-4A2A-BF53-6F259F21A0CE}" xr6:coauthVersionLast="47" xr6:coauthVersionMax="47" xr10:uidLastSave="{00000000-0000-0000-0000-000000000000}"/>
  <bookViews>
    <workbookView xWindow="-108" yWindow="-108" windowWidth="23256" windowHeight="12456" tabRatio="899" xr2:uid="{803ECF04-D46B-45DA-9520-77BF234B2F9D}"/>
  </bookViews>
  <sheets>
    <sheet name="Instructions" sheetId="4" r:id="rId1"/>
    <sheet name="WACC" sheetId="3" r:id="rId2"/>
    <sheet name="Assumptions" sheetId="2" r:id="rId3"/>
    <sheet name="NWC" sheetId="5" r:id="rId4"/>
    <sheet name="DCF" sheetId="1" r:id="rId5"/>
    <sheet name="Multiples" sheetId="7" r:id="rId6"/>
  </sheets>
  <definedNames>
    <definedName name="After_tax_cost_of_debt">WACC!$D$6</definedName>
    <definedName name="Beta">WACC!$D$10</definedName>
    <definedName name="Comp_multiple">Multiples!$S$10</definedName>
    <definedName name="Cost_of_debt">WACC!$D$4</definedName>
    <definedName name="Cost_of_equity">WACC!$D$12</definedName>
    <definedName name="Marginal_tax_rate">WACC!$D$5</definedName>
    <definedName name="Market_risk_premium">WACC!$D$11</definedName>
    <definedName name="Market_value_of_equity">WACC!$D$16</definedName>
    <definedName name="Number_of_days_in_period">Assumptions!$C$2</definedName>
    <definedName name="Risk_free_rate">WACC!$D$9</definedName>
    <definedName name="Total_capital">WACC!$D$17</definedName>
    <definedName name="Total_debt">WACC!$D$15</definedName>
    <definedName name="UFCF_Yr5">DCF!$J$23</definedName>
    <definedName name="WACC">WACC!$D$19</definedName>
    <definedName name="Yr5_EBITDA">DCF!$J$10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I26" i="2" s="1"/>
  <c r="J26" i="2" s="1"/>
  <c r="H25" i="2"/>
  <c r="I25" i="2" s="1"/>
  <c r="J25" i="2" s="1"/>
  <c r="H24" i="2"/>
  <c r="I24" i="2" s="1"/>
  <c r="J24" i="2" s="1"/>
  <c r="G26" i="2"/>
  <c r="G25" i="2"/>
  <c r="G24" i="2"/>
  <c r="F26" i="2"/>
  <c r="F25" i="2"/>
  <c r="F24" i="2"/>
  <c r="F16" i="2"/>
  <c r="G16" i="2" s="1"/>
  <c r="H15" i="2"/>
  <c r="I15" i="2" s="1"/>
  <c r="J15" i="2" s="1"/>
  <c r="G15" i="2"/>
  <c r="F15" i="2"/>
  <c r="H22" i="2"/>
  <c r="I22" i="2" s="1"/>
  <c r="J22" i="2" s="1"/>
  <c r="H20" i="2"/>
  <c r="I20" i="2" s="1"/>
  <c r="J20" i="2" s="1"/>
  <c r="G22" i="2"/>
  <c r="G20" i="2"/>
  <c r="F22" i="2"/>
  <c r="F21" i="2"/>
  <c r="G21" i="2" s="1"/>
  <c r="H21" i="2" s="1"/>
  <c r="I21" i="2" s="1"/>
  <c r="J21" i="2" s="1"/>
  <c r="F20" i="2"/>
  <c r="F13" i="2"/>
  <c r="G13" i="2" s="1"/>
  <c r="H13" i="2" s="1"/>
  <c r="I13" i="2" s="1"/>
  <c r="J13" i="2" s="1"/>
  <c r="F12" i="2"/>
  <c r="G12" i="2" s="1"/>
  <c r="H12" i="2" s="1"/>
  <c r="I12" i="2" s="1"/>
  <c r="J12" i="2" s="1"/>
  <c r="F10" i="2"/>
  <c r="G10" i="2" s="1"/>
  <c r="H10" i="2" s="1"/>
  <c r="I10" i="2" s="1"/>
  <c r="J10" i="2" s="1"/>
  <c r="F9" i="2"/>
  <c r="G9" i="2" s="1"/>
  <c r="H9" i="2" s="1"/>
  <c r="I9" i="2" s="1"/>
  <c r="J9" i="2" s="1"/>
  <c r="C26" i="7"/>
  <c r="C47" i="1"/>
  <c r="I13" i="7"/>
  <c r="G15" i="7"/>
  <c r="G16" i="7" s="1"/>
  <c r="G17" i="7" s="1"/>
  <c r="G18" i="7" s="1"/>
  <c r="G19" i="7" s="1"/>
  <c r="G20" i="7" s="1"/>
  <c r="G21" i="7" s="1"/>
  <c r="G22" i="7" s="1"/>
  <c r="G23" i="7" s="1"/>
  <c r="G36" i="1"/>
  <c r="I34" i="1"/>
  <c r="H1" i="1"/>
  <c r="C9" i="1"/>
  <c r="C7" i="1"/>
  <c r="E21" i="1"/>
  <c r="D21" i="1"/>
  <c r="E14" i="1"/>
  <c r="D14" i="1"/>
  <c r="N8" i="3"/>
  <c r="O8" i="3" s="1"/>
  <c r="P8" i="3" s="1"/>
  <c r="Q8" i="3" s="1"/>
  <c r="R8" i="3" s="1"/>
  <c r="S8" i="3" s="1"/>
  <c r="T8" i="3" s="1"/>
  <c r="U8" i="3" s="1"/>
  <c r="V8" i="3" s="1"/>
  <c r="W8" i="3" s="1"/>
  <c r="L10" i="3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F14" i="1"/>
  <c r="A16" i="1"/>
  <c r="F5" i="2"/>
  <c r="D12" i="3"/>
  <c r="D6" i="3"/>
  <c r="D17" i="3"/>
  <c r="E4" i="1"/>
  <c r="E4" i="5" s="1"/>
  <c r="D4" i="1"/>
  <c r="D4" i="5" s="1"/>
  <c r="C4" i="1"/>
  <c r="C4" i="5" s="1"/>
  <c r="H16" i="2" l="1"/>
  <c r="G14" i="1"/>
  <c r="F21" i="1"/>
  <c r="J13" i="7"/>
  <c r="G37" i="1"/>
  <c r="J34" i="1"/>
  <c r="C10" i="1"/>
  <c r="D5" i="1"/>
  <c r="C6" i="5"/>
  <c r="G5" i="2"/>
  <c r="F4" i="1"/>
  <c r="F4" i="5" s="1"/>
  <c r="G4" i="1"/>
  <c r="G4" i="5" s="1"/>
  <c r="H5" i="2"/>
  <c r="E16" i="3"/>
  <c r="E15" i="3"/>
  <c r="D19" i="3" l="1"/>
  <c r="I16" i="2"/>
  <c r="H14" i="1"/>
  <c r="G21" i="1"/>
  <c r="K13" i="7"/>
  <c r="G38" i="1"/>
  <c r="K34" i="1"/>
  <c r="C15" i="1"/>
  <c r="C16" i="1" s="1"/>
  <c r="C17" i="1" s="1"/>
  <c r="C11" i="1"/>
  <c r="D6" i="5"/>
  <c r="D20" i="1"/>
  <c r="D13" i="1" s="1"/>
  <c r="D19" i="1" s="1"/>
  <c r="E5" i="1"/>
  <c r="D9" i="1"/>
  <c r="D6" i="1"/>
  <c r="D7" i="1" s="1"/>
  <c r="D10" i="1" s="1"/>
  <c r="C11" i="5"/>
  <c r="C9" i="5"/>
  <c r="C15" i="5"/>
  <c r="C16" i="5"/>
  <c r="C7" i="5"/>
  <c r="D7" i="5"/>
  <c r="D14" i="5" s="1"/>
  <c r="D10" i="5"/>
  <c r="I5" i="2"/>
  <c r="H4" i="1"/>
  <c r="H4" i="5" s="1"/>
  <c r="J5" i="2"/>
  <c r="G1" i="7" s="1"/>
  <c r="I4" i="1"/>
  <c r="I4" i="5" s="1"/>
  <c r="E17" i="3"/>
  <c r="C25" i="7" l="1"/>
  <c r="C7" i="7"/>
  <c r="J16" i="2"/>
  <c r="J14" i="1" s="1"/>
  <c r="I14" i="1"/>
  <c r="H21" i="1"/>
  <c r="L13" i="7"/>
  <c r="G39" i="1"/>
  <c r="L34" i="1"/>
  <c r="C46" i="1"/>
  <c r="C28" i="1"/>
  <c r="D11" i="5"/>
  <c r="D16" i="5"/>
  <c r="D9" i="5"/>
  <c r="D12" i="5" s="1"/>
  <c r="D15" i="5"/>
  <c r="E9" i="1"/>
  <c r="E6" i="1"/>
  <c r="E20" i="1"/>
  <c r="E13" i="1" s="1"/>
  <c r="F5" i="1"/>
  <c r="F6" i="5" s="1"/>
  <c r="E6" i="5"/>
  <c r="D15" i="1"/>
  <c r="D16" i="1" s="1"/>
  <c r="D17" i="1" s="1"/>
  <c r="D11" i="1"/>
  <c r="E7" i="1"/>
  <c r="E7" i="5"/>
  <c r="C10" i="5"/>
  <c r="C12" i="5" s="1"/>
  <c r="C14" i="5"/>
  <c r="C17" i="5" s="1"/>
  <c r="L8" i="3"/>
  <c r="I8" i="3"/>
  <c r="J4" i="1"/>
  <c r="J21" i="1" l="1"/>
  <c r="I21" i="1"/>
  <c r="E10" i="1"/>
  <c r="G5" i="1"/>
  <c r="F6" i="1"/>
  <c r="F9" i="1"/>
  <c r="F20" i="1"/>
  <c r="F13" i="1" s="1"/>
  <c r="F19" i="1" s="1"/>
  <c r="M13" i="7"/>
  <c r="G40" i="1"/>
  <c r="M34" i="1"/>
  <c r="E19" i="1"/>
  <c r="D17" i="5"/>
  <c r="D19" i="5" s="1"/>
  <c r="C19" i="5"/>
  <c r="E9" i="5"/>
  <c r="E11" i="5"/>
  <c r="E15" i="5"/>
  <c r="E16" i="5"/>
  <c r="E14" i="5"/>
  <c r="E10" i="5"/>
  <c r="F11" i="5"/>
  <c r="F9" i="5"/>
  <c r="F15" i="5"/>
  <c r="F16" i="5"/>
  <c r="J4" i="5"/>
  <c r="E17" i="5" l="1"/>
  <c r="D21" i="5"/>
  <c r="D22" i="1" s="1"/>
  <c r="D23" i="1" s="1"/>
  <c r="E11" i="1"/>
  <c r="E15" i="1"/>
  <c r="E16" i="1" s="1"/>
  <c r="E17" i="1" s="1"/>
  <c r="G6" i="5"/>
  <c r="G6" i="1"/>
  <c r="H5" i="1"/>
  <c r="G20" i="1"/>
  <c r="G13" i="1" s="1"/>
  <c r="G19" i="1" s="1"/>
  <c r="G9" i="1"/>
  <c r="F7" i="5"/>
  <c r="F7" i="1"/>
  <c r="F10" i="1" s="1"/>
  <c r="N13" i="7"/>
  <c r="E12" i="5"/>
  <c r="G41" i="1"/>
  <c r="N34" i="1"/>
  <c r="E19" i="5" l="1"/>
  <c r="E21" i="5" s="1"/>
  <c r="E22" i="1" s="1"/>
  <c r="E23" i="1" s="1"/>
  <c r="G11" i="5"/>
  <c r="G16" i="5"/>
  <c r="G9" i="5"/>
  <c r="G15" i="5"/>
  <c r="G7" i="5"/>
  <c r="G7" i="1"/>
  <c r="G10" i="1" s="1"/>
  <c r="H20" i="1"/>
  <c r="H13" i="1" s="1"/>
  <c r="H19" i="1" s="1"/>
  <c r="H6" i="5"/>
  <c r="H9" i="1"/>
  <c r="H6" i="1"/>
  <c r="I5" i="1"/>
  <c r="F14" i="5"/>
  <c r="F17" i="5" s="1"/>
  <c r="F10" i="5"/>
  <c r="F12" i="5" s="1"/>
  <c r="F11" i="1"/>
  <c r="F15" i="1"/>
  <c r="F16" i="1" s="1"/>
  <c r="F17" i="1" s="1"/>
  <c r="O13" i="7"/>
  <c r="G42" i="1"/>
  <c r="O34" i="1"/>
  <c r="F19" i="5" l="1"/>
  <c r="F21" i="5" s="1"/>
  <c r="F22" i="1" s="1"/>
  <c r="F23" i="1" s="1"/>
  <c r="G14" i="5"/>
  <c r="G17" i="5" s="1"/>
  <c r="G10" i="5"/>
  <c r="G12" i="5" s="1"/>
  <c r="G15" i="1"/>
  <c r="G16" i="1" s="1"/>
  <c r="G17" i="1" s="1"/>
  <c r="G11" i="1"/>
  <c r="H9" i="5"/>
  <c r="H15" i="5"/>
  <c r="H16" i="5"/>
  <c r="H11" i="5"/>
  <c r="H7" i="5"/>
  <c r="H7" i="1"/>
  <c r="H10" i="1" s="1"/>
  <c r="I6" i="5"/>
  <c r="I9" i="1"/>
  <c r="I20" i="1"/>
  <c r="I13" i="1" s="1"/>
  <c r="I19" i="1" s="1"/>
  <c r="I6" i="1"/>
  <c r="J5" i="1"/>
  <c r="P13" i="7"/>
  <c r="G43" i="1"/>
  <c r="P34" i="1"/>
  <c r="G19" i="5" l="1"/>
  <c r="G21" i="5" s="1"/>
  <c r="G22" i="1" s="1"/>
  <c r="G23" i="1" s="1"/>
  <c r="H10" i="5"/>
  <c r="H12" i="5" s="1"/>
  <c r="H14" i="5"/>
  <c r="H17" i="5" s="1"/>
  <c r="H15" i="1"/>
  <c r="H16" i="1" s="1"/>
  <c r="H17" i="1" s="1"/>
  <c r="H11" i="1"/>
  <c r="I9" i="5"/>
  <c r="I11" i="5"/>
  <c r="I15" i="5"/>
  <c r="I16" i="5"/>
  <c r="I7" i="5"/>
  <c r="I7" i="1"/>
  <c r="I10" i="1" s="1"/>
  <c r="J6" i="5"/>
  <c r="J20" i="1"/>
  <c r="J13" i="1" s="1"/>
  <c r="J19" i="1" s="1"/>
  <c r="J9" i="1"/>
  <c r="J6" i="1"/>
  <c r="K5" i="1"/>
  <c r="Q13" i="7"/>
  <c r="G44" i="1"/>
  <c r="Q34" i="1"/>
  <c r="H19" i="5" l="1"/>
  <c r="H21" i="5" s="1"/>
  <c r="H22" i="1" s="1"/>
  <c r="H23" i="1" s="1"/>
  <c r="I10" i="5"/>
  <c r="I12" i="5" s="1"/>
  <c r="I14" i="5"/>
  <c r="I17" i="5" s="1"/>
  <c r="I15" i="1"/>
  <c r="I16" i="1" s="1"/>
  <c r="I17" i="1" s="1"/>
  <c r="I11" i="1"/>
  <c r="J9" i="5"/>
  <c r="J11" i="5"/>
  <c r="J15" i="5"/>
  <c r="J16" i="5"/>
  <c r="J7" i="5"/>
  <c r="J7" i="1"/>
  <c r="I19" i="5" l="1"/>
  <c r="I21" i="5" s="1"/>
  <c r="I22" i="1" s="1"/>
  <c r="I23" i="1" s="1"/>
  <c r="J14" i="5"/>
  <c r="J17" i="5" s="1"/>
  <c r="J10" i="5"/>
  <c r="J12" i="5" s="1"/>
  <c r="J10" i="1"/>
  <c r="K7" i="1"/>
  <c r="C24" i="7" l="1"/>
  <c r="C11" i="7"/>
  <c r="C48" i="1"/>
  <c r="K10" i="1"/>
  <c r="J11" i="1"/>
  <c r="J15" i="1"/>
  <c r="J19" i="5"/>
  <c r="J21" i="5" s="1"/>
  <c r="J22" i="1" s="1"/>
  <c r="E28" i="7" l="1"/>
  <c r="C12" i="7"/>
  <c r="J16" i="1"/>
  <c r="J17" i="1" s="1"/>
  <c r="K15" i="1"/>
  <c r="K17" i="1" l="1"/>
  <c r="J23" i="1"/>
  <c r="Q16" i="7"/>
  <c r="Q23" i="7" l="1"/>
  <c r="Q14" i="7"/>
  <c r="Q15" i="7"/>
  <c r="C27" i="7"/>
  <c r="G28" i="7" s="1"/>
  <c r="C32" i="1"/>
  <c r="Q17" i="7"/>
  <c r="Q41" i="1"/>
  <c r="Q39" i="1"/>
  <c r="Q38" i="1"/>
  <c r="Q18" i="7"/>
  <c r="Q19" i="7"/>
  <c r="Q20" i="7"/>
  <c r="Q21" i="7"/>
  <c r="Q22" i="7"/>
  <c r="N22" i="7"/>
  <c r="N20" i="7"/>
  <c r="N18" i="7"/>
  <c r="M23" i="7"/>
  <c r="M19" i="7"/>
  <c r="M17" i="7"/>
  <c r="I14" i="7"/>
  <c r="H17" i="7"/>
  <c r="N17" i="7"/>
  <c r="O21" i="7"/>
  <c r="P20" i="7"/>
  <c r="P15" i="7"/>
  <c r="M18" i="7"/>
  <c r="L16" i="7"/>
  <c r="K20" i="7"/>
  <c r="J17" i="7"/>
  <c r="J18" i="7"/>
  <c r="I18" i="7"/>
  <c r="H16" i="7"/>
  <c r="H23" i="7"/>
  <c r="O18" i="7"/>
  <c r="O22" i="7"/>
  <c r="P23" i="7"/>
  <c r="P16" i="7"/>
  <c r="N19" i="7"/>
  <c r="O19" i="7"/>
  <c r="P18" i="7"/>
  <c r="N14" i="7"/>
  <c r="M14" i="7"/>
  <c r="L22" i="7"/>
  <c r="O16" i="7"/>
  <c r="Q44" i="1"/>
  <c r="M22" i="7"/>
  <c r="M21" i="7"/>
  <c r="L14" i="7"/>
  <c r="L17" i="7"/>
  <c r="L23" i="7"/>
  <c r="J21" i="7"/>
  <c r="J19" i="7"/>
  <c r="J16" i="7"/>
  <c r="I16" i="7"/>
  <c r="I17" i="7"/>
  <c r="I19" i="7"/>
  <c r="I22" i="7"/>
  <c r="H15" i="7"/>
  <c r="N16" i="7"/>
  <c r="H21" i="7"/>
  <c r="N23" i="7"/>
  <c r="O14" i="7"/>
  <c r="P21" i="7"/>
  <c r="M15" i="7"/>
  <c r="M16" i="7"/>
  <c r="L19" i="7"/>
  <c r="K21" i="7"/>
  <c r="J22" i="7"/>
  <c r="I21" i="7"/>
  <c r="I23" i="7"/>
  <c r="H20" i="7"/>
  <c r="H19" i="7"/>
  <c r="O20" i="7"/>
  <c r="P17" i="7"/>
  <c r="P19" i="7"/>
  <c r="P14" i="7"/>
  <c r="H22" i="7"/>
  <c r="O23" i="7"/>
  <c r="P22" i="7"/>
  <c r="M20" i="7"/>
  <c r="L21" i="7"/>
  <c r="N21" i="7"/>
  <c r="O15" i="7"/>
  <c r="Q36" i="1"/>
  <c r="Q35" i="1"/>
  <c r="Q42" i="1"/>
  <c r="Q40" i="1"/>
  <c r="Q43" i="1"/>
  <c r="Q37" i="1"/>
  <c r="O37" i="1"/>
  <c r="O42" i="1"/>
  <c r="H44" i="1"/>
  <c r="H35" i="1"/>
  <c r="H36" i="1"/>
  <c r="L36" i="1"/>
  <c r="O40" i="1"/>
  <c r="L39" i="1"/>
  <c r="M40" i="1"/>
  <c r="M35" i="1"/>
  <c r="M42" i="1"/>
  <c r="M41" i="1"/>
  <c r="M44" i="1"/>
  <c r="O39" i="1"/>
  <c r="K36" i="1"/>
  <c r="N36" i="1"/>
  <c r="P40" i="1"/>
  <c r="N43" i="1"/>
  <c r="J36" i="1"/>
  <c r="J37" i="1"/>
  <c r="H42" i="1"/>
  <c r="H37" i="1"/>
  <c r="H43" i="1"/>
  <c r="I38" i="1"/>
  <c r="I40" i="1"/>
  <c r="J40" i="1"/>
  <c r="K39" i="1"/>
  <c r="P42" i="1"/>
  <c r="P39" i="1"/>
  <c r="C45" i="1"/>
  <c r="I39" i="1"/>
  <c r="I36" i="1"/>
  <c r="I44" i="1"/>
  <c r="J44" i="1"/>
  <c r="J38" i="1"/>
  <c r="J39" i="1"/>
  <c r="K42" i="1"/>
  <c r="O36" i="1"/>
  <c r="O35" i="1"/>
  <c r="H38" i="1"/>
  <c r="H40" i="1"/>
  <c r="I41" i="1"/>
  <c r="I37" i="1"/>
  <c r="I43" i="1"/>
  <c r="J42" i="1"/>
  <c r="L41" i="1"/>
  <c r="L38" i="1"/>
  <c r="L40" i="1"/>
  <c r="O44" i="1"/>
  <c r="L42" i="1"/>
  <c r="L44" i="1"/>
  <c r="M38" i="1"/>
  <c r="M37" i="1"/>
  <c r="M39" i="1"/>
  <c r="M36" i="1"/>
  <c r="M43" i="1"/>
  <c r="O43" i="1"/>
  <c r="O38" i="1"/>
  <c r="K37" i="1"/>
  <c r="K40" i="1"/>
  <c r="N35" i="1"/>
  <c r="P43" i="1"/>
  <c r="P37" i="1"/>
  <c r="N40" i="1"/>
  <c r="J41" i="1"/>
  <c r="K38" i="1"/>
  <c r="O41" i="1"/>
  <c r="H41" i="1"/>
  <c r="I35" i="1"/>
  <c r="J35" i="1"/>
  <c r="P36" i="1"/>
  <c r="P44" i="1"/>
  <c r="L43" i="1"/>
  <c r="K23" i="1"/>
  <c r="L20" i="7"/>
  <c r="L18" i="7"/>
  <c r="L15" i="7"/>
  <c r="K22" i="7"/>
  <c r="K18" i="7"/>
  <c r="K23" i="7"/>
  <c r="K19" i="7"/>
  <c r="K17" i="7"/>
  <c r="J23" i="7"/>
  <c r="J15" i="7"/>
  <c r="C8" i="7"/>
  <c r="C14" i="7" s="1"/>
  <c r="C16" i="7" s="1"/>
  <c r="C20" i="7" s="1"/>
  <c r="G13" i="7" s="1"/>
  <c r="K15" i="7"/>
  <c r="K16" i="7"/>
  <c r="K14" i="7"/>
  <c r="J20" i="7"/>
  <c r="J14" i="7"/>
  <c r="I15" i="7"/>
  <c r="I20" i="7"/>
  <c r="H14" i="7"/>
  <c r="H18" i="7"/>
  <c r="N15" i="7"/>
  <c r="I42" i="1"/>
  <c r="K43" i="1"/>
  <c r="C29" i="1"/>
  <c r="K41" i="1"/>
  <c r="K35" i="1"/>
  <c r="K44" i="1"/>
  <c r="L37" i="1"/>
  <c r="L35" i="1"/>
  <c r="N38" i="1"/>
  <c r="N42" i="1"/>
  <c r="N41" i="1"/>
  <c r="N39" i="1"/>
  <c r="N37" i="1"/>
  <c r="N44" i="1"/>
  <c r="J43" i="1"/>
  <c r="P41" i="1"/>
  <c r="P35" i="1"/>
  <c r="P38" i="1"/>
  <c r="O17" i="7"/>
  <c r="H39" i="1"/>
  <c r="C33" i="1" l="1"/>
  <c r="C35" i="1" s="1"/>
  <c r="C37" i="1" s="1"/>
  <c r="C41" i="1" s="1"/>
  <c r="G34" i="1" s="1"/>
  <c r="C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tc={21DCFFB1-40B9-4210-8795-05C138B4A7EA}</author>
  </authors>
  <commentList>
    <comment ref="G1" authorId="0" shapeId="0" xr:uid="{21DCFFB1-40B9-4210-8795-05C138B4A7EA}">
      <text>
        <t>[Threaded comment]
Your version of Excel allows you to read this threaded comment; however, any edits to it will get removed if the file is opened in a newer version of Excel. Learn more: https://go.microsoft.com/fwlink/?linkid=870924
Comment:
    # of periods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tc={64F1C3DD-EBC1-45C6-93CC-CCF3ECC53390}</author>
    <author>tc={2F72B0A5-3676-4D17-9AB7-7E3C9549505B}</author>
  </authors>
  <commentList>
    <comment ref="F1" authorId="0" shapeId="0" xr:uid="{64F1C3DD-EBC1-45C6-93CC-CCF3ECC53390}">
      <text>
        <t>[Threaded comment]
Your version of Excel allows you to read this threaded comment; however, any edits to it will get removed if the file is opened in a newer version of Excel. Learn more: https://go.microsoft.com/fwlink/?linkid=870924
Comment:
    # of periods</t>
      </text>
    </comment>
    <comment ref="C28" authorId="1" shapeId="0" xr:uid="{2F72B0A5-3676-4D17-9AB7-7E3C9549505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Goalseek to set right side of equation equal to left side (type in left side), by changing this cell</t>
      </text>
    </comment>
  </commentList>
</comments>
</file>

<file path=xl/sharedStrings.xml><?xml version="1.0" encoding="utf-8"?>
<sst xmlns="http://schemas.openxmlformats.org/spreadsheetml/2006/main" count="156" uniqueCount="122">
  <si>
    <t>Historical</t>
  </si>
  <si>
    <t>Projected</t>
  </si>
  <si>
    <t>CAGR</t>
  </si>
  <si>
    <t>Sales</t>
  </si>
  <si>
    <t>Cost of goods sold</t>
  </si>
  <si>
    <t>Gross Profit</t>
  </si>
  <si>
    <t xml:space="preserve">Cost of goods sold </t>
  </si>
  <si>
    <t xml:space="preserve">SG&amp;A </t>
  </si>
  <si>
    <t>EBITDA</t>
  </si>
  <si>
    <t>EBITDA Margin</t>
  </si>
  <si>
    <t>Less:  Depreciation</t>
  </si>
  <si>
    <t>Less:  Amortization</t>
  </si>
  <si>
    <t>EBIT</t>
  </si>
  <si>
    <t>Tax-effected EBIT</t>
  </si>
  <si>
    <t>Plus:  Depreciation and amortization</t>
  </si>
  <si>
    <t>Less: Capital expenditures</t>
  </si>
  <si>
    <t>Less: Additions to intangibles</t>
  </si>
  <si>
    <t>Unlevered Free Cash Flow</t>
  </si>
  <si>
    <t>Operating Assumptions</t>
  </si>
  <si>
    <t>Sales growth</t>
  </si>
  <si>
    <t>Cost of goods sold (as a % sales)</t>
  </si>
  <si>
    <t>SG&amp;A (as a % sales)</t>
  </si>
  <si>
    <t>Capital Expenditure Assumptions</t>
  </si>
  <si>
    <t>CapEx (as a % sales)</t>
  </si>
  <si>
    <t>Depreciation (as a % of CapEx)</t>
  </si>
  <si>
    <t>Additions to Intangibles ($ amount)</t>
  </si>
  <si>
    <t>Amortization ($ amount)</t>
  </si>
  <si>
    <t xml:space="preserve">NA  </t>
  </si>
  <si>
    <t>Cost of debt:</t>
  </si>
  <si>
    <t>Cost of debt</t>
  </si>
  <si>
    <t>Marginal tax rate</t>
  </si>
  <si>
    <t>After-tax cost of debt</t>
  </si>
  <si>
    <t>Cost of equity:</t>
  </si>
  <si>
    <t>Beta</t>
  </si>
  <si>
    <t>Market risk premium</t>
  </si>
  <si>
    <t>Cost of equity</t>
  </si>
  <si>
    <t>Percentage of capital:</t>
  </si>
  <si>
    <t>Total debt</t>
  </si>
  <si>
    <t>Market value of equity</t>
  </si>
  <si>
    <t>Total capital</t>
  </si>
  <si>
    <t>Weighted average cost of capital:</t>
  </si>
  <si>
    <t>Notes:</t>
  </si>
  <si>
    <r>
      <t>●</t>
    </r>
    <r>
      <rPr>
        <sz val="10.5"/>
        <rFont val="Arial"/>
        <family val="2"/>
      </rPr>
      <t xml:space="preserve"> </t>
    </r>
    <r>
      <rPr>
        <sz val="10"/>
        <rFont val="Arial"/>
        <family val="2"/>
      </rPr>
      <t xml:space="preserve">You may need to press </t>
    </r>
    <r>
      <rPr>
        <b/>
        <sz val="10"/>
        <rFont val="Arial"/>
        <family val="2"/>
      </rPr>
      <t xml:space="preserve">F9 </t>
    </r>
    <r>
      <rPr>
        <sz val="10"/>
        <rFont val="Arial"/>
        <family val="2"/>
      </rPr>
      <t>to update the data tables</t>
    </r>
  </si>
  <si>
    <t>Figures in millions, except per share</t>
  </si>
  <si>
    <t>WACC</t>
  </si>
  <si>
    <t>Risk free rate</t>
  </si>
  <si>
    <t>Plus: Change in working capital</t>
  </si>
  <si>
    <t>Accounts receivable, net</t>
  </si>
  <si>
    <t>Inventories</t>
  </si>
  <si>
    <t>Other current assets</t>
  </si>
  <si>
    <t>Total non-cash current assets:</t>
  </si>
  <si>
    <t>Accounts payable</t>
  </si>
  <si>
    <t>Accrued liabilities</t>
  </si>
  <si>
    <t>Other current liabilities</t>
  </si>
  <si>
    <t>Total non-debt current liabilities</t>
  </si>
  <si>
    <t>Net working capital / (deficit)</t>
  </si>
  <si>
    <t>Working Capital Assumptions</t>
  </si>
  <si>
    <t>Accounts receivable (days collection period)</t>
  </si>
  <si>
    <t>Inventories (days outstanding)</t>
  </si>
  <si>
    <t>Accounts payable (days outstanding)</t>
  </si>
  <si>
    <t>Other current assets (as % of sales)</t>
  </si>
  <si>
    <t>Accrued liabilities (as % of sales)</t>
  </si>
  <si>
    <t>Other current liabilities (as % of sales)</t>
  </si>
  <si>
    <t>DCF tab</t>
  </si>
  <si>
    <t>Number of days in period:</t>
  </si>
  <si>
    <t>Change in net working capital</t>
  </si>
  <si>
    <t>Perpetuity Growth Method</t>
  </si>
  <si>
    <t>EBITDA Multiple Method</t>
  </si>
  <si>
    <t xml:space="preserve"> Net present value of free cash flow</t>
  </si>
  <si>
    <t>Terminal growth rate</t>
  </si>
  <si>
    <t>Terminal value</t>
  </si>
  <si>
    <t xml:space="preserve"> Present value of the terminal value</t>
  </si>
  <si>
    <t xml:space="preserve"> Enterprise value</t>
  </si>
  <si>
    <t xml:space="preserve">    Less: Net debt*</t>
  </si>
  <si>
    <t xml:space="preserve"> Equity value</t>
  </si>
  <si>
    <t>Diluted shares:</t>
  </si>
  <si>
    <t>Equity Value Per Share</t>
  </si>
  <si>
    <t>Implied EBITDA Terminal Multiple</t>
  </si>
  <si>
    <t>Implied Perpetuity Growth Rate</t>
  </si>
  <si>
    <t>Terminal year unlevered free cash flow</t>
  </si>
  <si>
    <t>Terminal year EBITDA</t>
  </si>
  <si>
    <t>Weighted average cost of capital</t>
  </si>
  <si>
    <t>Multiple</t>
  </si>
  <si>
    <t>Implied EBITDA Terminal Multiple:</t>
  </si>
  <si>
    <t>Implied Growth Rate:</t>
  </si>
  <si>
    <t>Working Capital tab (NWC)</t>
  </si>
  <si>
    <t>Comp multiple</t>
  </si>
  <si>
    <t>NPER:</t>
  </si>
  <si>
    <t>TV</t>
  </si>
  <si>
    <t>=</t>
  </si>
  <si>
    <t>FCF</t>
  </si>
  <si>
    <t>*(1+g)/(wacc-g)</t>
  </si>
  <si>
    <t>Beta increment</t>
  </si>
  <si>
    <r>
      <t>*Note: Do not change any non-</t>
    </r>
    <r>
      <rPr>
        <b/>
        <sz val="11"/>
        <color rgb="FFFFFF00"/>
        <rFont val="Aptos Narrow"/>
        <family val="2"/>
        <scheme val="minor"/>
      </rPr>
      <t>yellow</t>
    </r>
    <r>
      <rPr>
        <b/>
        <sz val="11"/>
        <color theme="0"/>
        <rFont val="Aptos Narrow"/>
        <family val="2"/>
        <scheme val="minor"/>
      </rPr>
      <t xml:space="preserve"> cells</t>
    </r>
  </si>
  <si>
    <t>Market Risk Premium</t>
  </si>
  <si>
    <t>Risk Prem increment</t>
  </si>
  <si>
    <t>WACC SENSITIVITY ANALYSIS (BETA + MARKET RISK PREMIUM)</t>
  </si>
  <si>
    <t>WACC SENSITIVITY ANALYSIS to Beta</t>
  </si>
  <si>
    <r>
      <t>●</t>
    </r>
    <r>
      <rPr>
        <b/>
        <sz val="10.5"/>
        <rFont val="Arial"/>
        <family val="2"/>
      </rPr>
      <t xml:space="preserve"> </t>
    </r>
    <r>
      <rPr>
        <b/>
        <sz val="10"/>
        <rFont val="Arial"/>
        <family val="2"/>
      </rPr>
      <t xml:space="preserve">Black </t>
    </r>
    <r>
      <rPr>
        <sz val="10"/>
        <rFont val="Arial"/>
        <family val="2"/>
      </rPr>
      <t>text is for formulas</t>
    </r>
    <r>
      <rPr>
        <b/>
        <sz val="10"/>
        <rFont val="Arial"/>
        <family val="2"/>
      </rPr>
      <t xml:space="preserve"> (Not to be altered)</t>
    </r>
  </si>
  <si>
    <t xml:space="preserve">WACC: </t>
  </si>
  <si>
    <t>Net Working Capital forecasts and calculations to determine NWC</t>
  </si>
  <si>
    <t>Discounted Cash Flow Analysis &amp; sensitivity analyses</t>
  </si>
  <si>
    <t>DCF:</t>
  </si>
  <si>
    <t>Assumptions:</t>
  </si>
  <si>
    <t>NWC:</t>
  </si>
  <si>
    <t>Tab Navigation (Click to navigate)</t>
  </si>
  <si>
    <t>Operating, Capital Expenditure, &amp; Working Capital Assumptions</t>
  </si>
  <si>
    <t>Weighted average cost of capital calculations &amp; sensitivity analyses</t>
  </si>
  <si>
    <r>
      <t>●</t>
    </r>
    <r>
      <rPr>
        <b/>
        <sz val="10.5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text is for historical numbers</t>
    </r>
    <r>
      <rPr>
        <b/>
        <sz val="10"/>
        <rFont val="Arial"/>
        <family val="2"/>
      </rPr>
      <t xml:space="preserve"> (</t>
    </r>
    <r>
      <rPr>
        <sz val="10"/>
        <rFont val="Arial"/>
        <family val="2"/>
      </rPr>
      <t>can be changed</t>
    </r>
    <r>
      <rPr>
        <b/>
        <sz val="10"/>
        <rFont val="Arial"/>
        <family val="2"/>
      </rPr>
      <t>)</t>
    </r>
  </si>
  <si>
    <r>
      <t xml:space="preserve">● </t>
    </r>
    <r>
      <rPr>
        <b/>
        <sz val="10"/>
        <color rgb="FFFFFF00"/>
        <rFont val="Arial"/>
        <family val="2"/>
      </rPr>
      <t>Yellow cells</t>
    </r>
    <r>
      <rPr>
        <sz val="10"/>
        <rFont val="Arial"/>
        <family val="2"/>
      </rPr>
      <t xml:space="preserve"> are for data input</t>
    </r>
    <r>
      <rPr>
        <b/>
        <sz val="10"/>
        <rFont val="Arial"/>
        <family val="2"/>
      </rPr>
      <t xml:space="preserve"> (</t>
    </r>
    <r>
      <rPr>
        <sz val="10"/>
        <rFont val="Arial"/>
        <family val="2"/>
      </rPr>
      <t>Assumptions &amp; Perpetuity tabs</t>
    </r>
    <r>
      <rPr>
        <b/>
        <sz val="10"/>
        <rFont val="Arial"/>
        <family val="2"/>
      </rPr>
      <t>)</t>
    </r>
  </si>
  <si>
    <r>
      <t>*Note: Do not change any non-</t>
    </r>
    <r>
      <rPr>
        <b/>
        <sz val="11"/>
        <color rgb="FFFFFF00"/>
        <rFont val="Aptos Narrow"/>
        <family val="2"/>
        <scheme val="minor"/>
      </rPr>
      <t>yellow</t>
    </r>
    <r>
      <rPr>
        <b/>
        <sz val="11"/>
        <color theme="0"/>
        <rFont val="Aptos Narrow"/>
        <family val="2"/>
        <scheme val="minor"/>
      </rPr>
      <t xml:space="preserve"> cells or non-</t>
    </r>
    <r>
      <rPr>
        <b/>
        <sz val="11"/>
        <color rgb="FF0070C0"/>
        <rFont val="Aptos Narrow"/>
        <family val="2"/>
        <scheme val="minor"/>
      </rPr>
      <t>blue</t>
    </r>
    <r>
      <rPr>
        <b/>
        <sz val="11"/>
        <color theme="0"/>
        <rFont val="Aptos Narrow"/>
        <family val="2"/>
        <scheme val="minor"/>
      </rPr>
      <t xml:space="preserve"> text</t>
    </r>
  </si>
  <si>
    <t>Price Sensitivity Analysis</t>
  </si>
  <si>
    <t>Terminal Growth Rate</t>
  </si>
  <si>
    <t>Terminal Multiple</t>
  </si>
  <si>
    <t>Terminal Growth Rate increment</t>
  </si>
  <si>
    <t>WACC increment</t>
  </si>
  <si>
    <t>TerminalMultiple increment</t>
  </si>
  <si>
    <t>NPV(FCF)</t>
  </si>
  <si>
    <t>PV(Terminal value)</t>
  </si>
  <si>
    <t>Terminal year UFCF</t>
  </si>
  <si>
    <t>Multiples:</t>
  </si>
  <si>
    <t>Multiples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</si>
</sst>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_);\(&quot;$&quot;#,##0.0\)"/>
    <numFmt numFmtId="165" formatCode="#,##0.0%_);\(#,##0.0%\)"/>
    <numFmt numFmtId="166" formatCode="0.0%_);\(0.0%\)"/>
    <numFmt numFmtId="167" formatCode="#,##0.0_);\(#,##0.0\)"/>
    <numFmt numFmtId="168" formatCode="#0.00%_);\(#0.00%\)"/>
    <numFmt numFmtId="169" formatCode="#,##0.00%_);\(#,##0.00%\)"/>
    <numFmt numFmtId="170" formatCode="[$£-809]#,##0.0_);\([$£-809]#,##0.0\)"/>
    <numFmt numFmtId="171" formatCode="0.0%"/>
    <numFmt numFmtId="172" formatCode="0_);\(0\)"/>
    <numFmt numFmtId="173" formatCode="#,##0.0\x_)"/>
    <numFmt numFmtId="174" formatCode="#,##0.000_);\(#,##0.000\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10.5"/>
      <name val="Arial"/>
      <family val="2"/>
    </font>
    <font>
      <sz val="10.5"/>
      <name val="Arial"/>
      <family val="2"/>
    </font>
    <font>
      <sz val="11"/>
      <name val="Aptos Narrow"/>
      <family val="2"/>
      <scheme val="minor"/>
    </font>
    <font>
      <b/>
      <sz val="10"/>
      <color rgb="FFFFFF00"/>
      <name val="Arial"/>
      <family val="2"/>
    </font>
    <font>
      <sz val="8"/>
      <color indexed="22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1"/>
      <color rgb="FF0070C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0"/>
      <color rgb="FF0070C0"/>
      <name val="Arial"/>
      <family val="2"/>
    </font>
    <font>
      <b/>
      <sz val="10"/>
      <color indexed="8"/>
      <name val="Arial"/>
      <family val="2"/>
    </font>
    <font>
      <sz val="7"/>
      <name val="Arial"/>
      <family val="2"/>
    </font>
    <font>
      <b/>
      <sz val="11"/>
      <color rgb="FFFFFF00"/>
      <name val="Aptos Narrow"/>
      <family val="2"/>
      <scheme val="minor"/>
    </font>
    <font>
      <b/>
      <u/>
      <sz val="14"/>
      <name val="Arial"/>
      <family val="2"/>
    </font>
    <font>
      <b/>
      <u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164" fontId="6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6" fontId="11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167" fontId="5" fillId="0" borderId="1" xfId="0" applyNumberFormat="1" applyFont="1" applyBorder="1"/>
    <xf numFmtId="0" fontId="5" fillId="0" borderId="5" xfId="0" applyFont="1" applyBorder="1"/>
    <xf numFmtId="0" fontId="12" fillId="0" borderId="0" xfId="0" applyFont="1"/>
    <xf numFmtId="169" fontId="5" fillId="0" borderId="0" xfId="0" applyNumberFormat="1" applyFont="1"/>
    <xf numFmtId="169" fontId="0" fillId="0" borderId="5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15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7" fontId="5" fillId="0" borderId="5" xfId="0" applyNumberFormat="1" applyFont="1" applyBorder="1"/>
    <xf numFmtId="167" fontId="5" fillId="0" borderId="8" xfId="0" applyNumberFormat="1" applyFont="1" applyBorder="1"/>
    <xf numFmtId="165" fontId="6" fillId="0" borderId="0" xfId="0" applyNumberFormat="1" applyFont="1"/>
    <xf numFmtId="165" fontId="6" fillId="0" borderId="1" xfId="0" applyNumberFormat="1" applyFont="1" applyBorder="1"/>
    <xf numFmtId="170" fontId="17" fillId="0" borderId="0" xfId="0" quotePrefix="1" applyNumberFormat="1" applyFont="1" applyAlignment="1">
      <alignment horizontal="right"/>
    </xf>
    <xf numFmtId="164" fontId="7" fillId="0" borderId="5" xfId="0" applyNumberFormat="1" applyFont="1" applyBorder="1"/>
    <xf numFmtId="164" fontId="7" fillId="0" borderId="8" xfId="0" applyNumberFormat="1" applyFont="1" applyBorder="1"/>
    <xf numFmtId="164" fontId="18" fillId="0" borderId="0" xfId="0" applyNumberFormat="1" applyFont="1"/>
    <xf numFmtId="164" fontId="18" fillId="0" borderId="1" xfId="0" applyNumberFormat="1" applyFont="1" applyBorder="1"/>
    <xf numFmtId="167" fontId="18" fillId="0" borderId="0" xfId="0" applyNumberFormat="1" applyFont="1"/>
    <xf numFmtId="167" fontId="18" fillId="0" borderId="1" xfId="0" applyNumberFormat="1" applyFont="1" applyBorder="1"/>
    <xf numFmtId="0" fontId="5" fillId="0" borderId="0" xfId="0" quotePrefix="1" applyFont="1" applyAlignment="1">
      <alignment horizontal="left"/>
    </xf>
    <xf numFmtId="164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71" fontId="0" fillId="0" borderId="0" xfId="0" applyNumberFormat="1" applyAlignment="1">
      <alignment horizontal="center"/>
    </xf>
    <xf numFmtId="171" fontId="3" fillId="0" borderId="0" xfId="0" applyNumberFormat="1" applyFont="1" applyAlignment="1">
      <alignment horizontal="center"/>
    </xf>
    <xf numFmtId="164" fontId="0" fillId="0" borderId="0" xfId="0" applyNumberFormat="1"/>
    <xf numFmtId="167" fontId="19" fillId="0" borderId="0" xfId="0" applyNumberFormat="1" applyFont="1"/>
    <xf numFmtId="167" fontId="0" fillId="0" borderId="0" xfId="0" applyNumberFormat="1"/>
    <xf numFmtId="0" fontId="0" fillId="0" borderId="5" xfId="0" applyBorder="1" applyAlignment="1">
      <alignment horizontal="right"/>
    </xf>
    <xf numFmtId="0" fontId="18" fillId="0" borderId="0" xfId="0" applyFont="1" applyAlignment="1">
      <alignment horizontal="right"/>
    </xf>
    <xf numFmtId="165" fontId="18" fillId="0" borderId="0" xfId="0" applyNumberFormat="1" applyFont="1"/>
    <xf numFmtId="165" fontId="18" fillId="0" borderId="1" xfId="0" applyNumberFormat="1" applyFont="1" applyBorder="1"/>
    <xf numFmtId="166" fontId="18" fillId="0" borderId="0" xfId="0" applyNumberFormat="1" applyFont="1"/>
    <xf numFmtId="164" fontId="18" fillId="0" borderId="0" xfId="0" applyNumberFormat="1" applyFont="1" applyAlignment="1">
      <alignment horizontal="right"/>
    </xf>
    <xf numFmtId="0" fontId="20" fillId="0" borderId="0" xfId="0" applyFont="1"/>
    <xf numFmtId="0" fontId="20" fillId="0" borderId="1" xfId="0" applyFont="1" applyBorder="1"/>
    <xf numFmtId="166" fontId="20" fillId="0" borderId="0" xfId="0" applyNumberFormat="1" applyFont="1"/>
    <xf numFmtId="166" fontId="20" fillId="0" borderId="1" xfId="0" applyNumberFormat="1" applyFont="1" applyBorder="1"/>
    <xf numFmtId="2" fontId="18" fillId="0" borderId="0" xfId="0" applyNumberFormat="1" applyFont="1" applyAlignment="1">
      <alignment horizontal="right"/>
    </xf>
    <xf numFmtId="2" fontId="18" fillId="0" borderId="0" xfId="0" applyNumberFormat="1" applyFont="1"/>
    <xf numFmtId="2" fontId="18" fillId="0" borderId="1" xfId="0" applyNumberFormat="1" applyFont="1" applyBorder="1"/>
    <xf numFmtId="10" fontId="18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  <xf numFmtId="0" fontId="21" fillId="0" borderId="0" xfId="0" applyFont="1"/>
    <xf numFmtId="0" fontId="21" fillId="5" borderId="0" xfId="0" applyFont="1" applyFill="1"/>
    <xf numFmtId="0" fontId="21" fillId="6" borderId="0" xfId="0" applyFont="1" applyFill="1"/>
    <xf numFmtId="0" fontId="0" fillId="6" borderId="0" xfId="0" applyFill="1"/>
    <xf numFmtId="0" fontId="0" fillId="0" borderId="0" xfId="0" applyAlignment="1">
      <alignment horizontal="right"/>
    </xf>
    <xf numFmtId="172" fontId="7" fillId="0" borderId="12" xfId="0" applyNumberFormat="1" applyFont="1" applyBorder="1" applyAlignment="1">
      <alignment horizontal="center"/>
    </xf>
    <xf numFmtId="172" fontId="7" fillId="0" borderId="13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7" fontId="18" fillId="0" borderId="0" xfId="0" applyNumberFormat="1" applyFont="1" applyAlignment="1">
      <alignment horizontal="center"/>
    </xf>
    <xf numFmtId="167" fontId="1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5" fillId="0" borderId="0" xfId="0" applyFont="1" applyProtection="1">
      <protection locked="0"/>
    </xf>
    <xf numFmtId="0" fontId="5" fillId="0" borderId="11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5" fillId="0" borderId="15" xfId="0" applyFont="1" applyBorder="1" applyAlignment="1" applyProtection="1">
      <alignment horizontal="left"/>
      <protection locked="0"/>
    </xf>
    <xf numFmtId="0" fontId="5" fillId="0" borderId="15" xfId="0" applyFont="1" applyBorder="1" applyProtection="1">
      <protection locked="0"/>
    </xf>
    <xf numFmtId="0" fontId="7" fillId="0" borderId="15" xfId="0" applyFont="1" applyBorder="1" applyAlignment="1" applyProtection="1">
      <alignment horizontal="left"/>
      <protection locked="0"/>
    </xf>
    <xf numFmtId="0" fontId="7" fillId="0" borderId="16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8" fillId="0" borderId="18" xfId="0" applyFont="1" applyBorder="1"/>
    <xf numFmtId="0" fontId="5" fillId="0" borderId="8" xfId="0" applyFont="1" applyBorder="1" applyAlignment="1" applyProtection="1">
      <alignment horizontal="center"/>
      <protection locked="0"/>
    </xf>
    <xf numFmtId="165" fontId="5" fillId="0" borderId="1" xfId="0" applyNumberFormat="1" applyFont="1" applyBorder="1" applyAlignment="1" applyProtection="1">
      <alignment horizontal="center"/>
      <protection locked="0"/>
    </xf>
    <xf numFmtId="164" fontId="19" fillId="0" borderId="6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5" fontId="5" fillId="4" borderId="1" xfId="0" applyNumberFormat="1" applyFont="1" applyFill="1" applyBorder="1" applyAlignment="1" applyProtection="1">
      <alignment horizontal="center"/>
      <protection locked="0"/>
    </xf>
    <xf numFmtId="164" fontId="19" fillId="0" borderId="1" xfId="0" applyNumberFormat="1" applyFont="1" applyBorder="1" applyAlignment="1">
      <alignment horizontal="center"/>
    </xf>
    <xf numFmtId="167" fontId="5" fillId="0" borderId="6" xfId="0" applyNumberFormat="1" applyFont="1" applyBorder="1" applyAlignment="1" applyProtection="1">
      <alignment horizontal="center"/>
      <protection locked="0"/>
    </xf>
    <xf numFmtId="164" fontId="23" fillId="0" borderId="6" xfId="0" applyNumberFormat="1" applyFont="1" applyBorder="1" applyAlignment="1">
      <alignment horizontal="center"/>
    </xf>
    <xf numFmtId="167" fontId="5" fillId="4" borderId="1" xfId="0" applyNumberFormat="1" applyFont="1" applyFill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locked="0"/>
    </xf>
    <xf numFmtId="174" fontId="5" fillId="4" borderId="0" xfId="0" applyNumberFormat="1" applyFont="1" applyFill="1" applyAlignment="1">
      <alignment horizontal="center"/>
    </xf>
    <xf numFmtId="0" fontId="5" fillId="0" borderId="0" xfId="0" applyFont="1" applyAlignment="1" applyProtection="1">
      <alignment horizontal="center"/>
      <protection hidden="1"/>
    </xf>
    <xf numFmtId="8" fontId="23" fillId="0" borderId="10" xfId="0" applyNumberFormat="1" applyFont="1" applyBorder="1" applyAlignment="1" applyProtection="1">
      <alignment horizontal="center"/>
      <protection hidden="1"/>
    </xf>
    <xf numFmtId="164" fontId="5" fillId="0" borderId="1" xfId="0" applyNumberFormat="1" applyFont="1" applyBorder="1" applyAlignment="1" applyProtection="1">
      <alignment horizontal="center"/>
      <protection locked="0"/>
    </xf>
    <xf numFmtId="173" fontId="7" fillId="0" borderId="6" xfId="0" applyNumberFormat="1" applyFont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173" fontId="5" fillId="0" borderId="1" xfId="0" applyNumberFormat="1" applyFont="1" applyBorder="1" applyAlignment="1" applyProtection="1">
      <alignment horizontal="center"/>
      <protection locked="0"/>
    </xf>
    <xf numFmtId="165" fontId="7" fillId="0" borderId="6" xfId="0" applyNumberFormat="1" applyFont="1" applyBorder="1" applyAlignment="1" applyProtection="1">
      <alignment horizontal="center"/>
      <protection locked="0"/>
    </xf>
    <xf numFmtId="173" fontId="5" fillId="4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174" fontId="5" fillId="4" borderId="0" xfId="0" applyNumberFormat="1" applyFont="1" applyFill="1" applyAlignment="1" applyProtection="1">
      <alignment horizontal="center"/>
      <protection locked="0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quotePrefix="1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5" fillId="0" borderId="8" xfId="0" applyNumberFormat="1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right"/>
      <protection locked="0"/>
    </xf>
    <xf numFmtId="0" fontId="23" fillId="0" borderId="6" xfId="0" applyFont="1" applyBorder="1" applyAlignment="1" applyProtection="1">
      <alignment horizontal="right"/>
      <protection locked="0"/>
    </xf>
    <xf numFmtId="9" fontId="0" fillId="0" borderId="0" xfId="2" applyFont="1" applyAlignment="1">
      <alignment horizontal="center"/>
    </xf>
    <xf numFmtId="171" fontId="0" fillId="0" borderId="1" xfId="2" applyNumberFormat="1" applyFont="1" applyBorder="1" applyAlignment="1">
      <alignment horizontal="center"/>
    </xf>
    <xf numFmtId="171" fontId="0" fillId="0" borderId="20" xfId="2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8" fontId="7" fillId="3" borderId="6" xfId="0" applyNumberFormat="1" applyFont="1" applyFill="1" applyBorder="1" applyAlignment="1">
      <alignment horizontal="center"/>
    </xf>
    <xf numFmtId="0" fontId="4" fillId="7" borderId="0" xfId="0" applyFont="1" applyFill="1"/>
    <xf numFmtId="0" fontId="2" fillId="7" borderId="0" xfId="0" applyFont="1" applyFill="1"/>
    <xf numFmtId="10" fontId="0" fillId="0" borderId="0" xfId="0" applyNumberFormat="1" applyAlignment="1">
      <alignment horizontal="center"/>
    </xf>
    <xf numFmtId="171" fontId="2" fillId="7" borderId="0" xfId="2" applyNumberFormat="1" applyFont="1" applyFill="1" applyBorder="1" applyAlignment="1">
      <alignment horizontal="center"/>
    </xf>
    <xf numFmtId="171" fontId="0" fillId="0" borderId="5" xfId="2" applyNumberFormat="1" applyFont="1" applyBorder="1" applyAlignment="1">
      <alignment horizontal="center"/>
    </xf>
    <xf numFmtId="171" fontId="0" fillId="0" borderId="8" xfId="2" applyNumberFormat="1" applyFont="1" applyBorder="1" applyAlignment="1">
      <alignment horizontal="center"/>
    </xf>
    <xf numFmtId="171" fontId="0" fillId="0" borderId="15" xfId="2" applyNumberFormat="1" applyFont="1" applyBorder="1" applyAlignment="1">
      <alignment horizontal="center"/>
    </xf>
    <xf numFmtId="171" fontId="15" fillId="0" borderId="0" xfId="2" applyNumberFormat="1" applyFont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0" borderId="16" xfId="2" applyNumberFormat="1" applyFont="1" applyBorder="1" applyAlignment="1">
      <alignment horizontal="center"/>
    </xf>
    <xf numFmtId="171" fontId="0" fillId="0" borderId="17" xfId="2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26" fillId="2" borderId="0" xfId="0" applyFont="1" applyFill="1"/>
    <xf numFmtId="0" fontId="27" fillId="4" borderId="0" xfId="3" applyFont="1" applyFill="1"/>
    <xf numFmtId="0" fontId="27" fillId="2" borderId="0" xfId="3" applyFont="1" applyFill="1"/>
    <xf numFmtId="0" fontId="27" fillId="6" borderId="0" xfId="3" applyFont="1" applyFill="1"/>
    <xf numFmtId="0" fontId="27" fillId="5" borderId="0" xfId="3" applyFont="1" applyFill="1"/>
    <xf numFmtId="0" fontId="27" fillId="8" borderId="0" xfId="3" applyFont="1" applyFill="1"/>
    <xf numFmtId="0" fontId="4" fillId="0" borderId="0" xfId="0" applyFont="1"/>
    <xf numFmtId="0" fontId="0" fillId="4" borderId="6" xfId="0" applyFill="1" applyBorder="1" applyAlignment="1">
      <alignment horizontal="center"/>
    </xf>
    <xf numFmtId="168" fontId="5" fillId="4" borderId="6" xfId="0" applyNumberFormat="1" applyFont="1" applyFill="1" applyBorder="1" applyAlignment="1">
      <alignment horizontal="center"/>
    </xf>
    <xf numFmtId="39" fontId="5" fillId="4" borderId="6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 applyProtection="1">
      <alignment horizontal="center"/>
      <protection hidden="1"/>
    </xf>
    <xf numFmtId="167" fontId="5" fillId="4" borderId="6" xfId="0" applyNumberFormat="1" applyFont="1" applyFill="1" applyBorder="1" applyAlignment="1">
      <alignment horizontal="center"/>
    </xf>
    <xf numFmtId="168" fontId="5" fillId="4" borderId="19" xfId="0" applyNumberFormat="1" applyFont="1" applyFill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10" fontId="0" fillId="4" borderId="6" xfId="0" applyNumberFormat="1" applyFill="1" applyBorder="1" applyAlignment="1">
      <alignment horizontal="center"/>
    </xf>
    <xf numFmtId="166" fontId="5" fillId="4" borderId="6" xfId="0" applyNumberFormat="1" applyFont="1" applyFill="1" applyBorder="1"/>
    <xf numFmtId="165" fontId="5" fillId="4" borderId="6" xfId="0" applyNumberFormat="1" applyFont="1" applyFill="1" applyBorder="1"/>
    <xf numFmtId="164" fontId="5" fillId="4" borderId="6" xfId="0" applyNumberFormat="1" applyFont="1" applyFill="1" applyBorder="1"/>
    <xf numFmtId="167" fontId="5" fillId="4" borderId="6" xfId="0" applyNumberFormat="1" applyFont="1" applyFill="1" applyBorder="1"/>
    <xf numFmtId="2" fontId="5" fillId="4" borderId="6" xfId="0" applyNumberFormat="1" applyFont="1" applyFill="1" applyBorder="1"/>
    <xf numFmtId="10" fontId="5" fillId="4" borderId="6" xfId="0" applyNumberFormat="1" applyFont="1" applyFill="1" applyBorder="1"/>
    <xf numFmtId="0" fontId="2" fillId="0" borderId="0" xfId="0" applyFont="1"/>
    <xf numFmtId="10" fontId="0" fillId="4" borderId="6" xfId="2" applyNumberFormat="1" applyFont="1" applyFill="1" applyBorder="1" applyAlignment="1">
      <alignment horizontal="center"/>
    </xf>
    <xf numFmtId="171" fontId="0" fillId="4" borderId="22" xfId="0" applyNumberFormat="1" applyFill="1" applyBorder="1" applyAlignment="1">
      <alignment horizontal="center"/>
    </xf>
    <xf numFmtId="171" fontId="0" fillId="4" borderId="10" xfId="0" applyNumberFormat="1" applyFill="1" applyBorder="1" applyAlignment="1">
      <alignment horizontal="center"/>
    </xf>
    <xf numFmtId="173" fontId="5" fillId="4" borderId="6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8" fontId="4" fillId="7" borderId="0" xfId="1" applyNumberFormat="1" applyFont="1" applyFill="1" applyAlignment="1">
      <alignment horizontal="center"/>
    </xf>
    <xf numFmtId="0" fontId="5" fillId="0" borderId="0" xfId="0" applyFont="1" applyAlignment="1" applyProtection="1">
      <alignment horizontal="left"/>
      <protection locked="0"/>
    </xf>
    <xf numFmtId="8" fontId="29" fillId="0" borderId="0" xfId="1" applyNumberFormat="1" applyFont="1" applyAlignment="1">
      <alignment horizontal="center"/>
    </xf>
    <xf numFmtId="0" fontId="30" fillId="0" borderId="0" xfId="0" applyFont="1" applyAlignment="1">
      <alignment horizontal="left"/>
    </xf>
    <xf numFmtId="0" fontId="31" fillId="0" borderId="17" xfId="0" applyFont="1" applyBorder="1" applyProtection="1">
      <protection locked="0"/>
    </xf>
    <xf numFmtId="0" fontId="0" fillId="0" borderId="17" xfId="0" applyBorder="1" applyAlignment="1">
      <alignment horizontal="center"/>
    </xf>
    <xf numFmtId="171" fontId="0" fillId="4" borderId="22" xfId="0" applyNumberFormat="1" applyFill="1" applyBorder="1"/>
    <xf numFmtId="171" fontId="0" fillId="0" borderId="0" xfId="0" applyNumberFormat="1"/>
    <xf numFmtId="44" fontId="29" fillId="0" borderId="0" xfId="1" applyFont="1" applyAlignment="1">
      <alignment vertical="center"/>
    </xf>
    <xf numFmtId="0" fontId="3" fillId="0" borderId="17" xfId="0" applyFont="1" applyBorder="1" applyAlignment="1">
      <alignment horizontal="left"/>
    </xf>
    <xf numFmtId="0" fontId="3" fillId="0" borderId="0" xfId="0" applyFont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right" vertical="center" textRotation="90"/>
    </xf>
    <xf numFmtId="0" fontId="23" fillId="0" borderId="9" xfId="0" applyFont="1" applyBorder="1" applyAlignment="1" applyProtection="1">
      <alignment horizontal="center"/>
      <protection locked="0"/>
    </xf>
    <xf numFmtId="0" fontId="23" fillId="0" borderId="10" xfId="0" applyFont="1" applyBorder="1" applyAlignment="1" applyProtection="1">
      <alignment horizontal="center"/>
      <protection locked="0"/>
    </xf>
    <xf numFmtId="0" fontId="3" fillId="0" borderId="17" xfId="0" applyFont="1" applyBorder="1" applyAlignment="1">
      <alignment horizontal="center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6">
    <dxf>
      <fill>
        <patternFill>
          <bgColor theme="5" tint="0.59996337778862885"/>
        </patternFill>
      </fill>
    </dxf>
    <dxf>
      <fill>
        <patternFill>
          <bgColor indexed="43"/>
        </patternFill>
      </fill>
    </dxf>
    <dxf>
      <fill>
        <patternFill>
          <bgColor theme="5" tint="0.59996337778862885"/>
        </patternFill>
      </fill>
    </dxf>
    <dxf>
      <fill>
        <patternFill>
          <bgColor indexed="43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ffice" id="{98E965C4-A387-46A0-AC94-1F066D7A68AB}" userId="S::138135@office365works.net::96ee6a9c-faf6-4c0d-8650-2a7d9a530c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1-18T02:39:37.96" personId="{98E965C4-A387-46A0-AC94-1F066D7A68AB}" id="{21DCFFB1-40B9-4210-8795-05C138B4A7EA}">
    <text># of periods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18T02:39:37.96" personId="{98E965C4-A387-46A0-AC94-1F066D7A68AB}" id="{64F1C3DD-EBC1-45C6-93CC-CCF3ECC53390}">
    <text># of periods</text>
  </threadedComment>
  <threadedComment ref="C28" dT="2026-01-18T03:02:52.80" personId="{98E965C4-A387-46A0-AC94-1F066D7A68AB}" id="{2F72B0A5-3676-4D17-9AB7-7E3C9549505B}">
    <text>Use Goalseek to set right side of equation equal to left side (type in left side), by changing this cell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0EDD-2EBA-47C2-A476-4833DC69B3FC}">
  <dimension ref="A2:G14"/>
  <sheetViews>
    <sheetView showGridLines="0" tabSelected="1" workbookViewId="0">
      <selection activeCell="J25" sqref="J25"/>
    </sheetView>
  </sheetViews>
  <sheetFormatPr defaultRowHeight="14.4" x14ac:dyDescent="0.3"/>
  <cols>
    <col min="1" max="1" width="20.44140625" customWidth="1"/>
  </cols>
  <sheetData>
    <row r="2" spans="1:7" ht="17.399999999999999" x14ac:dyDescent="0.3">
      <c r="A2" s="151" t="s">
        <v>41</v>
      </c>
      <c r="B2" s="88"/>
      <c r="C2" s="88"/>
      <c r="D2" s="88"/>
      <c r="E2" s="88"/>
      <c r="F2" s="88"/>
      <c r="G2" s="88"/>
    </row>
    <row r="3" spans="1:7" x14ac:dyDescent="0.3">
      <c r="A3" s="89" t="s">
        <v>109</v>
      </c>
      <c r="B3" s="88"/>
      <c r="C3" s="88"/>
      <c r="D3" s="88"/>
      <c r="E3" s="88"/>
      <c r="F3" s="88"/>
      <c r="G3" s="88"/>
    </row>
    <row r="4" spans="1:7" x14ac:dyDescent="0.3">
      <c r="A4" s="89" t="s">
        <v>108</v>
      </c>
      <c r="B4" s="88"/>
      <c r="C4" s="88"/>
      <c r="D4" s="88"/>
      <c r="E4" s="88"/>
      <c r="F4" s="88"/>
      <c r="G4" s="88"/>
    </row>
    <row r="5" spans="1:7" x14ac:dyDescent="0.3">
      <c r="A5" s="89" t="s">
        <v>98</v>
      </c>
      <c r="B5" s="88"/>
      <c r="C5" s="88"/>
      <c r="D5" s="88"/>
      <c r="E5" s="88"/>
      <c r="F5" s="88"/>
      <c r="G5" s="88"/>
    </row>
    <row r="6" spans="1:7" x14ac:dyDescent="0.3">
      <c r="A6" s="90" t="s">
        <v>42</v>
      </c>
      <c r="B6" s="88"/>
      <c r="C6" s="88"/>
      <c r="D6" s="88"/>
      <c r="E6" s="88"/>
      <c r="F6" s="88"/>
      <c r="G6" s="88"/>
    </row>
    <row r="9" spans="1:7" ht="18" x14ac:dyDescent="0.35">
      <c r="A9" s="68" t="s">
        <v>105</v>
      </c>
    </row>
    <row r="10" spans="1:7" x14ac:dyDescent="0.3">
      <c r="A10" s="152" t="s">
        <v>99</v>
      </c>
      <c r="B10" t="s">
        <v>107</v>
      </c>
    </row>
    <row r="11" spans="1:7" x14ac:dyDescent="0.3">
      <c r="A11" s="153" t="s">
        <v>103</v>
      </c>
      <c r="B11" t="s">
        <v>106</v>
      </c>
    </row>
    <row r="12" spans="1:7" x14ac:dyDescent="0.3">
      <c r="A12" s="154" t="s">
        <v>104</v>
      </c>
      <c r="B12" t="s">
        <v>100</v>
      </c>
    </row>
    <row r="13" spans="1:7" x14ac:dyDescent="0.3">
      <c r="A13" s="155" t="s">
        <v>102</v>
      </c>
      <c r="B13" t="s">
        <v>101</v>
      </c>
    </row>
    <row r="14" spans="1:7" x14ac:dyDescent="0.3">
      <c r="A14" s="156" t="s">
        <v>120</v>
      </c>
      <c r="B14" t="s">
        <v>121</v>
      </c>
    </row>
  </sheetData>
  <hyperlinks>
    <hyperlink ref="A10" location="WACC!A1" display="WACC: " xr:uid="{E103AA41-BD85-44CA-8E79-DE6B77516676}"/>
    <hyperlink ref="A11" location="Assumptions!A1" display="Assumptions:" xr:uid="{2A7595CF-1F34-43EE-B63A-35C01A129185}"/>
    <hyperlink ref="A12" location="NWC!A1" display="NWC:" xr:uid="{2FF9F173-3124-43BB-AE11-3CE3B9B6184F}"/>
    <hyperlink ref="A13" location="DCF!A1" display="DCF:" xr:uid="{BED5D689-D212-4F6D-95E0-D2B2C68DE31D}"/>
    <hyperlink ref="A14" location="'Perpetuity, Multiples'!A1" display="Perpetuity, Multiples:" xr:uid="{5A6072F5-34AA-431F-AB40-C0C2A19556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1446-90C1-40C3-88E6-0E43BB35755D}">
  <sheetPr>
    <tabColor rgb="FFFFFF00"/>
  </sheetPr>
  <dimension ref="A1:W24"/>
  <sheetViews>
    <sheetView showGridLines="0" zoomScale="80" zoomScaleNormal="80" workbookViewId="0">
      <selection activeCell="E22" sqref="E22"/>
    </sheetView>
  </sheetViews>
  <sheetFormatPr defaultRowHeight="14.4" x14ac:dyDescent="0.3"/>
  <cols>
    <col min="2" max="2" width="11.88671875" customWidth="1"/>
    <col min="3" max="3" width="19" bestFit="1" customWidth="1"/>
    <col min="4" max="4" width="9.77734375" style="1" bestFit="1" customWidth="1"/>
    <col min="7" max="7" width="9" customWidth="1"/>
    <col min="8" max="8" width="14.6640625" customWidth="1"/>
    <col min="9" max="9" width="10.77734375" customWidth="1"/>
    <col min="10" max="10" width="13.5546875" bestFit="1" customWidth="1"/>
    <col min="11" max="11" width="3.5546875" bestFit="1" customWidth="1"/>
    <col min="12" max="12" width="18.33203125" bestFit="1" customWidth="1"/>
    <col min="13" max="23" width="8.88671875" style="1"/>
  </cols>
  <sheetData>
    <row r="1" spans="1:23" x14ac:dyDescent="0.3">
      <c r="A1" s="140" t="s">
        <v>93</v>
      </c>
      <c r="B1" s="139"/>
      <c r="C1" s="139"/>
      <c r="D1" s="139"/>
    </row>
    <row r="2" spans="1:23" x14ac:dyDescent="0.3">
      <c r="D2"/>
    </row>
    <row r="3" spans="1:23" x14ac:dyDescent="0.3">
      <c r="B3" s="8" t="s">
        <v>28</v>
      </c>
      <c r="C3" s="3"/>
      <c r="D3" s="9"/>
      <c r="H3" s="72" t="s">
        <v>92</v>
      </c>
      <c r="I3" s="158">
        <v>0.05</v>
      </c>
      <c r="L3" s="72" t="s">
        <v>92</v>
      </c>
      <c r="M3" s="158">
        <v>0.05</v>
      </c>
    </row>
    <row r="4" spans="1:23" x14ac:dyDescent="0.3">
      <c r="B4" s="3"/>
      <c r="C4" s="3" t="s">
        <v>29</v>
      </c>
      <c r="D4" s="159">
        <v>7.0000000000000007E-2</v>
      </c>
      <c r="L4" s="1" t="s">
        <v>95</v>
      </c>
      <c r="M4" s="158">
        <v>2.5000000000000001E-3</v>
      </c>
    </row>
    <row r="5" spans="1:23" x14ac:dyDescent="0.3">
      <c r="B5" s="3"/>
      <c r="C5" s="3" t="s">
        <v>30</v>
      </c>
      <c r="D5" s="163">
        <v>0.4</v>
      </c>
    </row>
    <row r="6" spans="1:23" x14ac:dyDescent="0.3">
      <c r="B6" s="3"/>
      <c r="C6" s="20" t="s">
        <v>31</v>
      </c>
      <c r="D6" s="164">
        <f>D4*(1-D5)</f>
        <v>4.2000000000000003E-2</v>
      </c>
      <c r="H6" s="187" t="s">
        <v>97</v>
      </c>
      <c r="I6" s="187"/>
      <c r="L6" s="150" t="s">
        <v>96</v>
      </c>
    </row>
    <row r="7" spans="1:23" x14ac:dyDescent="0.3">
      <c r="B7" s="21"/>
      <c r="C7" s="3"/>
      <c r="D7" s="9"/>
      <c r="H7" s="136" t="s">
        <v>33</v>
      </c>
      <c r="I7" s="137" t="s">
        <v>44</v>
      </c>
      <c r="L7" s="119"/>
      <c r="M7" s="190" t="s">
        <v>94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1:23" x14ac:dyDescent="0.3">
      <c r="B8" s="8" t="s">
        <v>32</v>
      </c>
      <c r="C8" s="3"/>
      <c r="D8" s="9"/>
      <c r="H8" s="133"/>
      <c r="I8" s="142">
        <f>WACC</f>
        <v>9.8564436574701472E-2</v>
      </c>
      <c r="L8" s="142">
        <f>WACC</f>
        <v>9.8564436574701472E-2</v>
      </c>
      <c r="M8" s="165">
        <v>6.0499999999999998E-2</v>
      </c>
      <c r="N8" s="141">
        <f>M8+$M$4</f>
        <v>6.3E-2</v>
      </c>
      <c r="O8" s="141">
        <f t="shared" ref="O8:W8" si="0">N8+$M$4</f>
        <v>6.5500000000000003E-2</v>
      </c>
      <c r="P8" s="141">
        <f t="shared" si="0"/>
        <v>6.8000000000000005E-2</v>
      </c>
      <c r="Q8" s="141">
        <f t="shared" si="0"/>
        <v>7.0500000000000007E-2</v>
      </c>
      <c r="R8" s="141">
        <f t="shared" si="0"/>
        <v>7.3000000000000009E-2</v>
      </c>
      <c r="S8" s="141">
        <f t="shared" si="0"/>
        <v>7.5500000000000012E-2</v>
      </c>
      <c r="T8" s="141">
        <f t="shared" si="0"/>
        <v>7.8000000000000014E-2</v>
      </c>
      <c r="U8" s="141">
        <f t="shared" si="0"/>
        <v>8.0500000000000016E-2</v>
      </c>
      <c r="V8" s="141">
        <f t="shared" si="0"/>
        <v>8.3000000000000018E-2</v>
      </c>
      <c r="W8" s="141">
        <f t="shared" si="0"/>
        <v>8.550000000000002E-2</v>
      </c>
    </row>
    <row r="9" spans="1:23" x14ac:dyDescent="0.3">
      <c r="B9" s="3"/>
      <c r="C9" s="3" t="s">
        <v>45</v>
      </c>
      <c r="D9" s="159">
        <v>2.5000000000000001E-2</v>
      </c>
      <c r="H9" s="158">
        <v>0.35</v>
      </c>
      <c r="I9" s="131">
        <f t="dataTable" ref="I9:I24" dt2D="0" dtr="0" r1="D10"/>
        <v>4.795415121838964E-2</v>
      </c>
      <c r="K9" s="188" t="s">
        <v>33</v>
      </c>
      <c r="L9" s="158">
        <v>0.35</v>
      </c>
      <c r="M9" s="147">
        <f t="dataTable" ref="M9:W23" dt2D="1" dtr="1" r1="D10" r2="D11" ca="1"/>
        <v>4.5655673725996583E-2</v>
      </c>
      <c r="N9" s="143">
        <v>4.64218328901276E-2</v>
      </c>
      <c r="O9" s="143">
        <v>4.7187992054258616E-2</v>
      </c>
      <c r="P9" s="143">
        <v>4.795415121838964E-2</v>
      </c>
      <c r="Q9" s="143">
        <v>4.8720310382520657E-2</v>
      </c>
      <c r="R9" s="143">
        <v>4.9486469546651674E-2</v>
      </c>
      <c r="S9" s="143">
        <v>5.0252628710782697E-2</v>
      </c>
      <c r="T9" s="143">
        <v>5.1018787874913714E-2</v>
      </c>
      <c r="U9" s="143">
        <v>5.1784947039044731E-2</v>
      </c>
      <c r="V9" s="143">
        <v>5.2551106203175747E-2</v>
      </c>
      <c r="W9" s="144">
        <v>5.3317265367306764E-2</v>
      </c>
    </row>
    <row r="10" spans="1:23" x14ac:dyDescent="0.3">
      <c r="B10" s="3"/>
      <c r="C10" s="3" t="s">
        <v>33</v>
      </c>
      <c r="D10" s="160">
        <v>1.2</v>
      </c>
      <c r="H10" s="134">
        <f t="shared" ref="H10:H24" si="1">H9+$I$3</f>
        <v>0.39999999999999997</v>
      </c>
      <c r="I10" s="131">
        <v>5.0931226827584448E-2</v>
      </c>
      <c r="K10" s="189"/>
      <c r="L10" s="1">
        <f>L9+$M$3</f>
        <v>0.39999999999999997</v>
      </c>
      <c r="M10" s="145">
        <v>4.8304395407706667E-2</v>
      </c>
      <c r="N10" s="146">
        <v>4.9180005880999259E-2</v>
      </c>
      <c r="O10" s="147">
        <v>5.005561635429185E-2</v>
      </c>
      <c r="P10" s="147">
        <v>5.0931226827584448E-2</v>
      </c>
      <c r="Q10" s="147">
        <v>5.180683730087704E-2</v>
      </c>
      <c r="R10" s="147">
        <v>5.2682447774169631E-2</v>
      </c>
      <c r="S10" s="147">
        <v>5.3558058247462223E-2</v>
      </c>
      <c r="T10" s="147">
        <v>5.4433668720754821E-2</v>
      </c>
      <c r="U10" s="147">
        <v>5.530927919404742E-2</v>
      </c>
      <c r="V10" s="147">
        <v>5.6184889667340011E-2</v>
      </c>
      <c r="W10" s="131">
        <v>5.7060500140632603E-2</v>
      </c>
    </row>
    <row r="11" spans="1:23" x14ac:dyDescent="0.3">
      <c r="B11" s="3"/>
      <c r="C11" s="3" t="s">
        <v>34</v>
      </c>
      <c r="D11" s="159">
        <v>6.8000000000000005E-2</v>
      </c>
      <c r="H11" s="134">
        <f t="shared" si="1"/>
        <v>0.44999999999999996</v>
      </c>
      <c r="I11" s="131">
        <v>5.3908302436779264E-2</v>
      </c>
      <c r="K11" s="189"/>
      <c r="L11" s="1">
        <f t="shared" ref="L11:L23" si="2">L10+$M$3</f>
        <v>0.44999999999999996</v>
      </c>
      <c r="M11" s="145">
        <v>5.0953117089416758E-2</v>
      </c>
      <c r="N11" s="147">
        <v>5.1938178871870924E-2</v>
      </c>
      <c r="O11" s="147">
        <v>5.2923240654325091E-2</v>
      </c>
      <c r="P11" s="147">
        <v>5.3908302436779264E-2</v>
      </c>
      <c r="Q11" s="147">
        <v>5.4893364219233437E-2</v>
      </c>
      <c r="R11" s="147">
        <v>5.5878426001687603E-2</v>
      </c>
      <c r="S11" s="147">
        <v>5.686348778414177E-2</v>
      </c>
      <c r="T11" s="147">
        <v>5.7848549566595936E-2</v>
      </c>
      <c r="U11" s="147">
        <v>5.8833611349050095E-2</v>
      </c>
      <c r="V11" s="147">
        <v>5.9818673131504269E-2</v>
      </c>
      <c r="W11" s="131">
        <v>6.0803734913958435E-2</v>
      </c>
    </row>
    <row r="12" spans="1:23" x14ac:dyDescent="0.3">
      <c r="B12" s="3"/>
      <c r="C12" s="20" t="s">
        <v>35</v>
      </c>
      <c r="D12" s="164">
        <f>D9+(D10*D11)</f>
        <v>0.1066</v>
      </c>
      <c r="H12" s="134">
        <f t="shared" si="1"/>
        <v>0.49999999999999994</v>
      </c>
      <c r="I12" s="131">
        <v>5.6885378045974079E-2</v>
      </c>
      <c r="K12" s="189"/>
      <c r="L12" s="1">
        <f t="shared" si="2"/>
        <v>0.49999999999999994</v>
      </c>
      <c r="M12" s="145">
        <v>5.3601838771126849E-2</v>
      </c>
      <c r="N12" s="147">
        <v>5.469635186274259E-2</v>
      </c>
      <c r="O12" s="147">
        <v>5.5790864954358331E-2</v>
      </c>
      <c r="P12" s="147">
        <v>5.6885378045974079E-2</v>
      </c>
      <c r="Q12" s="147">
        <v>5.797989113758982E-2</v>
      </c>
      <c r="R12" s="147">
        <v>5.9074404229205561E-2</v>
      </c>
      <c r="S12" s="147">
        <v>6.0168917320821302E-2</v>
      </c>
      <c r="T12" s="147">
        <v>6.1263430412437044E-2</v>
      </c>
      <c r="U12" s="147">
        <v>6.2357943504052785E-2</v>
      </c>
      <c r="V12" s="147">
        <v>6.3452456595668519E-2</v>
      </c>
      <c r="W12" s="131">
        <v>6.4546969687284267E-2</v>
      </c>
    </row>
    <row r="13" spans="1:23" x14ac:dyDescent="0.3">
      <c r="B13" s="21"/>
      <c r="C13" s="3"/>
      <c r="D13" s="9"/>
      <c r="H13" s="134">
        <f t="shared" si="1"/>
        <v>0.54999999999999993</v>
      </c>
      <c r="I13" s="131">
        <v>5.9862453655168894E-2</v>
      </c>
      <c r="K13" s="189"/>
      <c r="L13" s="1">
        <f t="shared" si="2"/>
        <v>0.54999999999999993</v>
      </c>
      <c r="M13" s="145">
        <v>5.6250560452836947E-2</v>
      </c>
      <c r="N13" s="147">
        <v>5.7454524853614262E-2</v>
      </c>
      <c r="O13" s="147">
        <v>5.8658489254391578E-2</v>
      </c>
      <c r="P13" s="147">
        <v>5.9862453655168894E-2</v>
      </c>
      <c r="Q13" s="147">
        <v>6.106641805594621E-2</v>
      </c>
      <c r="R13" s="147">
        <v>6.2270382456723519E-2</v>
      </c>
      <c r="S13" s="147">
        <v>6.3474346857500835E-2</v>
      </c>
      <c r="T13" s="147">
        <v>6.4678311258278151E-2</v>
      </c>
      <c r="U13" s="147">
        <v>6.5882275659055467E-2</v>
      </c>
      <c r="V13" s="147">
        <v>6.7086240059832783E-2</v>
      </c>
      <c r="W13" s="131">
        <v>6.8290204460610099E-2</v>
      </c>
    </row>
    <row r="14" spans="1:23" x14ac:dyDescent="0.3">
      <c r="B14" s="8" t="s">
        <v>36</v>
      </c>
      <c r="C14" s="3"/>
      <c r="D14" s="9"/>
      <c r="E14" s="3"/>
      <c r="H14" s="134">
        <f t="shared" si="1"/>
        <v>0.6</v>
      </c>
      <c r="I14" s="131">
        <v>6.2839529264363703E-2</v>
      </c>
      <c r="K14" s="189"/>
      <c r="L14" s="1">
        <f t="shared" si="2"/>
        <v>0.6</v>
      </c>
      <c r="M14" s="145">
        <v>5.8899282134547044E-2</v>
      </c>
      <c r="N14" s="147">
        <v>6.0212697844485928E-2</v>
      </c>
      <c r="O14" s="147">
        <v>6.1526113554424819E-2</v>
      </c>
      <c r="P14" s="147">
        <v>6.2839529264363703E-2</v>
      </c>
      <c r="Q14" s="147">
        <v>6.4152944974302586E-2</v>
      </c>
      <c r="R14" s="147">
        <v>6.5466360684241484E-2</v>
      </c>
      <c r="S14" s="147">
        <v>6.6779776394180368E-2</v>
      </c>
      <c r="T14" s="147">
        <v>6.8093192104119266E-2</v>
      </c>
      <c r="U14" s="147">
        <v>6.9406607814058149E-2</v>
      </c>
      <c r="V14" s="147">
        <v>7.0720023523997033E-2</v>
      </c>
      <c r="W14" s="131">
        <v>7.2033439233935931E-2</v>
      </c>
    </row>
    <row r="15" spans="1:23" x14ac:dyDescent="0.3">
      <c r="B15" s="3"/>
      <c r="C15" s="3" t="s">
        <v>37</v>
      </c>
      <c r="D15" s="161">
        <v>1945.9</v>
      </c>
      <c r="E15" s="22">
        <f>IFERROR(D15/$D$17,"")</f>
        <v>0.12438952670740751</v>
      </c>
      <c r="H15" s="134">
        <f t="shared" si="1"/>
        <v>0.65</v>
      </c>
      <c r="I15" s="131">
        <v>6.5816604873558532E-2</v>
      </c>
      <c r="K15" s="189"/>
      <c r="L15" s="1">
        <f t="shared" si="2"/>
        <v>0.65</v>
      </c>
      <c r="M15" s="145">
        <v>6.1548003816257128E-2</v>
      </c>
      <c r="N15" s="147">
        <v>6.2970870835357601E-2</v>
      </c>
      <c r="O15" s="147">
        <v>6.4393737854458052E-2</v>
      </c>
      <c r="P15" s="147">
        <v>6.5816604873558532E-2</v>
      </c>
      <c r="Q15" s="147">
        <v>6.7239471892658983E-2</v>
      </c>
      <c r="R15" s="147">
        <v>6.8662338911759449E-2</v>
      </c>
      <c r="S15" s="147">
        <v>7.0085205930859901E-2</v>
      </c>
      <c r="T15" s="147">
        <v>7.150807294996038E-2</v>
      </c>
      <c r="U15" s="147">
        <v>7.2930939969060832E-2</v>
      </c>
      <c r="V15" s="147">
        <v>7.4353806988161311E-2</v>
      </c>
      <c r="W15" s="131">
        <v>7.5776674007261763E-2</v>
      </c>
    </row>
    <row r="16" spans="1:23" x14ac:dyDescent="0.3">
      <c r="B16" s="3"/>
      <c r="C16" s="3" t="s">
        <v>38</v>
      </c>
      <c r="D16" s="162">
        <v>13697.7</v>
      </c>
      <c r="E16" s="22">
        <f>IFERROR(D16/$D$17,"")</f>
        <v>0.87561047329259256</v>
      </c>
      <c r="H16" s="134">
        <f t="shared" si="1"/>
        <v>0.70000000000000007</v>
      </c>
      <c r="I16" s="131">
        <v>6.8793680482753347E-2</v>
      </c>
      <c r="K16" s="189"/>
      <c r="L16" s="1">
        <f t="shared" si="2"/>
        <v>0.70000000000000007</v>
      </c>
      <c r="M16" s="145">
        <v>6.4196725497967233E-2</v>
      </c>
      <c r="N16" s="147">
        <v>6.5729043826229266E-2</v>
      </c>
      <c r="O16" s="147">
        <v>6.72613621544913E-2</v>
      </c>
      <c r="P16" s="147">
        <v>6.8793680482753347E-2</v>
      </c>
      <c r="Q16" s="147">
        <v>7.0325998811015381E-2</v>
      </c>
      <c r="R16" s="147">
        <v>7.1858317139277414E-2</v>
      </c>
      <c r="S16" s="147">
        <v>7.3390635467539461E-2</v>
      </c>
      <c r="T16" s="147">
        <v>7.4922953795801495E-2</v>
      </c>
      <c r="U16" s="147">
        <v>7.6455272124063528E-2</v>
      </c>
      <c r="V16" s="147">
        <v>7.7987590452325575E-2</v>
      </c>
      <c r="W16" s="131">
        <v>7.9519908780587609E-2</v>
      </c>
    </row>
    <row r="17" spans="2:23" x14ac:dyDescent="0.3">
      <c r="B17" s="3"/>
      <c r="C17" s="20" t="s">
        <v>39</v>
      </c>
      <c r="D17" s="42">
        <f>SUM(D15:D16)</f>
        <v>15643.6</v>
      </c>
      <c r="E17" s="23">
        <f>SUM(E15:E16)</f>
        <v>1</v>
      </c>
      <c r="H17" s="134">
        <f t="shared" si="1"/>
        <v>0.75000000000000011</v>
      </c>
      <c r="I17" s="131">
        <v>7.1770756091948162E-2</v>
      </c>
      <c r="K17" s="189"/>
      <c r="L17" s="1">
        <f t="shared" si="2"/>
        <v>0.75000000000000011</v>
      </c>
      <c r="M17" s="145">
        <v>6.6845447179677317E-2</v>
      </c>
      <c r="N17" s="147">
        <v>6.8487216817100932E-2</v>
      </c>
      <c r="O17" s="147">
        <v>7.0128986454524547E-2</v>
      </c>
      <c r="P17" s="147">
        <v>7.1770756091948162E-2</v>
      </c>
      <c r="Q17" s="147">
        <v>7.3412525729371764E-2</v>
      </c>
      <c r="R17" s="147">
        <v>7.5054295366795379E-2</v>
      </c>
      <c r="S17" s="147">
        <v>7.6696065004218994E-2</v>
      </c>
      <c r="T17" s="147">
        <v>7.8337834641642609E-2</v>
      </c>
      <c r="U17" s="147">
        <v>7.9979604279066224E-2</v>
      </c>
      <c r="V17" s="147">
        <v>8.1621373916489826E-2</v>
      </c>
      <c r="W17" s="131">
        <v>8.3263143553913455E-2</v>
      </c>
    </row>
    <row r="18" spans="2:23" x14ac:dyDescent="0.3">
      <c r="B18" s="21"/>
      <c r="C18" s="3"/>
      <c r="D18" s="9"/>
      <c r="E18" s="3"/>
      <c r="H18" s="134">
        <f t="shared" si="1"/>
        <v>0.80000000000000016</v>
      </c>
      <c r="I18" s="131">
        <v>7.4747831701142978E-2</v>
      </c>
      <c r="K18" s="189"/>
      <c r="L18" s="1">
        <f t="shared" si="2"/>
        <v>0.80000000000000016</v>
      </c>
      <c r="M18" s="145">
        <v>6.9494168861387415E-2</v>
      </c>
      <c r="N18" s="147">
        <v>7.1245389807972598E-2</v>
      </c>
      <c r="O18" s="147">
        <v>7.2996610754557781E-2</v>
      </c>
      <c r="P18" s="147">
        <v>7.4747831701142978E-2</v>
      </c>
      <c r="Q18" s="147">
        <v>7.6499052647728175E-2</v>
      </c>
      <c r="R18" s="147">
        <v>7.8250273594313358E-2</v>
      </c>
      <c r="S18" s="147">
        <v>8.0001494540898541E-2</v>
      </c>
      <c r="T18" s="147">
        <v>8.1752715487483724E-2</v>
      </c>
      <c r="U18" s="147">
        <v>8.3503936434068921E-2</v>
      </c>
      <c r="V18" s="147">
        <v>8.5255157380654104E-2</v>
      </c>
      <c r="W18" s="131">
        <v>8.7006378327239287E-2</v>
      </c>
    </row>
    <row r="19" spans="2:23" x14ac:dyDescent="0.3">
      <c r="B19" s="24"/>
      <c r="C19" s="9" t="s">
        <v>44</v>
      </c>
      <c r="D19" s="138">
        <f>IFERROR((D6*E15) + (D12*E16),"")</f>
        <v>9.8564436574701472E-2</v>
      </c>
      <c r="H19" s="134">
        <f t="shared" si="1"/>
        <v>0.8500000000000002</v>
      </c>
      <c r="I19" s="131">
        <v>7.7724907310337779E-2</v>
      </c>
      <c r="K19" s="189"/>
      <c r="L19" s="1">
        <f t="shared" si="2"/>
        <v>0.8500000000000002</v>
      </c>
      <c r="M19" s="145">
        <v>7.2142890543097513E-2</v>
      </c>
      <c r="N19" s="147">
        <v>7.4003562798844263E-2</v>
      </c>
      <c r="O19" s="147">
        <v>7.5864235054591042E-2</v>
      </c>
      <c r="P19" s="147">
        <v>7.7724907310337779E-2</v>
      </c>
      <c r="Q19" s="147">
        <v>7.9585579566084558E-2</v>
      </c>
      <c r="R19" s="147">
        <v>8.1446251821831309E-2</v>
      </c>
      <c r="S19" s="147">
        <v>8.3306924077578087E-2</v>
      </c>
      <c r="T19" s="147">
        <v>8.5167596333324824E-2</v>
      </c>
      <c r="U19" s="147">
        <v>8.7028268589071603E-2</v>
      </c>
      <c r="V19" s="147">
        <v>8.8888940844818354E-2</v>
      </c>
      <c r="W19" s="131">
        <v>9.0749613100565119E-2</v>
      </c>
    </row>
    <row r="20" spans="2:23" x14ac:dyDescent="0.3">
      <c r="H20" s="134">
        <f t="shared" si="1"/>
        <v>0.90000000000000024</v>
      </c>
      <c r="I20" s="131">
        <v>8.0701982919532608E-2</v>
      </c>
      <c r="K20" s="189"/>
      <c r="L20" s="1">
        <f t="shared" si="2"/>
        <v>0.90000000000000024</v>
      </c>
      <c r="M20" s="145">
        <v>7.479161222480761E-2</v>
      </c>
      <c r="N20" s="147">
        <v>7.6761735789715943E-2</v>
      </c>
      <c r="O20" s="147">
        <v>7.8731859354624276E-2</v>
      </c>
      <c r="P20" s="147">
        <v>8.0701982919532608E-2</v>
      </c>
      <c r="Q20" s="147">
        <v>8.2672106484440955E-2</v>
      </c>
      <c r="R20" s="147">
        <v>8.4642230049349287E-2</v>
      </c>
      <c r="S20" s="147">
        <v>8.661235361425762E-2</v>
      </c>
      <c r="T20" s="147">
        <v>8.8582477179165953E-2</v>
      </c>
      <c r="U20" s="147">
        <v>9.0552600744074285E-2</v>
      </c>
      <c r="V20" s="147">
        <v>9.2522724308982618E-2</v>
      </c>
      <c r="W20" s="131">
        <v>9.4492847873890964E-2</v>
      </c>
    </row>
    <row r="21" spans="2:23" x14ac:dyDescent="0.3">
      <c r="H21" s="134">
        <f t="shared" si="1"/>
        <v>0.95000000000000029</v>
      </c>
      <c r="I21" s="131">
        <v>8.367905852872741E-2</v>
      </c>
      <c r="K21" s="189"/>
      <c r="L21" s="1">
        <f t="shared" si="2"/>
        <v>0.95000000000000029</v>
      </c>
      <c r="M21" s="145">
        <v>7.7440333906517694E-2</v>
      </c>
      <c r="N21" s="147">
        <v>7.9519908780587609E-2</v>
      </c>
      <c r="O21" s="147">
        <v>8.1599483654657523E-2</v>
      </c>
      <c r="P21" s="147">
        <v>8.367905852872741E-2</v>
      </c>
      <c r="Q21" s="147">
        <v>8.5758633402797338E-2</v>
      </c>
      <c r="R21" s="147">
        <v>8.7838208276867252E-2</v>
      </c>
      <c r="S21" s="147">
        <v>8.9917783150937153E-2</v>
      </c>
      <c r="T21" s="147">
        <v>9.1997358025007081E-2</v>
      </c>
      <c r="U21" s="147">
        <v>9.4076932899076968E-2</v>
      </c>
      <c r="V21" s="147">
        <v>9.6156507773146896E-2</v>
      </c>
      <c r="W21" s="131">
        <v>9.8236082647216796E-2</v>
      </c>
    </row>
    <row r="22" spans="2:23" x14ac:dyDescent="0.3">
      <c r="H22" s="134">
        <f t="shared" si="1"/>
        <v>1.0000000000000002</v>
      </c>
      <c r="I22" s="131">
        <v>8.6656134137922239E-2</v>
      </c>
      <c r="K22" s="189"/>
      <c r="L22" s="1">
        <f t="shared" si="2"/>
        <v>1.0000000000000002</v>
      </c>
      <c r="M22" s="145">
        <v>8.0089055588227792E-2</v>
      </c>
      <c r="N22" s="147">
        <v>8.2278081771459274E-2</v>
      </c>
      <c r="O22" s="147">
        <v>8.4467107954690757E-2</v>
      </c>
      <c r="P22" s="147">
        <v>8.6656134137922239E-2</v>
      </c>
      <c r="Q22" s="147">
        <v>8.8845160321153721E-2</v>
      </c>
      <c r="R22" s="147">
        <v>9.1034186504385203E-2</v>
      </c>
      <c r="S22" s="147">
        <v>9.3223212687616699E-2</v>
      </c>
      <c r="T22" s="147">
        <v>9.5412238870848182E-2</v>
      </c>
      <c r="U22" s="147">
        <v>9.7601265054079664E-2</v>
      </c>
      <c r="V22" s="147">
        <v>9.9790291237311146E-2</v>
      </c>
      <c r="W22" s="131">
        <v>0.10197931742054263</v>
      </c>
    </row>
    <row r="23" spans="2:23" x14ac:dyDescent="0.3">
      <c r="H23" s="134">
        <f t="shared" si="1"/>
        <v>1.0500000000000003</v>
      </c>
      <c r="I23" s="131">
        <v>8.963320974711704E-2</v>
      </c>
      <c r="K23" s="189"/>
      <c r="L23" s="1">
        <f t="shared" si="2"/>
        <v>1.0500000000000003</v>
      </c>
      <c r="M23" s="148">
        <v>8.273777726993789E-2</v>
      </c>
      <c r="N23" s="149">
        <v>8.5036254762330926E-2</v>
      </c>
      <c r="O23" s="149">
        <v>8.7334732254724004E-2</v>
      </c>
      <c r="P23" s="149">
        <v>8.963320974711704E-2</v>
      </c>
      <c r="Q23" s="149">
        <v>9.1931687239510118E-2</v>
      </c>
      <c r="R23" s="149">
        <v>9.4230164731903154E-2</v>
      </c>
      <c r="S23" s="149">
        <v>9.6528642224296232E-2</v>
      </c>
      <c r="T23" s="149">
        <v>9.8827119716689282E-2</v>
      </c>
      <c r="U23" s="149">
        <v>0.10112559720908235</v>
      </c>
      <c r="V23" s="149">
        <v>0.10342407470147541</v>
      </c>
      <c r="W23" s="132">
        <v>0.10572255219386846</v>
      </c>
    </row>
    <row r="24" spans="2:23" x14ac:dyDescent="0.3">
      <c r="H24" s="135">
        <f t="shared" si="1"/>
        <v>1.1000000000000003</v>
      </c>
      <c r="I24" s="132">
        <v>9.2610285356311869E-2</v>
      </c>
    </row>
  </sheetData>
  <mergeCells count="3">
    <mergeCell ref="H6:I6"/>
    <mergeCell ref="K9:K23"/>
    <mergeCell ref="M7:W7"/>
  </mergeCells>
  <conditionalFormatting sqref="H9:I24">
    <cfRule type="expression" dxfId="5" priority="2">
      <formula>H9=$D$10</formula>
    </cfRule>
  </conditionalFormatting>
  <conditionalFormatting sqref="M9:W23">
    <cfRule type="expression" dxfId="4" priority="1">
      <formula>ABS(M9-$L$8)&lt;0.00001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741E-1A40-4FE9-B67C-7473F4BFE0F7}">
  <sheetPr>
    <tabColor theme="5" tint="0.79998168889431442"/>
  </sheetPr>
  <dimension ref="A1:J26"/>
  <sheetViews>
    <sheetView showGridLines="0" zoomScale="80" zoomScaleNormal="80" workbookViewId="0">
      <selection activeCell="O28" sqref="O28"/>
    </sheetView>
  </sheetViews>
  <sheetFormatPr defaultRowHeight="14.4" x14ac:dyDescent="0.3"/>
  <cols>
    <col min="2" max="2" width="37.6640625" bestFit="1" customWidth="1"/>
  </cols>
  <sheetData>
    <row r="1" spans="1:10" x14ac:dyDescent="0.3">
      <c r="A1" s="140" t="s">
        <v>110</v>
      </c>
      <c r="B1" s="139"/>
      <c r="C1" s="139"/>
      <c r="D1" s="157"/>
    </row>
    <row r="2" spans="1:10" x14ac:dyDescent="0.3">
      <c r="B2" s="72" t="s">
        <v>64</v>
      </c>
      <c r="C2" s="158">
        <v>365</v>
      </c>
    </row>
    <row r="3" spans="1:10" ht="15" thickBot="1" x14ac:dyDescent="0.35">
      <c r="B3" s="72"/>
      <c r="C3" s="1"/>
    </row>
    <row r="4" spans="1:10" ht="15" thickBot="1" x14ac:dyDescent="0.35">
      <c r="C4" s="192" t="s">
        <v>0</v>
      </c>
      <c r="D4" s="193"/>
      <c r="E4" s="193"/>
      <c r="F4" s="27" t="s">
        <v>1</v>
      </c>
      <c r="G4" s="28"/>
      <c r="H4" s="28"/>
      <c r="I4" s="28"/>
      <c r="J4" s="29"/>
    </row>
    <row r="5" spans="1:10" x14ac:dyDescent="0.3">
      <c r="C5" s="1">
        <v>2023</v>
      </c>
      <c r="D5" s="1">
        <v>2024</v>
      </c>
      <c r="E5" s="25">
        <v>2025</v>
      </c>
      <c r="F5" s="1">
        <f>E5+1</f>
        <v>2026</v>
      </c>
      <c r="G5" s="1">
        <f t="shared" ref="G5:J5" si="0">F5+1</f>
        <v>2027</v>
      </c>
      <c r="H5" s="1">
        <f t="shared" si="0"/>
        <v>2028</v>
      </c>
      <c r="I5" s="1">
        <f t="shared" si="0"/>
        <v>2029</v>
      </c>
      <c r="J5" s="1">
        <f t="shared" si="0"/>
        <v>2030</v>
      </c>
    </row>
    <row r="6" spans="1:10" ht="18" x14ac:dyDescent="0.35">
      <c r="A6" s="69" t="s">
        <v>63</v>
      </c>
      <c r="C6" s="1"/>
      <c r="D6" s="1"/>
      <c r="E6" s="67"/>
      <c r="F6" s="1"/>
      <c r="G6" s="1"/>
      <c r="H6" s="1"/>
      <c r="I6" s="1"/>
      <c r="J6" s="1"/>
    </row>
    <row r="7" spans="1:10" x14ac:dyDescent="0.3">
      <c r="A7" s="8" t="s">
        <v>18</v>
      </c>
      <c r="B7" s="3"/>
      <c r="E7" s="12"/>
      <c r="G7" s="13"/>
      <c r="H7" s="3"/>
      <c r="J7" s="13"/>
    </row>
    <row r="8" spans="1:10" x14ac:dyDescent="0.3">
      <c r="A8" s="3"/>
      <c r="B8" s="2" t="s">
        <v>19</v>
      </c>
      <c r="C8" s="54" t="s">
        <v>27</v>
      </c>
      <c r="D8" s="55">
        <v>0.08</v>
      </c>
      <c r="E8" s="56">
        <v>0.13</v>
      </c>
      <c r="F8" s="166">
        <v>0.04</v>
      </c>
      <c r="G8" s="167">
        <v>0.04</v>
      </c>
      <c r="H8" s="167">
        <v>0.04</v>
      </c>
      <c r="I8" s="166">
        <v>0.04</v>
      </c>
      <c r="J8" s="167">
        <v>0.04</v>
      </c>
    </row>
    <row r="9" spans="1:10" x14ac:dyDescent="0.3">
      <c r="A9" s="3"/>
      <c r="B9" s="2" t="s">
        <v>20</v>
      </c>
      <c r="C9" s="55">
        <v>0.38</v>
      </c>
      <c r="D9" s="55">
        <v>0.15</v>
      </c>
      <c r="E9" s="56">
        <v>0.33</v>
      </c>
      <c r="F9" s="166">
        <f>AVERAGE(C9:E9)</f>
        <v>0.28666666666666668</v>
      </c>
      <c r="G9" s="166">
        <f>F9</f>
        <v>0.28666666666666668</v>
      </c>
      <c r="H9" s="166">
        <f t="shared" ref="H9:J9" si="1">G9</f>
        <v>0.28666666666666668</v>
      </c>
      <c r="I9" s="166">
        <f t="shared" si="1"/>
        <v>0.28666666666666668</v>
      </c>
      <c r="J9" s="166">
        <f t="shared" si="1"/>
        <v>0.28666666666666668</v>
      </c>
    </row>
    <row r="10" spans="1:10" x14ac:dyDescent="0.3">
      <c r="A10" s="3"/>
      <c r="B10" s="2" t="s">
        <v>21</v>
      </c>
      <c r="C10" s="55">
        <v>0.15</v>
      </c>
      <c r="D10" s="55">
        <v>0.13</v>
      </c>
      <c r="E10" s="56">
        <v>0.17</v>
      </c>
      <c r="F10" s="166">
        <f>AVERAGE(C10:E10)</f>
        <v>0.15000000000000002</v>
      </c>
      <c r="G10" s="167">
        <f>F10</f>
        <v>0.15000000000000002</v>
      </c>
      <c r="H10" s="167">
        <f t="shared" ref="H10:J13" si="2">G10</f>
        <v>0.15000000000000002</v>
      </c>
      <c r="I10" s="167">
        <f t="shared" si="2"/>
        <v>0.15000000000000002</v>
      </c>
      <c r="J10" s="167">
        <f t="shared" si="2"/>
        <v>0.15000000000000002</v>
      </c>
    </row>
    <row r="11" spans="1:10" x14ac:dyDescent="0.3">
      <c r="A11" s="8" t="s">
        <v>22</v>
      </c>
      <c r="B11" s="2"/>
      <c r="C11" s="55"/>
      <c r="D11" s="55"/>
      <c r="E11" s="56"/>
      <c r="F11" s="26"/>
      <c r="G11" s="14"/>
      <c r="H11" s="14"/>
      <c r="I11" s="26"/>
      <c r="J11" s="14"/>
    </row>
    <row r="12" spans="1:10" x14ac:dyDescent="0.3">
      <c r="A12" s="3"/>
      <c r="B12" s="2" t="s">
        <v>23</v>
      </c>
      <c r="C12" s="54" t="s">
        <v>27</v>
      </c>
      <c r="D12" s="57">
        <v>0.03</v>
      </c>
      <c r="E12" s="56">
        <v>0.05</v>
      </c>
      <c r="F12" s="166">
        <f>AVERAGE(C12:E12)</f>
        <v>0.04</v>
      </c>
      <c r="G12" s="167">
        <f>F12</f>
        <v>0.04</v>
      </c>
      <c r="H12" s="167">
        <f t="shared" si="2"/>
        <v>0.04</v>
      </c>
      <c r="I12" s="167">
        <f t="shared" si="2"/>
        <v>0.04</v>
      </c>
      <c r="J12" s="167">
        <f t="shared" si="2"/>
        <v>0.04</v>
      </c>
    </row>
    <row r="13" spans="1:10" x14ac:dyDescent="0.3">
      <c r="A13" s="3"/>
      <c r="B13" s="2" t="s">
        <v>24</v>
      </c>
      <c r="C13" s="54" t="s">
        <v>27</v>
      </c>
      <c r="D13" s="57">
        <v>0.55000000000000004</v>
      </c>
      <c r="E13" s="56">
        <v>0.55000000000000004</v>
      </c>
      <c r="F13" s="166">
        <f>AVERAGE(C13:E13)</f>
        <v>0.55000000000000004</v>
      </c>
      <c r="G13" s="167">
        <f>F13</f>
        <v>0.55000000000000004</v>
      </c>
      <c r="H13" s="167">
        <f t="shared" si="2"/>
        <v>0.55000000000000004</v>
      </c>
      <c r="I13" s="167">
        <f t="shared" si="2"/>
        <v>0.55000000000000004</v>
      </c>
      <c r="J13" s="167">
        <f t="shared" si="2"/>
        <v>0.55000000000000004</v>
      </c>
    </row>
    <row r="14" spans="1:10" x14ac:dyDescent="0.3">
      <c r="A14" s="3"/>
      <c r="B14" s="2"/>
      <c r="C14" s="55"/>
      <c r="D14" s="55"/>
      <c r="E14" s="56"/>
      <c r="F14" s="15"/>
      <c r="G14" s="14"/>
      <c r="H14" s="14"/>
      <c r="I14" s="15"/>
      <c r="J14" s="14"/>
    </row>
    <row r="15" spans="1:10" x14ac:dyDescent="0.3">
      <c r="A15" s="3"/>
      <c r="B15" s="2" t="s">
        <v>25</v>
      </c>
      <c r="C15" s="58" t="s">
        <v>27</v>
      </c>
      <c r="D15" s="37">
        <v>15</v>
      </c>
      <c r="E15" s="38">
        <v>15</v>
      </c>
      <c r="F15" s="168">
        <f>E15</f>
        <v>15</v>
      </c>
      <c r="G15" s="168">
        <f>F15</f>
        <v>15</v>
      </c>
      <c r="H15" s="168">
        <f t="shared" ref="H15:J16" si="3">G15</f>
        <v>15</v>
      </c>
      <c r="I15" s="168">
        <f t="shared" si="3"/>
        <v>15</v>
      </c>
      <c r="J15" s="168">
        <f t="shared" si="3"/>
        <v>15</v>
      </c>
    </row>
    <row r="16" spans="1:10" x14ac:dyDescent="0.3">
      <c r="A16" s="3"/>
      <c r="B16" s="2" t="s">
        <v>26</v>
      </c>
      <c r="C16" s="54" t="s">
        <v>27</v>
      </c>
      <c r="D16" s="39">
        <v>7</v>
      </c>
      <c r="E16" s="40">
        <v>7</v>
      </c>
      <c r="F16" s="169">
        <f>E16</f>
        <v>7</v>
      </c>
      <c r="G16" s="169">
        <f>F16</f>
        <v>7</v>
      </c>
      <c r="H16" s="169">
        <f t="shared" si="3"/>
        <v>7</v>
      </c>
      <c r="I16" s="169">
        <f t="shared" si="3"/>
        <v>7</v>
      </c>
      <c r="J16" s="169">
        <f t="shared" si="3"/>
        <v>7</v>
      </c>
    </row>
    <row r="17" spans="1:10" x14ac:dyDescent="0.3">
      <c r="A17" s="3"/>
      <c r="B17" s="2"/>
      <c r="C17" s="54"/>
      <c r="D17" s="39"/>
      <c r="E17" s="40"/>
      <c r="F17" s="18"/>
      <c r="G17" s="18"/>
      <c r="H17" s="18"/>
      <c r="I17" s="18"/>
      <c r="J17" s="18"/>
    </row>
    <row r="18" spans="1:10" ht="18" x14ac:dyDescent="0.35">
      <c r="A18" s="70" t="s">
        <v>85</v>
      </c>
      <c r="B18" s="71"/>
      <c r="C18" s="59"/>
      <c r="D18" s="59"/>
      <c r="E18" s="60"/>
    </row>
    <row r="19" spans="1:10" x14ac:dyDescent="0.3">
      <c r="A19" s="8" t="s">
        <v>56</v>
      </c>
      <c r="C19" s="59"/>
      <c r="D19" s="59"/>
      <c r="E19" s="60"/>
    </row>
    <row r="20" spans="1:10" x14ac:dyDescent="0.3">
      <c r="B20" t="s">
        <v>57</v>
      </c>
      <c r="C20" s="63">
        <v>37.262215214183193</v>
      </c>
      <c r="D20" s="64">
        <v>32.369856608478798</v>
      </c>
      <c r="E20" s="65">
        <v>32.100326495178066</v>
      </c>
      <c r="F20" s="170">
        <f>AVERAGE(C20:E20)</f>
        <v>33.910799439280019</v>
      </c>
      <c r="G20" s="170">
        <f>F20</f>
        <v>33.910799439280019</v>
      </c>
      <c r="H20" s="170">
        <f t="shared" ref="H20:J20" si="4">G20</f>
        <v>33.910799439280019</v>
      </c>
      <c r="I20" s="170">
        <f t="shared" si="4"/>
        <v>33.910799439280019</v>
      </c>
      <c r="J20" s="170">
        <f t="shared" si="4"/>
        <v>33.910799439280019</v>
      </c>
    </row>
    <row r="21" spans="1:10" x14ac:dyDescent="0.3">
      <c r="B21" t="s">
        <v>58</v>
      </c>
      <c r="C21" s="63">
        <v>77</v>
      </c>
      <c r="D21" s="64">
        <v>65</v>
      </c>
      <c r="E21" s="65">
        <v>71</v>
      </c>
      <c r="F21" s="170">
        <f t="shared" ref="F21:F26" si="5">AVERAGE(C21:E21)</f>
        <v>71</v>
      </c>
      <c r="G21" s="170">
        <f t="shared" ref="G21:J22" si="6">F21</f>
        <v>71</v>
      </c>
      <c r="H21" s="170">
        <f t="shared" si="6"/>
        <v>71</v>
      </c>
      <c r="I21" s="170">
        <f t="shared" si="6"/>
        <v>71</v>
      </c>
      <c r="J21" s="170">
        <f t="shared" si="6"/>
        <v>71</v>
      </c>
    </row>
    <row r="22" spans="1:10" x14ac:dyDescent="0.3">
      <c r="B22" t="s">
        <v>59</v>
      </c>
      <c r="C22" s="63">
        <v>44</v>
      </c>
      <c r="D22" s="64">
        <v>55</v>
      </c>
      <c r="E22" s="65">
        <v>66</v>
      </c>
      <c r="F22" s="170">
        <f t="shared" si="5"/>
        <v>55</v>
      </c>
      <c r="G22" s="170">
        <f t="shared" si="6"/>
        <v>55</v>
      </c>
      <c r="H22" s="170">
        <f t="shared" si="6"/>
        <v>55</v>
      </c>
      <c r="I22" s="170">
        <f t="shared" si="6"/>
        <v>55</v>
      </c>
      <c r="J22" s="170">
        <f t="shared" si="6"/>
        <v>55</v>
      </c>
    </row>
    <row r="23" spans="1:10" x14ac:dyDescent="0.3">
      <c r="C23" s="61"/>
      <c r="D23" s="61"/>
      <c r="E23" s="62"/>
      <c r="F23" s="16"/>
      <c r="G23" s="16"/>
      <c r="H23" s="16"/>
      <c r="I23" s="16"/>
      <c r="J23" s="16"/>
    </row>
    <row r="24" spans="1:10" x14ac:dyDescent="0.3">
      <c r="B24" t="s">
        <v>60</v>
      </c>
      <c r="C24" s="66">
        <v>0.05</v>
      </c>
      <c r="D24" s="66">
        <v>5.5E-2</v>
      </c>
      <c r="E24" s="66">
        <v>5.0999999999999997E-2</v>
      </c>
      <c r="F24" s="170">
        <f t="shared" si="5"/>
        <v>5.1999999999999998E-2</v>
      </c>
      <c r="G24" s="171">
        <f>F24</f>
        <v>5.1999999999999998E-2</v>
      </c>
      <c r="H24" s="171">
        <f t="shared" ref="H24:J24" si="7">G24</f>
        <v>5.1999999999999998E-2</v>
      </c>
      <c r="I24" s="171">
        <f t="shared" si="7"/>
        <v>5.1999999999999998E-2</v>
      </c>
      <c r="J24" s="171">
        <f t="shared" si="7"/>
        <v>5.1999999999999998E-2</v>
      </c>
    </row>
    <row r="25" spans="1:10" x14ac:dyDescent="0.3">
      <c r="B25" s="17" t="s">
        <v>61</v>
      </c>
      <c r="C25" s="66">
        <v>0.08</v>
      </c>
      <c r="D25" s="66">
        <v>0.11</v>
      </c>
      <c r="E25" s="66">
        <v>7.0000000000000007E-2</v>
      </c>
      <c r="F25" s="170">
        <f t="shared" si="5"/>
        <v>8.666666666666667E-2</v>
      </c>
      <c r="G25" s="171">
        <f t="shared" ref="G25:J26" si="8">F25</f>
        <v>8.666666666666667E-2</v>
      </c>
      <c r="H25" s="171">
        <f t="shared" si="8"/>
        <v>8.666666666666667E-2</v>
      </c>
      <c r="I25" s="171">
        <f t="shared" si="8"/>
        <v>8.666666666666667E-2</v>
      </c>
      <c r="J25" s="171">
        <f t="shared" si="8"/>
        <v>8.666666666666667E-2</v>
      </c>
    </row>
    <row r="26" spans="1:10" x14ac:dyDescent="0.3">
      <c r="B26" t="s">
        <v>62</v>
      </c>
      <c r="C26" s="66">
        <v>0.01</v>
      </c>
      <c r="D26" s="66">
        <v>8.0000000000000002E-3</v>
      </c>
      <c r="E26" s="66">
        <v>6.5500000000000003E-3</v>
      </c>
      <c r="F26" s="170">
        <f t="shared" si="5"/>
        <v>8.1833333333333341E-3</v>
      </c>
      <c r="G26" s="171">
        <f t="shared" si="8"/>
        <v>8.1833333333333341E-3</v>
      </c>
      <c r="H26" s="171">
        <f t="shared" si="8"/>
        <v>8.1833333333333341E-3</v>
      </c>
      <c r="I26" s="171">
        <f t="shared" si="8"/>
        <v>8.1833333333333341E-3</v>
      </c>
      <c r="J26" s="171">
        <f t="shared" si="8"/>
        <v>8.1833333333333341E-3</v>
      </c>
    </row>
  </sheetData>
  <mergeCells count="1">
    <mergeCell ref="C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619B-3B56-4734-B3BD-6C7F880696D7}">
  <sheetPr>
    <tabColor rgb="FF0070C0"/>
  </sheetPr>
  <dimension ref="A1:J22"/>
  <sheetViews>
    <sheetView showGridLines="0" workbookViewId="0">
      <selection activeCell="J22" sqref="J22"/>
    </sheetView>
  </sheetViews>
  <sheetFormatPr defaultRowHeight="14.4" x14ac:dyDescent="0.3"/>
  <cols>
    <col min="2" max="2" width="37.6640625" bestFit="1" customWidth="1"/>
    <col min="3" max="4" width="9.44140625" style="1" bestFit="1" customWidth="1"/>
    <col min="5" max="5" width="8.88671875" style="1"/>
    <col min="6" max="6" width="9.44140625" style="1" bestFit="1" customWidth="1"/>
    <col min="7" max="7" width="8.88671875" style="1"/>
    <col min="8" max="8" width="9.77734375" style="1" bestFit="1" customWidth="1"/>
    <col min="9" max="9" width="10.44140625" style="1" bestFit="1" customWidth="1"/>
    <col min="10" max="10" width="9.44140625" style="1" bestFit="1" customWidth="1"/>
  </cols>
  <sheetData>
    <row r="1" spans="1:10" x14ac:dyDescent="0.3">
      <c r="A1" s="140" t="s">
        <v>110</v>
      </c>
      <c r="B1" s="139"/>
      <c r="C1" s="139"/>
    </row>
    <row r="2" spans="1:10" ht="15" thickBot="1" x14ac:dyDescent="0.35">
      <c r="A2" s="172"/>
      <c r="B2" s="157"/>
      <c r="C2" s="157"/>
    </row>
    <row r="3" spans="1:10" ht="15" thickBot="1" x14ac:dyDescent="0.35">
      <c r="C3" s="192" t="s">
        <v>0</v>
      </c>
      <c r="D3" s="193"/>
      <c r="E3" s="193"/>
      <c r="F3" s="192" t="s">
        <v>1</v>
      </c>
      <c r="G3" s="193"/>
      <c r="H3" s="193"/>
      <c r="I3" s="193"/>
      <c r="J3" s="194"/>
    </row>
    <row r="4" spans="1:10" x14ac:dyDescent="0.3">
      <c r="C4" s="10">
        <f>DCF!C4</f>
        <v>2023</v>
      </c>
      <c r="D4" s="73">
        <f>DCF!D4</f>
        <v>2024</v>
      </c>
      <c r="E4" s="74">
        <f>DCF!E4</f>
        <v>2025</v>
      </c>
      <c r="F4" s="73">
        <f>DCF!F4</f>
        <v>2026</v>
      </c>
      <c r="G4" s="73">
        <f>DCF!G4</f>
        <v>2027</v>
      </c>
      <c r="H4" s="73">
        <f>DCF!H4</f>
        <v>2028</v>
      </c>
      <c r="I4" s="73">
        <f>DCF!I4</f>
        <v>2029</v>
      </c>
      <c r="J4" s="73">
        <f>DCF!J4</f>
        <v>2030</v>
      </c>
    </row>
    <row r="5" spans="1:10" x14ac:dyDescent="0.3">
      <c r="A5" s="3"/>
      <c r="B5" s="3"/>
      <c r="C5" s="75"/>
      <c r="D5" s="9"/>
      <c r="E5" s="76"/>
      <c r="F5" s="9"/>
      <c r="G5" s="9"/>
      <c r="H5" s="9"/>
      <c r="I5" s="9"/>
      <c r="J5" s="9"/>
    </row>
    <row r="6" spans="1:10" x14ac:dyDescent="0.3">
      <c r="A6" s="18" t="s">
        <v>3</v>
      </c>
      <c r="B6" s="50"/>
      <c r="C6" s="77">
        <f>DCF!C5</f>
        <v>4946.7</v>
      </c>
      <c r="D6" s="77">
        <f>DCF!D5</f>
        <v>5342.4360000000006</v>
      </c>
      <c r="E6" s="78">
        <f>DCF!E5</f>
        <v>6036.9526800000003</v>
      </c>
      <c r="F6" s="42">
        <f>DCF!F5</f>
        <v>6278.4307872000009</v>
      </c>
      <c r="G6" s="42">
        <f>DCF!G5</f>
        <v>6529.5680186880008</v>
      </c>
      <c r="H6" s="42">
        <f>DCF!H5</f>
        <v>6790.7507394355207</v>
      </c>
      <c r="I6" s="42">
        <f>DCF!I5</f>
        <v>7062.3807690129415</v>
      </c>
      <c r="J6" s="42">
        <f>DCF!J5</f>
        <v>7344.8759997734596</v>
      </c>
    </row>
    <row r="7" spans="1:10" x14ac:dyDescent="0.3">
      <c r="A7" s="51" t="s">
        <v>4</v>
      </c>
      <c r="B7" s="52"/>
      <c r="C7" s="79">
        <f>DCF!C6</f>
        <v>3192.1</v>
      </c>
      <c r="D7" s="79">
        <f>DCF!D6</f>
        <v>801.36540000000002</v>
      </c>
      <c r="E7" s="80">
        <f>DCF!E6</f>
        <v>1992.1943844000002</v>
      </c>
      <c r="F7" s="43">
        <f>DCF!F6</f>
        <v>1799.8168256640004</v>
      </c>
      <c r="G7" s="43">
        <f>DCF!G6</f>
        <v>1871.8094986905603</v>
      </c>
      <c r="H7" s="43">
        <f>DCF!H6</f>
        <v>1946.6818786381828</v>
      </c>
      <c r="I7" s="43">
        <f>DCF!I6</f>
        <v>2024.5491537837099</v>
      </c>
      <c r="J7" s="43">
        <f>DCF!J6</f>
        <v>2105.5311199350585</v>
      </c>
    </row>
    <row r="8" spans="1:10" x14ac:dyDescent="0.3">
      <c r="A8" s="3"/>
      <c r="B8" s="3"/>
      <c r="C8" s="9"/>
      <c r="D8" s="9"/>
      <c r="E8" s="81"/>
      <c r="F8" s="9"/>
      <c r="G8" s="9"/>
      <c r="H8" s="9"/>
      <c r="I8" s="9"/>
      <c r="J8" s="9"/>
    </row>
    <row r="9" spans="1:10" x14ac:dyDescent="0.3">
      <c r="A9" s="50"/>
      <c r="B9" s="17" t="s">
        <v>47</v>
      </c>
      <c r="C9" s="77">
        <f>(C6*Assumptions!C20)/Number_of_days_in_period</f>
        <v>505</v>
      </c>
      <c r="D9" s="77">
        <f>(D6*Assumptions!D20)/Number_of_days_in_period</f>
        <v>473.79147194513712</v>
      </c>
      <c r="E9" s="78">
        <f>(E6*Assumptions!E20)/Number_of_days_in_period</f>
        <v>530.92644401079519</v>
      </c>
      <c r="F9" s="42">
        <f>(F6*Assumptions!F20)/Number_of_days_in_period</f>
        <v>583.30577320038412</v>
      </c>
      <c r="G9" s="42">
        <f>(G6*Assumptions!G20)/Number_of_days_in_period</f>
        <v>606.63800412839942</v>
      </c>
      <c r="H9" s="42">
        <f>(H6*Assumptions!H20)/Number_of_days_in_period</f>
        <v>630.90352429353538</v>
      </c>
      <c r="I9" s="42">
        <f>(I6*Assumptions!I20)/Number_of_days_in_period</f>
        <v>656.1396652652769</v>
      </c>
      <c r="J9" s="42">
        <f>(J6*Assumptions!J20)/Number_of_days_in_period</f>
        <v>682.38525187588789</v>
      </c>
    </row>
    <row r="10" spans="1:10" x14ac:dyDescent="0.3">
      <c r="A10" s="52"/>
      <c r="B10" s="17" t="s">
        <v>48</v>
      </c>
      <c r="C10" s="79">
        <f>(C7*Assumptions!C21)/Number_of_days_in_period</f>
        <v>673.40191780821908</v>
      </c>
      <c r="D10" s="79">
        <f>(D7*Assumptions!D21)/Number_of_days_in_period</f>
        <v>142.70890684931507</v>
      </c>
      <c r="E10" s="80">
        <f>(E7*Assumptions!E21)/Number_of_days_in_period</f>
        <v>387.52274326684937</v>
      </c>
      <c r="F10" s="82">
        <f>(F7*Assumptions!F21)/Number_of_days_in_period</f>
        <v>350.10135512916167</v>
      </c>
      <c r="G10" s="82">
        <f>(G7*Assumptions!G21)/Number_of_days_in_period</f>
        <v>364.10540933432816</v>
      </c>
      <c r="H10" s="82">
        <f>(H7*Assumptions!H21)/Number_of_days_in_period</f>
        <v>378.6696257077013</v>
      </c>
      <c r="I10" s="82">
        <f>(I7*Assumptions!I21)/Number_of_days_in_period</f>
        <v>393.81641073600935</v>
      </c>
      <c r="J10" s="82">
        <f>(J7*Assumptions!J21)/Number_of_days_in_period</f>
        <v>409.56906716544972</v>
      </c>
    </row>
    <row r="11" spans="1:10" x14ac:dyDescent="0.3">
      <c r="A11" s="52"/>
      <c r="B11" s="17" t="s">
        <v>49</v>
      </c>
      <c r="C11" s="79">
        <f>C6*Assumptions!C24</f>
        <v>247.33500000000001</v>
      </c>
      <c r="D11" s="79">
        <f>D6*Assumptions!D24</f>
        <v>293.83398000000005</v>
      </c>
      <c r="E11" s="80">
        <f>E6*Assumptions!E24</f>
        <v>307.88458667999998</v>
      </c>
      <c r="F11" s="43">
        <f>F6*Assumptions!F24</f>
        <v>326.47840093440004</v>
      </c>
      <c r="G11" s="43">
        <f>G6*Assumptions!G24</f>
        <v>339.53753697177603</v>
      </c>
      <c r="H11" s="43">
        <f>H6*Assumptions!H24</f>
        <v>353.11903845064705</v>
      </c>
      <c r="I11" s="43">
        <f>I6*Assumptions!I24</f>
        <v>367.24379998867295</v>
      </c>
      <c r="J11" s="43">
        <f>J6*Assumptions!J24</f>
        <v>381.9335519882199</v>
      </c>
    </row>
    <row r="12" spans="1:10" x14ac:dyDescent="0.3">
      <c r="B12" s="53" t="s">
        <v>50</v>
      </c>
      <c r="C12" s="83">
        <f t="shared" ref="C12:E12" si="0">SUM(C9:C11)</f>
        <v>1425.736917808219</v>
      </c>
      <c r="D12" s="83">
        <f t="shared" si="0"/>
        <v>910.33435879445233</v>
      </c>
      <c r="E12" s="84">
        <f t="shared" si="0"/>
        <v>1226.3337739576446</v>
      </c>
      <c r="F12" s="83">
        <f>SUM(F9:F11)</f>
        <v>1259.885529263946</v>
      </c>
      <c r="G12" s="83">
        <f t="shared" ref="G12:J12" si="1">SUM(G9:G11)</f>
        <v>1310.2809504345037</v>
      </c>
      <c r="H12" s="83">
        <f t="shared" si="1"/>
        <v>1362.6921884518838</v>
      </c>
      <c r="I12" s="83">
        <f t="shared" si="1"/>
        <v>1417.1998759899591</v>
      </c>
      <c r="J12" s="83">
        <f t="shared" si="1"/>
        <v>1473.8878710295576</v>
      </c>
    </row>
    <row r="13" spans="1:10" x14ac:dyDescent="0.3">
      <c r="B13" s="3"/>
      <c r="E13" s="67"/>
    </row>
    <row r="14" spans="1:10" x14ac:dyDescent="0.3">
      <c r="B14" s="17" t="s">
        <v>51</v>
      </c>
      <c r="C14" s="77">
        <f>(C7*Assumptions!C22)/Number_of_days_in_period</f>
        <v>384.80109589041092</v>
      </c>
      <c r="D14" s="77">
        <f>(D7*Assumptions!D22)/Number_of_days_in_period</f>
        <v>120.75369041095891</v>
      </c>
      <c r="E14" s="78">
        <f>(E7*Assumptions!E22)/Number_of_days_in_period</f>
        <v>360.23240923397265</v>
      </c>
      <c r="F14" s="42">
        <f>(F7*Assumptions!F22)/Number_of_days_in_period</f>
        <v>271.20527510005485</v>
      </c>
      <c r="G14" s="42">
        <f>(G7*Assumptions!G22)/Number_of_days_in_period</f>
        <v>282.05348610405701</v>
      </c>
      <c r="H14" s="42">
        <f>(H7*Assumptions!H22)/Number_of_days_in_period</f>
        <v>293.33562554821935</v>
      </c>
      <c r="I14" s="42">
        <f>(I7*Assumptions!I22)/Number_of_days_in_period</f>
        <v>305.06905057014808</v>
      </c>
      <c r="J14" s="42">
        <f>(J7*Assumptions!J22)/Number_of_days_in_period</f>
        <v>317.27181259295401</v>
      </c>
    </row>
    <row r="15" spans="1:10" x14ac:dyDescent="0.3">
      <c r="A15" s="52"/>
      <c r="B15" s="17" t="s">
        <v>52</v>
      </c>
      <c r="C15" s="79">
        <f>C6*Assumptions!C25</f>
        <v>395.73599999999999</v>
      </c>
      <c r="D15" s="79">
        <f>D6*Assumptions!D25</f>
        <v>587.66796000000011</v>
      </c>
      <c r="E15" s="80">
        <f>E6*Assumptions!E25</f>
        <v>422.58668760000006</v>
      </c>
      <c r="F15" s="82">
        <f>F6*Assumptions!F25</f>
        <v>544.13066822400015</v>
      </c>
      <c r="G15" s="82">
        <f>G6*Assumptions!G25</f>
        <v>565.89589495296013</v>
      </c>
      <c r="H15" s="82">
        <f>H6*Assumptions!H25</f>
        <v>588.5317307510785</v>
      </c>
      <c r="I15" s="82">
        <f>I6*Assumptions!I25</f>
        <v>612.0729999811216</v>
      </c>
      <c r="J15" s="82">
        <f>J6*Assumptions!J25</f>
        <v>636.55591998036653</v>
      </c>
    </row>
    <row r="16" spans="1:10" x14ac:dyDescent="0.3">
      <c r="B16" s="17" t="s">
        <v>53</v>
      </c>
      <c r="C16" s="79">
        <f>C6*Assumptions!C26</f>
        <v>49.466999999999999</v>
      </c>
      <c r="D16" s="79">
        <f>D6*Assumptions!D26</f>
        <v>42.739488000000009</v>
      </c>
      <c r="E16" s="80">
        <f>E6*Assumptions!E26</f>
        <v>39.542040054000005</v>
      </c>
      <c r="F16" s="43">
        <f>F6*Assumptions!F26</f>
        <v>51.378491941920011</v>
      </c>
      <c r="G16" s="43">
        <f>G6*Assumptions!G26</f>
        <v>53.43363161959681</v>
      </c>
      <c r="H16" s="43">
        <f>H6*Assumptions!H26</f>
        <v>55.570976884380684</v>
      </c>
      <c r="I16" s="43">
        <f>I6*Assumptions!I26</f>
        <v>57.793815959755911</v>
      </c>
      <c r="J16" s="43">
        <f>J6*Assumptions!J26</f>
        <v>60.105568598146149</v>
      </c>
    </row>
    <row r="17" spans="1:10" x14ac:dyDescent="0.3">
      <c r="B17" s="53" t="s">
        <v>54</v>
      </c>
      <c r="C17" s="83">
        <f>SUM(C14:C16)</f>
        <v>830.00409589041089</v>
      </c>
      <c r="D17" s="83">
        <f t="shared" ref="D17" si="2">SUM(D14:D16)</f>
        <v>751.1611384109591</v>
      </c>
      <c r="E17" s="84">
        <f t="shared" ref="E17" si="3">SUM(E14:E16)</f>
        <v>822.36113688797275</v>
      </c>
      <c r="F17" s="83">
        <f t="shared" ref="F17:J17" si="4">SUM(F14:F16)</f>
        <v>866.71443526597511</v>
      </c>
      <c r="G17" s="83">
        <f t="shared" si="4"/>
        <v>901.38301267661393</v>
      </c>
      <c r="H17" s="83">
        <f t="shared" si="4"/>
        <v>937.43833318367854</v>
      </c>
      <c r="I17" s="83">
        <f t="shared" si="4"/>
        <v>974.93586651102555</v>
      </c>
      <c r="J17" s="83">
        <f t="shared" si="4"/>
        <v>1013.9333011714667</v>
      </c>
    </row>
    <row r="18" spans="1:10" x14ac:dyDescent="0.3">
      <c r="E18" s="67"/>
    </row>
    <row r="19" spans="1:10" x14ac:dyDescent="0.3">
      <c r="A19" t="s">
        <v>55</v>
      </c>
      <c r="C19" s="42">
        <f>C12-C17</f>
        <v>595.73282191780811</v>
      </c>
      <c r="D19" s="42">
        <f t="shared" ref="D19:E19" si="5">D12-D17</f>
        <v>159.17322038349323</v>
      </c>
      <c r="E19" s="85">
        <f t="shared" si="5"/>
        <v>403.9726370696718</v>
      </c>
      <c r="F19" s="42">
        <f t="shared" ref="F19:J19" si="6">F12-F17</f>
        <v>393.17109399797084</v>
      </c>
      <c r="G19" s="42">
        <f t="shared" si="6"/>
        <v>408.89793775788974</v>
      </c>
      <c r="H19" s="42">
        <f t="shared" si="6"/>
        <v>425.25385526820526</v>
      </c>
      <c r="I19" s="42">
        <f t="shared" si="6"/>
        <v>442.26400947893353</v>
      </c>
      <c r="J19" s="42">
        <f t="shared" si="6"/>
        <v>459.95456985809085</v>
      </c>
    </row>
    <row r="20" spans="1:10" x14ac:dyDescent="0.3">
      <c r="E20" s="67"/>
    </row>
    <row r="21" spans="1:10" x14ac:dyDescent="0.3">
      <c r="A21" s="24" t="s">
        <v>65</v>
      </c>
      <c r="B21" s="24"/>
      <c r="C21" s="86"/>
      <c r="D21" s="86">
        <f t="shared" ref="D21:E21" si="7">D19-C19</f>
        <v>-436.55960153431488</v>
      </c>
      <c r="E21" s="87">
        <f t="shared" si="7"/>
        <v>244.79941668617857</v>
      </c>
      <c r="F21" s="86">
        <f t="shared" ref="F21:J21" si="8">F19-E19</f>
        <v>-10.801543071700962</v>
      </c>
      <c r="G21" s="86">
        <f t="shared" si="8"/>
        <v>15.726843759918893</v>
      </c>
      <c r="H21" s="86">
        <f t="shared" si="8"/>
        <v>16.355917510315521</v>
      </c>
      <c r="I21" s="86">
        <f t="shared" si="8"/>
        <v>17.010154210728274</v>
      </c>
      <c r="J21" s="86">
        <f t="shared" si="8"/>
        <v>17.690560379157318</v>
      </c>
    </row>
    <row r="22" spans="1:10" x14ac:dyDescent="0.3">
      <c r="E22" s="67"/>
    </row>
  </sheetData>
  <mergeCells count="2">
    <mergeCell ref="C3:E3"/>
    <mergeCell ref="F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AE72-554E-452F-B66E-C0E37F7AC504}">
  <sheetPr>
    <tabColor rgb="FF92D050"/>
  </sheetPr>
  <dimension ref="A1:Q50"/>
  <sheetViews>
    <sheetView showGridLines="0" zoomScale="80" zoomScaleNormal="80" workbookViewId="0">
      <selection activeCell="S24" sqref="S24"/>
    </sheetView>
  </sheetViews>
  <sheetFormatPr defaultRowHeight="14.4" x14ac:dyDescent="0.3"/>
  <cols>
    <col min="1" max="1" width="24.44140625" customWidth="1"/>
    <col min="2" max="2" width="31" bestFit="1" customWidth="1"/>
    <col min="3" max="3" width="11.44140625" style="1" bestFit="1" customWidth="1"/>
    <col min="4" max="4" width="8.88671875" style="1"/>
    <col min="5" max="8" width="10.6640625" style="1" customWidth="1"/>
    <col min="9" max="9" width="10" style="1" bestFit="1" customWidth="1"/>
    <col min="10" max="10" width="12" style="1" bestFit="1" customWidth="1"/>
    <col min="11" max="12" width="10" style="1" bestFit="1" customWidth="1"/>
    <col min="13" max="14" width="8.88671875" style="1"/>
  </cols>
  <sheetData>
    <row r="1" spans="1:11" x14ac:dyDescent="0.3">
      <c r="A1" s="140" t="s">
        <v>110</v>
      </c>
      <c r="B1" s="139"/>
      <c r="C1" s="139"/>
      <c r="G1" s="177" t="s">
        <v>87</v>
      </c>
      <c r="H1" s="158">
        <f>Assumptions!J5-Assumptions!E5</f>
        <v>5</v>
      </c>
    </row>
    <row r="2" spans="1:11" ht="15" thickBot="1" x14ac:dyDescent="0.35">
      <c r="A2" t="s">
        <v>43</v>
      </c>
    </row>
    <row r="3" spans="1:11" ht="15" thickBot="1" x14ac:dyDescent="0.35">
      <c r="C3" s="192" t="s">
        <v>0</v>
      </c>
      <c r="D3" s="193"/>
      <c r="E3" s="193"/>
      <c r="F3" s="192" t="s">
        <v>1</v>
      </c>
      <c r="G3" s="193"/>
      <c r="H3" s="193"/>
      <c r="I3" s="193"/>
      <c r="J3" s="194"/>
    </row>
    <row r="4" spans="1:11" x14ac:dyDescent="0.3">
      <c r="C4" s="1">
        <f>Assumptions!C5</f>
        <v>2023</v>
      </c>
      <c r="D4" s="1">
        <f>Assumptions!D5</f>
        <v>2024</v>
      </c>
      <c r="E4" s="25">
        <f>Assumptions!E5</f>
        <v>2025</v>
      </c>
      <c r="F4" s="1">
        <f>Assumptions!F5</f>
        <v>2026</v>
      </c>
      <c r="G4" s="1">
        <f>Assumptions!G5</f>
        <v>2027</v>
      </c>
      <c r="H4" s="1">
        <f>Assumptions!H5</f>
        <v>2028</v>
      </c>
      <c r="I4" s="1">
        <f>Assumptions!I5</f>
        <v>2029</v>
      </c>
      <c r="J4" s="1">
        <f>Assumptions!J5</f>
        <v>2030</v>
      </c>
      <c r="K4" s="1" t="s">
        <v>2</v>
      </c>
    </row>
    <row r="5" spans="1:11" x14ac:dyDescent="0.3">
      <c r="A5" s="2" t="s">
        <v>3</v>
      </c>
      <c r="C5" s="37">
        <v>4946.7</v>
      </c>
      <c r="D5" s="37">
        <f>C5*(1+Assumptions!D8)</f>
        <v>5342.4360000000006</v>
      </c>
      <c r="E5" s="38">
        <f>D5*(1+Assumptions!E8)</f>
        <v>6036.9526800000003</v>
      </c>
      <c r="F5" s="42">
        <f>E5*(1+Assumptions!F8)</f>
        <v>6278.4307872000009</v>
      </c>
      <c r="G5" s="42">
        <f>F5*(1+Assumptions!G8)</f>
        <v>6529.5680186880008</v>
      </c>
      <c r="H5" s="42">
        <f>G5*(1+Assumptions!H8)</f>
        <v>6790.7507394355207</v>
      </c>
      <c r="I5" s="42">
        <f>H5*(1+Assumptions!I8)</f>
        <v>7062.3807690129415</v>
      </c>
      <c r="J5" s="42">
        <f>I5*(1+Assumptions!J8)</f>
        <v>7344.8759997734596</v>
      </c>
      <c r="K5" s="48">
        <f>IFERROR(RATE($J$4-$E$4,,-E5,J5),"")</f>
        <v>4.0000000000177741E-2</v>
      </c>
    </row>
    <row r="6" spans="1:11" x14ac:dyDescent="0.3">
      <c r="A6" s="2" t="s">
        <v>6</v>
      </c>
      <c r="C6" s="39">
        <v>3192.1</v>
      </c>
      <c r="D6" s="39">
        <f>D5*Assumptions!D9</f>
        <v>801.36540000000002</v>
      </c>
      <c r="E6" s="40">
        <f>E5*Assumptions!E9</f>
        <v>1992.1943844000002</v>
      </c>
      <c r="F6" s="43">
        <f>F5*Assumptions!F9</f>
        <v>1799.8168256640004</v>
      </c>
      <c r="G6" s="43">
        <f>G5*Assumptions!G9</f>
        <v>1871.8094986905603</v>
      </c>
      <c r="H6" s="43">
        <f>H5*Assumptions!H9</f>
        <v>1946.6818786381828</v>
      </c>
      <c r="I6" s="43">
        <f>I5*Assumptions!I9</f>
        <v>2024.5491537837099</v>
      </c>
      <c r="J6" s="43">
        <f>J5*Assumptions!J9</f>
        <v>2105.5311199350585</v>
      </c>
    </row>
    <row r="7" spans="1:11" x14ac:dyDescent="0.3">
      <c r="A7" s="2" t="s">
        <v>5</v>
      </c>
      <c r="B7" s="3"/>
      <c r="C7" s="30">
        <f>C5-C6</f>
        <v>1754.6</v>
      </c>
      <c r="D7" s="30">
        <f t="shared" ref="D7" si="0">D5-D6</f>
        <v>4541.0706000000009</v>
      </c>
      <c r="E7" s="31">
        <f t="shared" ref="E7" si="1">E5-E6</f>
        <v>4044.7582956000001</v>
      </c>
      <c r="F7" s="44">
        <f t="shared" ref="F7:J7" si="2">F5-F6</f>
        <v>4478.6139615360007</v>
      </c>
      <c r="G7" s="44">
        <f t="shared" si="2"/>
        <v>4657.7585199974401</v>
      </c>
      <c r="H7" s="44">
        <f t="shared" si="2"/>
        <v>4844.0688607973379</v>
      </c>
      <c r="I7" s="44">
        <f t="shared" si="2"/>
        <v>5037.8316152292318</v>
      </c>
      <c r="J7" s="44">
        <f t="shared" si="2"/>
        <v>5239.3448798384015</v>
      </c>
      <c r="K7" s="48">
        <f>IFERROR(RATE($J$4-$E$4,,-E7,J7),"")</f>
        <v>5.3117628137378768E-2</v>
      </c>
    </row>
    <row r="8" spans="1:11" x14ac:dyDescent="0.3">
      <c r="A8" s="3"/>
      <c r="B8" s="3"/>
      <c r="C8" s="18"/>
      <c r="D8" s="18"/>
      <c r="E8" s="19"/>
      <c r="F8" s="43"/>
      <c r="G8" s="43"/>
      <c r="H8" s="43"/>
      <c r="I8" s="43"/>
      <c r="J8" s="43"/>
    </row>
    <row r="9" spans="1:11" x14ac:dyDescent="0.3">
      <c r="A9" s="2" t="s">
        <v>7</v>
      </c>
      <c r="B9" s="2"/>
      <c r="C9" s="39">
        <f>C5*Assumptions!C10</f>
        <v>742.005</v>
      </c>
      <c r="D9" s="39">
        <f>D5*Assumptions!D10</f>
        <v>694.51668000000006</v>
      </c>
      <c r="E9" s="40">
        <f>E5*Assumptions!E10</f>
        <v>1026.2819556000002</v>
      </c>
      <c r="F9" s="43">
        <f>F5*Assumptions!F10</f>
        <v>941.76461808000022</v>
      </c>
      <c r="G9" s="43">
        <f>G5*Assumptions!G10</f>
        <v>979.43520280320024</v>
      </c>
      <c r="H9" s="43">
        <f>H5*Assumptions!H10</f>
        <v>1018.6126109153282</v>
      </c>
      <c r="I9" s="43">
        <f>I5*Assumptions!I10</f>
        <v>1059.3571153519413</v>
      </c>
      <c r="J9" s="43">
        <f>J5*Assumptions!J10</f>
        <v>1101.7313999660191</v>
      </c>
    </row>
    <row r="10" spans="1:11" x14ac:dyDescent="0.3">
      <c r="A10" s="2" t="s">
        <v>8</v>
      </c>
      <c r="B10" s="2"/>
      <c r="C10" s="30">
        <f>C7-C9</f>
        <v>1012.5949999999999</v>
      </c>
      <c r="D10" s="30">
        <f t="shared" ref="D10" si="3">D7-D9</f>
        <v>3846.5539200000007</v>
      </c>
      <c r="E10" s="31">
        <f t="shared" ref="E10" si="4">E7-E9</f>
        <v>3018.4763400000002</v>
      </c>
      <c r="F10" s="44">
        <f t="shared" ref="F10:J10" si="5">F7-F9</f>
        <v>3536.8493434560005</v>
      </c>
      <c r="G10" s="44">
        <f t="shared" si="5"/>
        <v>3678.3233171942397</v>
      </c>
      <c r="H10" s="44">
        <f t="shared" si="5"/>
        <v>3825.4562498820096</v>
      </c>
      <c r="I10" s="44">
        <f t="shared" si="5"/>
        <v>3978.4744998772903</v>
      </c>
      <c r="J10" s="44">
        <f t="shared" si="5"/>
        <v>4137.6134798723824</v>
      </c>
      <c r="K10" s="48">
        <f>IFERROR(RATE($J$4-$E$4,,-E10,J10),"")</f>
        <v>6.5105012214398655E-2</v>
      </c>
    </row>
    <row r="11" spans="1:11" x14ac:dyDescent="0.3">
      <c r="A11" s="4"/>
      <c r="B11" s="5" t="s">
        <v>9</v>
      </c>
      <c r="C11" s="32">
        <f>IFERROR(C10/C5,"")</f>
        <v>0.20470111387389572</v>
      </c>
      <c r="D11" s="32">
        <f t="shared" ref="D11" si="6">IFERROR(D10/D5,"")</f>
        <v>0.72000000000000008</v>
      </c>
      <c r="E11" s="33">
        <f t="shared" ref="E11" si="7">IFERROR(E10/E5,"")</f>
        <v>0.5</v>
      </c>
      <c r="F11" s="45">
        <f t="shared" ref="F11:J11" si="8">IFERROR(F10/F5,"")</f>
        <v>0.56333333333333335</v>
      </c>
      <c r="G11" s="46">
        <f t="shared" si="8"/>
        <v>0.56333333333333324</v>
      </c>
      <c r="H11" s="46">
        <f t="shared" si="8"/>
        <v>0.56333333333333324</v>
      </c>
      <c r="I11" s="46">
        <f t="shared" si="8"/>
        <v>0.56333333333333335</v>
      </c>
      <c r="J11" s="46">
        <f t="shared" si="8"/>
        <v>0.56333333333333335</v>
      </c>
    </row>
    <row r="12" spans="1:11" x14ac:dyDescent="0.3">
      <c r="A12" s="3"/>
      <c r="B12" s="3"/>
      <c r="C12" s="18"/>
      <c r="D12" s="18"/>
      <c r="E12" s="19"/>
      <c r="F12" s="43"/>
      <c r="G12" s="43"/>
      <c r="H12" s="43"/>
      <c r="I12" s="43"/>
      <c r="J12" s="43"/>
    </row>
    <row r="13" spans="1:11" x14ac:dyDescent="0.3">
      <c r="A13" s="2" t="s">
        <v>10</v>
      </c>
      <c r="B13" s="2"/>
      <c r="C13" s="39">
        <v>199.3</v>
      </c>
      <c r="D13" s="39">
        <f>D20*Assumptions!D13</f>
        <v>88.150194000000013</v>
      </c>
      <c r="E13" s="40">
        <f>E20*Assumptions!E13</f>
        <v>166.01619870000002</v>
      </c>
      <c r="F13" s="43">
        <f>F20*Assumptions!F13</f>
        <v>138.12547731840002</v>
      </c>
      <c r="G13" s="43">
        <f>G20*Assumptions!G13</f>
        <v>143.65049641113603</v>
      </c>
      <c r="H13" s="43">
        <f>H20*Assumptions!H13</f>
        <v>149.39651626758146</v>
      </c>
      <c r="I13" s="43">
        <f>I20*Assumptions!I13</f>
        <v>155.37237691828471</v>
      </c>
      <c r="J13" s="43">
        <f>J20*Assumptions!J13</f>
        <v>161.58727199501612</v>
      </c>
    </row>
    <row r="14" spans="1:11" x14ac:dyDescent="0.3">
      <c r="A14" s="2" t="s">
        <v>11</v>
      </c>
      <c r="B14" s="2"/>
      <c r="C14" s="39">
        <v>3</v>
      </c>
      <c r="D14" s="39">
        <f>Assumptions!D16</f>
        <v>7</v>
      </c>
      <c r="E14" s="40">
        <f>Assumptions!E16</f>
        <v>7</v>
      </c>
      <c r="F14" s="43">
        <f>Assumptions!F16</f>
        <v>7</v>
      </c>
      <c r="G14" s="43">
        <f>Assumptions!G16</f>
        <v>7</v>
      </c>
      <c r="H14" s="43">
        <f>Assumptions!H16</f>
        <v>7</v>
      </c>
      <c r="I14" s="43">
        <f>Assumptions!I16</f>
        <v>7</v>
      </c>
      <c r="J14" s="43">
        <f>Assumptions!J16</f>
        <v>7</v>
      </c>
    </row>
    <row r="15" spans="1:11" x14ac:dyDescent="0.3">
      <c r="A15" s="2" t="s">
        <v>12</v>
      </c>
      <c r="B15" s="2"/>
      <c r="C15" s="30">
        <f>C10-SUM(C13:C14)</f>
        <v>810.29499999999985</v>
      </c>
      <c r="D15" s="30">
        <f t="shared" ref="D15" si="9">D10-SUM(D13:D14)</f>
        <v>3751.4037260000009</v>
      </c>
      <c r="E15" s="31">
        <f t="shared" ref="E15" si="10">E10-SUM(E13:E14)</f>
        <v>2845.4601413</v>
      </c>
      <c r="F15" s="44">
        <f t="shared" ref="F15:J15" si="11">F10-SUM(F13:F14)</f>
        <v>3391.7238661376005</v>
      </c>
      <c r="G15" s="44">
        <f t="shared" si="11"/>
        <v>3527.6728207831038</v>
      </c>
      <c r="H15" s="44">
        <f t="shared" si="11"/>
        <v>3669.0597336144283</v>
      </c>
      <c r="I15" s="44">
        <f t="shared" si="11"/>
        <v>3816.1021229590056</v>
      </c>
      <c r="J15" s="44">
        <f t="shared" si="11"/>
        <v>3969.0262078773662</v>
      </c>
      <c r="K15" s="48">
        <f>IFERROR(RATE($J$4-$E$4,,-E15,J15),"")</f>
        <v>6.8824233515883126E-2</v>
      </c>
    </row>
    <row r="16" spans="1:11" x14ac:dyDescent="0.3">
      <c r="A16" s="41" t="str">
        <f>"Less: Taxes @ "&amp;Marginal_tax_rate*100&amp;"%"</f>
        <v>Less: Taxes @ 40%</v>
      </c>
      <c r="B16" s="2"/>
      <c r="C16" s="18">
        <f t="shared" ref="C16:J16" si="12">C15*Marginal_tax_rate</f>
        <v>324.11799999999994</v>
      </c>
      <c r="D16" s="18">
        <f t="shared" si="12"/>
        <v>1500.5614904000004</v>
      </c>
      <c r="E16" s="19">
        <f t="shared" si="12"/>
        <v>1138.18405652</v>
      </c>
      <c r="F16" s="43">
        <f t="shared" si="12"/>
        <v>1356.6895464550403</v>
      </c>
      <c r="G16" s="43">
        <f t="shared" si="12"/>
        <v>1411.0691283132417</v>
      </c>
      <c r="H16" s="43">
        <f t="shared" si="12"/>
        <v>1467.6238934457715</v>
      </c>
      <c r="I16" s="43">
        <f t="shared" si="12"/>
        <v>1526.4408491836023</v>
      </c>
      <c r="J16" s="43">
        <f t="shared" si="12"/>
        <v>1587.6104831509465</v>
      </c>
    </row>
    <row r="17" spans="1:17" x14ac:dyDescent="0.3">
      <c r="A17" s="2" t="s">
        <v>13</v>
      </c>
      <c r="B17" s="2"/>
      <c r="C17" s="30">
        <f>C15-C16</f>
        <v>486.17699999999991</v>
      </c>
      <c r="D17" s="30">
        <f t="shared" ref="D17" si="13">D15-D16</f>
        <v>2250.8422356000005</v>
      </c>
      <c r="E17" s="31">
        <f t="shared" ref="E17" si="14">E15-E16</f>
        <v>1707.27608478</v>
      </c>
      <c r="F17" s="44">
        <f t="shared" ref="F17:J17" si="15">F15-F16</f>
        <v>2035.0343196825602</v>
      </c>
      <c r="G17" s="44">
        <f t="shared" si="15"/>
        <v>2116.6036924698619</v>
      </c>
      <c r="H17" s="44">
        <f t="shared" si="15"/>
        <v>2201.4358401686568</v>
      </c>
      <c r="I17" s="44">
        <f t="shared" si="15"/>
        <v>2289.6612737754031</v>
      </c>
      <c r="J17" s="44">
        <f t="shared" si="15"/>
        <v>2381.4157247264197</v>
      </c>
      <c r="K17" s="48">
        <f>IFERROR(RATE($J$4-$E$4,,-E17,J17),"")</f>
        <v>6.8824233515883168E-2</v>
      </c>
    </row>
    <row r="18" spans="1:17" x14ac:dyDescent="0.3">
      <c r="A18" s="3"/>
      <c r="B18" s="3"/>
      <c r="C18" s="18"/>
      <c r="D18" s="18"/>
      <c r="E18" s="19"/>
      <c r="F18" s="43"/>
      <c r="G18" s="43"/>
      <c r="H18" s="43"/>
      <c r="I18" s="43"/>
      <c r="J18" s="43"/>
    </row>
    <row r="19" spans="1:17" x14ac:dyDescent="0.3">
      <c r="A19" s="2" t="s">
        <v>14</v>
      </c>
      <c r="B19" s="2"/>
      <c r="C19" s="18"/>
      <c r="D19" s="18">
        <f t="shared" ref="D19:E19" si="16">D13+D14</f>
        <v>95.150194000000013</v>
      </c>
      <c r="E19" s="19">
        <f t="shared" si="16"/>
        <v>173.01619870000002</v>
      </c>
      <c r="F19" s="43">
        <f t="shared" ref="F19:J19" si="17">F13+F14</f>
        <v>145.12547731840002</v>
      </c>
      <c r="G19" s="43">
        <f t="shared" si="17"/>
        <v>150.65049641113603</v>
      </c>
      <c r="H19" s="43">
        <f t="shared" si="17"/>
        <v>156.39651626758146</v>
      </c>
      <c r="I19" s="43">
        <f t="shared" si="17"/>
        <v>162.37237691828471</v>
      </c>
      <c r="J19" s="43">
        <f t="shared" si="17"/>
        <v>168.58727199501612</v>
      </c>
    </row>
    <row r="20" spans="1:17" x14ac:dyDescent="0.3">
      <c r="A20" s="2" t="s">
        <v>15</v>
      </c>
      <c r="B20" s="2"/>
      <c r="C20" s="39"/>
      <c r="D20" s="39">
        <f>D5*Assumptions!D12</f>
        <v>160.27308000000002</v>
      </c>
      <c r="E20" s="40">
        <f>E5*Assumptions!E12</f>
        <v>301.84763400000003</v>
      </c>
      <c r="F20" s="43">
        <f>F5*Assumptions!F12</f>
        <v>251.13723148800003</v>
      </c>
      <c r="G20" s="43">
        <f>G5*Assumptions!G12</f>
        <v>261.18272074752002</v>
      </c>
      <c r="H20" s="43">
        <f>H5*Assumptions!H12</f>
        <v>271.63002957742083</v>
      </c>
      <c r="I20" s="43">
        <f>I5*Assumptions!I12</f>
        <v>282.49523076051764</v>
      </c>
      <c r="J20" s="43">
        <f>J5*Assumptions!J12</f>
        <v>293.79503999093839</v>
      </c>
    </row>
    <row r="21" spans="1:17" x14ac:dyDescent="0.3">
      <c r="A21" s="2" t="s">
        <v>16</v>
      </c>
      <c r="B21" s="2"/>
      <c r="C21" s="39"/>
      <c r="D21" s="39">
        <f>Assumptions!D15</f>
        <v>15</v>
      </c>
      <c r="E21" s="40">
        <f>Assumptions!E15</f>
        <v>15</v>
      </c>
      <c r="F21" s="43">
        <f>Assumptions!F15</f>
        <v>15</v>
      </c>
      <c r="G21" s="43">
        <f>Assumptions!G15</f>
        <v>15</v>
      </c>
      <c r="H21" s="43">
        <f>Assumptions!H15</f>
        <v>15</v>
      </c>
      <c r="I21" s="43">
        <f>Assumptions!I15</f>
        <v>15</v>
      </c>
      <c r="J21" s="43">
        <f>Assumptions!J15</f>
        <v>15</v>
      </c>
    </row>
    <row r="22" spans="1:17" x14ac:dyDescent="0.3">
      <c r="A22" s="3" t="s">
        <v>46</v>
      </c>
      <c r="B22" s="2"/>
      <c r="C22" s="39"/>
      <c r="D22" s="39">
        <f>NWC!D21</f>
        <v>-436.55960153431488</v>
      </c>
      <c r="E22" s="40">
        <f>NWC!E21</f>
        <v>244.79941668617857</v>
      </c>
      <c r="F22" s="43">
        <f>NWC!F21</f>
        <v>-10.801543071700962</v>
      </c>
      <c r="G22" s="43">
        <f>NWC!G21</f>
        <v>15.726843759918893</v>
      </c>
      <c r="H22" s="43">
        <f>NWC!H21</f>
        <v>16.355917510315521</v>
      </c>
      <c r="I22" s="43">
        <f>NWC!I21</f>
        <v>17.010154210728274</v>
      </c>
      <c r="J22" s="43">
        <f>NWC!J21</f>
        <v>17.690560379157318</v>
      </c>
    </row>
    <row r="23" spans="1:17" x14ac:dyDescent="0.3">
      <c r="A23" s="6" t="s">
        <v>17</v>
      </c>
      <c r="B23" s="6"/>
      <c r="C23" s="34"/>
      <c r="D23" s="35">
        <f>D17+D19-D20-D21-D22</f>
        <v>2607.2789511343153</v>
      </c>
      <c r="E23" s="36">
        <f t="shared" ref="E23" si="18">E17+E19-E20-E21-E22</f>
        <v>1318.6452327938216</v>
      </c>
      <c r="F23" s="47">
        <f t="shared" ref="F23" si="19">F17+F19-F20-F21-F22</f>
        <v>1924.8241085846612</v>
      </c>
      <c r="G23" s="47">
        <f t="shared" ref="G23" si="20">G17+G19-G20-G21-G22</f>
        <v>1975.3446243735589</v>
      </c>
      <c r="H23" s="47">
        <f t="shared" ref="H23" si="21">H17+H19-H20-H21-H22</f>
        <v>2054.8464093485018</v>
      </c>
      <c r="I23" s="47">
        <f t="shared" ref="I23" si="22">I17+I19-I20-I21-I22</f>
        <v>2137.528265722442</v>
      </c>
      <c r="J23" s="47">
        <f t="shared" ref="J23" si="23">J17+J19-J20-J21-J22</f>
        <v>2223.5173963513403</v>
      </c>
      <c r="K23" s="49">
        <f>IFERROR(RATE($J$4-$E$4,,-E23,J23),"")</f>
        <v>0.11015217087620047</v>
      </c>
    </row>
    <row r="24" spans="1:17" x14ac:dyDescent="0.3">
      <c r="A24" s="7" t="s">
        <v>88</v>
      </c>
      <c r="B24" s="7"/>
      <c r="C24" s="11"/>
    </row>
    <row r="25" spans="1:17" x14ac:dyDescent="0.3">
      <c r="C25" s="9"/>
    </row>
    <row r="26" spans="1:17" ht="17.399999999999999" x14ac:dyDescent="0.3">
      <c r="B26" s="196" t="s">
        <v>66</v>
      </c>
      <c r="C26" s="197"/>
      <c r="D26" s="109"/>
      <c r="H26" s="182" t="s">
        <v>111</v>
      </c>
      <c r="I26" s="183"/>
      <c r="J26" s="183"/>
      <c r="K26" s="183"/>
      <c r="O26" s="1"/>
      <c r="P26" s="1"/>
      <c r="Q26" s="1"/>
    </row>
    <row r="27" spans="1:17" x14ac:dyDescent="0.3">
      <c r="B27" s="92"/>
      <c r="C27" s="100"/>
      <c r="D27" s="109"/>
      <c r="O27" s="1"/>
      <c r="P27" s="1"/>
      <c r="Q27" s="1"/>
    </row>
    <row r="28" spans="1:17" x14ac:dyDescent="0.3">
      <c r="B28" s="93" t="s">
        <v>44</v>
      </c>
      <c r="C28" s="101">
        <f>WACC</f>
        <v>9.8564436574701472E-2</v>
      </c>
      <c r="D28" s="109"/>
      <c r="G28" s="119"/>
      <c r="H28" s="181" t="s">
        <v>114</v>
      </c>
      <c r="O28" s="1"/>
      <c r="P28" s="1"/>
      <c r="Q28" s="1"/>
    </row>
    <row r="29" spans="1:17" x14ac:dyDescent="0.3">
      <c r="B29" s="94" t="s">
        <v>117</v>
      </c>
      <c r="C29" s="102">
        <f>NPV(C28,F23:J23)</f>
        <v>7796.0896500508379</v>
      </c>
      <c r="D29" s="179"/>
      <c r="G29" s="119"/>
      <c r="H29" s="173">
        <v>5.0000000000000001E-3</v>
      </c>
      <c r="O29" s="1"/>
      <c r="P29" s="1"/>
      <c r="Q29" s="1"/>
    </row>
    <row r="30" spans="1:17" x14ac:dyDescent="0.3">
      <c r="B30" s="95"/>
      <c r="C30" s="103"/>
      <c r="D30" s="109"/>
      <c r="G30" s="119"/>
      <c r="H30" s="181" t="s">
        <v>115</v>
      </c>
      <c r="O30" s="1"/>
      <c r="P30" s="1"/>
      <c r="Q30" s="1"/>
    </row>
    <row r="31" spans="1:17" x14ac:dyDescent="0.3">
      <c r="B31" s="96" t="s">
        <v>69</v>
      </c>
      <c r="C31" s="104">
        <v>2.5000000000000001E-2</v>
      </c>
      <c r="D31" s="109"/>
      <c r="H31" s="173">
        <v>5.0000000000000001E-3</v>
      </c>
      <c r="O31" s="1"/>
      <c r="P31" s="1"/>
      <c r="Q31" s="1"/>
    </row>
    <row r="32" spans="1:17" x14ac:dyDescent="0.3">
      <c r="B32" s="93" t="s">
        <v>70</v>
      </c>
      <c r="C32" s="105">
        <f>(UFCF_Yr5*(1+C31))/(WACC-C31)</f>
        <v>30981.075059900606</v>
      </c>
      <c r="D32" s="179"/>
      <c r="O32" s="1"/>
      <c r="P32" s="1"/>
      <c r="Q32" s="1"/>
    </row>
    <row r="33" spans="2:17" x14ac:dyDescent="0.3">
      <c r="B33" s="94" t="s">
        <v>118</v>
      </c>
      <c r="C33" s="106">
        <f>PV(WACC,H1,,-C32,0)</f>
        <v>19362.828803321801</v>
      </c>
      <c r="D33" s="179"/>
      <c r="H33" s="198" t="s">
        <v>44</v>
      </c>
      <c r="I33" s="198"/>
      <c r="J33" s="198"/>
      <c r="K33" s="198"/>
      <c r="L33" s="198"/>
      <c r="M33" s="198"/>
      <c r="N33" s="198"/>
      <c r="O33" s="198"/>
      <c r="P33" s="198"/>
      <c r="Q33" s="198"/>
    </row>
    <row r="34" spans="2:17" x14ac:dyDescent="0.3">
      <c r="B34" s="95"/>
      <c r="C34" s="103"/>
      <c r="D34" s="109"/>
      <c r="G34" s="178">
        <f>C41</f>
        <v>128.43757935106362</v>
      </c>
      <c r="H34" s="174">
        <v>4.4999999999999998E-2</v>
      </c>
      <c r="I34" s="48">
        <f t="shared" ref="I34:Q34" si="24">H34+$H$31</f>
        <v>4.9999999999999996E-2</v>
      </c>
      <c r="J34" s="48">
        <f t="shared" si="24"/>
        <v>5.4999999999999993E-2</v>
      </c>
      <c r="K34" s="48">
        <f t="shared" si="24"/>
        <v>5.9999999999999991E-2</v>
      </c>
      <c r="L34" s="48">
        <f t="shared" si="24"/>
        <v>6.4999999999999988E-2</v>
      </c>
      <c r="M34" s="48">
        <f t="shared" si="24"/>
        <v>6.9999999999999993E-2</v>
      </c>
      <c r="N34" s="48">
        <f t="shared" si="24"/>
        <v>7.4999999999999997E-2</v>
      </c>
      <c r="O34" s="48">
        <f t="shared" si="24"/>
        <v>0.08</v>
      </c>
      <c r="P34" s="48">
        <f t="shared" si="24"/>
        <v>8.5000000000000006E-2</v>
      </c>
      <c r="Q34" s="48">
        <f t="shared" si="24"/>
        <v>9.0000000000000011E-2</v>
      </c>
    </row>
    <row r="35" spans="2:17" x14ac:dyDescent="0.3">
      <c r="B35" s="96" t="s">
        <v>72</v>
      </c>
      <c r="C35" s="107">
        <f>C29+C33</f>
        <v>27158.91845337264</v>
      </c>
      <c r="D35" s="179"/>
      <c r="F35" s="195" t="s">
        <v>112</v>
      </c>
      <c r="G35" s="175">
        <v>2.5000000000000001E-2</v>
      </c>
      <c r="H35" s="180">
        <f t="shared" ref="H35:Q44" si="25">IFERROR((NPV(H$34,$F$23:$J$23) + PV(H$34,$H$1,,-(UFCF_Yr5*(1+$G35)/(H$34-$G35)),0) - $C$36)/$C$39, "Error")</f>
        <v>493.09075174471366</v>
      </c>
      <c r="I35" s="180">
        <f t="shared" si="25"/>
        <v>392.90813931355797</v>
      </c>
      <c r="J35" s="180">
        <f t="shared" si="25"/>
        <v>326.12359855193159</v>
      </c>
      <c r="K35" s="180">
        <f t="shared" si="25"/>
        <v>278.42358696203598</v>
      </c>
      <c r="L35" s="180">
        <f t="shared" si="25"/>
        <v>242.65133548951218</v>
      </c>
      <c r="M35" s="180">
        <f t="shared" si="25"/>
        <v>214.83086320881335</v>
      </c>
      <c r="N35" s="180">
        <f t="shared" si="25"/>
        <v>192.57658319979853</v>
      </c>
      <c r="O35" s="180">
        <f t="shared" si="25"/>
        <v>174.37039613011993</v>
      </c>
      <c r="P35" s="180">
        <f t="shared" si="25"/>
        <v>159.20023704827625</v>
      </c>
      <c r="Q35" s="180">
        <f t="shared" si="25"/>
        <v>146.36544673535687</v>
      </c>
    </row>
    <row r="36" spans="2:17" x14ac:dyDescent="0.3">
      <c r="B36" s="95" t="s">
        <v>73</v>
      </c>
      <c r="C36" s="108">
        <v>1336.8</v>
      </c>
      <c r="D36" s="109"/>
      <c r="F36" s="195"/>
      <c r="G36" s="48">
        <f t="shared" ref="G36:G44" si="26">G35+$H$29</f>
        <v>3.0000000000000002E-2</v>
      </c>
      <c r="H36" s="180">
        <f t="shared" si="25"/>
        <v>647.66045113551161</v>
      </c>
      <c r="I36" s="180">
        <f t="shared" si="25"/>
        <v>483.89602602325175</v>
      </c>
      <c r="J36" s="180">
        <f t="shared" si="25"/>
        <v>385.64041282376456</v>
      </c>
      <c r="K36" s="180">
        <f t="shared" si="25"/>
        <v>320.13914126106624</v>
      </c>
      <c r="L36" s="180">
        <f t="shared" si="25"/>
        <v>273.35458288725914</v>
      </c>
      <c r="M36" s="180">
        <f t="shared" si="25"/>
        <v>238.26792488867778</v>
      </c>
      <c r="N36" s="180">
        <f t="shared" si="25"/>
        <v>210.97982802308974</v>
      </c>
      <c r="O36" s="180">
        <f t="shared" si="25"/>
        <v>189.15068979613255</v>
      </c>
      <c r="P36" s="180">
        <f t="shared" si="25"/>
        <v>171.29167317923458</v>
      </c>
      <c r="Q36" s="180">
        <f t="shared" si="25"/>
        <v>156.41022096976175</v>
      </c>
    </row>
    <row r="37" spans="2:17" x14ac:dyDescent="0.3">
      <c r="B37" s="97" t="s">
        <v>74</v>
      </c>
      <c r="C37" s="107">
        <f>C35-C36</f>
        <v>25822.118453372641</v>
      </c>
      <c r="D37" s="179"/>
      <c r="F37" s="195"/>
      <c r="G37" s="48">
        <f t="shared" si="26"/>
        <v>3.5000000000000003E-2</v>
      </c>
      <c r="H37" s="180">
        <f t="shared" si="25"/>
        <v>956.79984991710762</v>
      </c>
      <c r="I37" s="180">
        <f t="shared" si="25"/>
        <v>635.54250387274146</v>
      </c>
      <c r="J37" s="180">
        <f t="shared" si="25"/>
        <v>474.91563423151399</v>
      </c>
      <c r="K37" s="180">
        <f t="shared" si="25"/>
        <v>378.54091727970859</v>
      </c>
      <c r="L37" s="180">
        <f t="shared" si="25"/>
        <v>314.292246084255</v>
      </c>
      <c r="M37" s="180">
        <f t="shared" si="25"/>
        <v>268.40128990564631</v>
      </c>
      <c r="N37" s="180">
        <f t="shared" si="25"/>
        <v>233.98388405220371</v>
      </c>
      <c r="O37" s="180">
        <f t="shared" si="25"/>
        <v>207.21549316570355</v>
      </c>
      <c r="P37" s="180">
        <f t="shared" si="25"/>
        <v>185.80139653638457</v>
      </c>
      <c r="Q37" s="180">
        <f t="shared" si="25"/>
        <v>168.28131779224026</v>
      </c>
    </row>
    <row r="38" spans="2:17" x14ac:dyDescent="0.3">
      <c r="B38" s="91"/>
      <c r="C38" s="109"/>
      <c r="D38" s="109"/>
      <c r="F38" s="195"/>
      <c r="G38" s="48">
        <f t="shared" si="26"/>
        <v>0.04</v>
      </c>
      <c r="H38" s="180">
        <f t="shared" si="25"/>
        <v>1884.2180462618946</v>
      </c>
      <c r="I38" s="180">
        <f t="shared" si="25"/>
        <v>938.83545957172043</v>
      </c>
      <c r="J38" s="180">
        <f t="shared" si="25"/>
        <v>623.70766991109633</v>
      </c>
      <c r="K38" s="180">
        <f t="shared" si="25"/>
        <v>466.14358130767198</v>
      </c>
      <c r="L38" s="180">
        <f t="shared" si="25"/>
        <v>371.60497456004913</v>
      </c>
      <c r="M38" s="180">
        <f t="shared" si="25"/>
        <v>308.57910992827101</v>
      </c>
      <c r="N38" s="180">
        <f t="shared" si="25"/>
        <v>263.56052751820738</v>
      </c>
      <c r="O38" s="180">
        <f t="shared" si="25"/>
        <v>229.79649737766727</v>
      </c>
      <c r="P38" s="180">
        <f t="shared" si="25"/>
        <v>203.53550286179015</v>
      </c>
      <c r="Q38" s="180">
        <f t="shared" si="25"/>
        <v>182.52663397921444</v>
      </c>
    </row>
    <row r="39" spans="2:17" x14ac:dyDescent="0.3">
      <c r="B39" s="98" t="s">
        <v>75</v>
      </c>
      <c r="C39" s="110">
        <v>201.048</v>
      </c>
      <c r="D39" s="109"/>
      <c r="F39" s="195"/>
      <c r="G39" s="48">
        <f t="shared" si="26"/>
        <v>4.4999999999999998E-2</v>
      </c>
      <c r="H39" s="180" t="str">
        <f t="shared" si="25"/>
        <v>Error</v>
      </c>
      <c r="I39" s="180">
        <f t="shared" si="25"/>
        <v>1848.7143266686576</v>
      </c>
      <c r="J39" s="180">
        <f t="shared" si="25"/>
        <v>921.29174127026101</v>
      </c>
      <c r="K39" s="180">
        <f t="shared" si="25"/>
        <v>612.14802135427772</v>
      </c>
      <c r="L39" s="180">
        <f t="shared" si="25"/>
        <v>457.57406727374041</v>
      </c>
      <c r="M39" s="180">
        <f t="shared" si="25"/>
        <v>364.82805795994562</v>
      </c>
      <c r="N39" s="180">
        <f t="shared" si="25"/>
        <v>302.99605213954561</v>
      </c>
      <c r="O39" s="180">
        <f t="shared" si="25"/>
        <v>258.82921707876352</v>
      </c>
      <c r="P39" s="180">
        <f t="shared" si="25"/>
        <v>225.70313576854707</v>
      </c>
      <c r="Q39" s="180">
        <f t="shared" si="25"/>
        <v>199.93757598551622</v>
      </c>
    </row>
    <row r="40" spans="2:17" x14ac:dyDescent="0.3">
      <c r="B40" s="91"/>
      <c r="C40" s="111"/>
      <c r="D40" s="109"/>
      <c r="F40" s="195"/>
      <c r="G40" s="48">
        <f t="shared" si="26"/>
        <v>4.9999999999999996E-2</v>
      </c>
      <c r="H40" s="180">
        <f t="shared" si="25"/>
        <v>-1825.4547391172541</v>
      </c>
      <c r="I40" s="180" t="str">
        <f t="shared" si="25"/>
        <v>Error</v>
      </c>
      <c r="J40" s="180">
        <f t="shared" si="25"/>
        <v>1814.0439553477554</v>
      </c>
      <c r="K40" s="180">
        <f t="shared" si="25"/>
        <v>904.1569014474893</v>
      </c>
      <c r="L40" s="180">
        <f t="shared" si="25"/>
        <v>600.85588846322594</v>
      </c>
      <c r="M40" s="180">
        <f t="shared" si="25"/>
        <v>449.20148000745752</v>
      </c>
      <c r="N40" s="180">
        <f t="shared" si="25"/>
        <v>358.20578660941902</v>
      </c>
      <c r="O40" s="180">
        <f t="shared" si="25"/>
        <v>297.53951001355847</v>
      </c>
      <c r="P40" s="180">
        <f t="shared" si="25"/>
        <v>254.20437807723459</v>
      </c>
      <c r="Q40" s="180">
        <f t="shared" si="25"/>
        <v>221.70125349339347</v>
      </c>
    </row>
    <row r="41" spans="2:17" x14ac:dyDescent="0.3">
      <c r="B41" s="129" t="s">
        <v>76</v>
      </c>
      <c r="C41" s="112">
        <f>C37/C39</f>
        <v>128.43757935106362</v>
      </c>
      <c r="D41" s="179"/>
      <c r="F41" s="195"/>
      <c r="G41" s="48">
        <f t="shared" si="26"/>
        <v>5.4999999999999993E-2</v>
      </c>
      <c r="H41" s="180">
        <f t="shared" si="25"/>
        <v>-898.03654277246676</v>
      </c>
      <c r="I41" s="180">
        <f t="shared" si="25"/>
        <v>-1790.8011417190908</v>
      </c>
      <c r="J41" s="180" t="str">
        <f t="shared" si="25"/>
        <v>Error</v>
      </c>
      <c r="K41" s="180">
        <f t="shared" si="25"/>
        <v>1780.1835417271234</v>
      </c>
      <c r="L41" s="180">
        <f t="shared" si="25"/>
        <v>887.41953084219665</v>
      </c>
      <c r="M41" s="180">
        <f t="shared" si="25"/>
        <v>589.8238500866438</v>
      </c>
      <c r="N41" s="180">
        <f t="shared" si="25"/>
        <v>441.02038831422919</v>
      </c>
      <c r="O41" s="180">
        <f t="shared" si="25"/>
        <v>351.73392012227134</v>
      </c>
      <c r="P41" s="180">
        <f t="shared" si="25"/>
        <v>292.20603448881781</v>
      </c>
      <c r="Q41" s="180">
        <f t="shared" si="25"/>
        <v>249.68312457494983</v>
      </c>
    </row>
    <row r="42" spans="2:17" x14ac:dyDescent="0.3">
      <c r="B42" s="91"/>
      <c r="C42" s="109"/>
      <c r="D42" s="109"/>
      <c r="F42" s="195"/>
      <c r="G42" s="48">
        <f t="shared" si="26"/>
        <v>5.9999999999999991E-2</v>
      </c>
      <c r="H42" s="180">
        <f t="shared" si="25"/>
        <v>-588.89714399087109</v>
      </c>
      <c r="I42" s="180">
        <f t="shared" si="25"/>
        <v>-880.92227462215385</v>
      </c>
      <c r="J42" s="180">
        <f t="shared" si="25"/>
        <v>-1756.9649009622215</v>
      </c>
      <c r="K42" s="180" t="str">
        <f t="shared" si="25"/>
        <v>Error</v>
      </c>
      <c r="L42" s="180">
        <f t="shared" si="25"/>
        <v>1747.1104579791097</v>
      </c>
      <c r="M42" s="180">
        <f t="shared" si="25"/>
        <v>871.06859024501671</v>
      </c>
      <c r="N42" s="180">
        <f t="shared" si="25"/>
        <v>579.04472448891283</v>
      </c>
      <c r="O42" s="180">
        <f t="shared" si="25"/>
        <v>433.02553528534071</v>
      </c>
      <c r="P42" s="180">
        <f t="shared" si="25"/>
        <v>345.40835346503439</v>
      </c>
      <c r="Q42" s="180">
        <f t="shared" si="25"/>
        <v>286.99228601702515</v>
      </c>
    </row>
    <row r="43" spans="2:17" x14ac:dyDescent="0.3">
      <c r="F43" s="195"/>
      <c r="G43" s="48">
        <f t="shared" si="26"/>
        <v>6.4999999999999988E-2</v>
      </c>
      <c r="H43" s="180">
        <f t="shared" si="25"/>
        <v>-434.32744460007336</v>
      </c>
      <c r="I43" s="180">
        <f t="shared" si="25"/>
        <v>-577.62931892317488</v>
      </c>
      <c r="J43" s="180">
        <f t="shared" si="25"/>
        <v>-864.21268688472719</v>
      </c>
      <c r="K43" s="180">
        <f t="shared" si="25"/>
        <v>-1723.9230193914134</v>
      </c>
      <c r="L43" s="180" t="str">
        <f t="shared" si="25"/>
        <v>Error</v>
      </c>
      <c r="M43" s="180">
        <f t="shared" si="25"/>
        <v>1714.8028107201344</v>
      </c>
      <c r="N43" s="180">
        <f t="shared" si="25"/>
        <v>855.09339683827989</v>
      </c>
      <c r="O43" s="180">
        <f t="shared" si="25"/>
        <v>568.51156055712272</v>
      </c>
      <c r="P43" s="180">
        <f t="shared" si="25"/>
        <v>425.21183192935922</v>
      </c>
      <c r="Q43" s="180">
        <f t="shared" si="25"/>
        <v>339.22511203593041</v>
      </c>
    </row>
    <row r="44" spans="2:17" x14ac:dyDescent="0.3">
      <c r="B44" s="196" t="s">
        <v>77</v>
      </c>
      <c r="C44" s="197"/>
      <c r="F44" s="195"/>
      <c r="G44" s="48">
        <f t="shared" si="26"/>
        <v>6.9999999999999993E-2</v>
      </c>
      <c r="H44" s="180">
        <f t="shared" si="25"/>
        <v>-341.58562496559449</v>
      </c>
      <c r="I44" s="180">
        <f t="shared" si="25"/>
        <v>-425.98284107368517</v>
      </c>
      <c r="J44" s="180">
        <f t="shared" si="25"/>
        <v>-566.62861552556217</v>
      </c>
      <c r="K44" s="180">
        <f t="shared" si="25"/>
        <v>-847.89637911177863</v>
      </c>
      <c r="L44" s="180">
        <f t="shared" si="25"/>
        <v>-1691.6532505685391</v>
      </c>
      <c r="M44" s="180" t="str">
        <f t="shared" si="25"/>
        <v>Error</v>
      </c>
      <c r="N44" s="180">
        <f t="shared" si="25"/>
        <v>1683.239413886382</v>
      </c>
      <c r="O44" s="180">
        <f t="shared" si="25"/>
        <v>839.48361110068754</v>
      </c>
      <c r="P44" s="180">
        <f t="shared" si="25"/>
        <v>558.21762936990081</v>
      </c>
      <c r="Q44" s="180">
        <f t="shared" si="25"/>
        <v>417.57435106428841</v>
      </c>
    </row>
    <row r="45" spans="2:17" x14ac:dyDescent="0.3">
      <c r="B45" s="92" t="s">
        <v>119</v>
      </c>
      <c r="C45" s="127">
        <f>UFCF_Yr5</f>
        <v>2223.5173963513403</v>
      </c>
    </row>
    <row r="46" spans="2:17" x14ac:dyDescent="0.3">
      <c r="B46" s="95" t="s">
        <v>44</v>
      </c>
      <c r="C46" s="101">
        <f>WACC</f>
        <v>9.8564436574701472E-2</v>
      </c>
      <c r="M46" s="121"/>
      <c r="N46" s="122"/>
    </row>
    <row r="47" spans="2:17" x14ac:dyDescent="0.3">
      <c r="B47" s="95" t="s">
        <v>69</v>
      </c>
      <c r="C47" s="101">
        <f>C31</f>
        <v>2.5000000000000001E-2</v>
      </c>
    </row>
    <row r="48" spans="2:17" x14ac:dyDescent="0.3">
      <c r="B48" s="95" t="s">
        <v>80</v>
      </c>
      <c r="C48" s="113">
        <f>Yr5_EBITDA</f>
        <v>4137.6134798723824</v>
      </c>
    </row>
    <row r="49" spans="2:6" x14ac:dyDescent="0.3">
      <c r="B49" s="128" t="s">
        <v>83</v>
      </c>
      <c r="C49" s="114">
        <f>C32/Yr5_EBITDA</f>
        <v>7.4876677608020952</v>
      </c>
    </row>
    <row r="50" spans="2:6" x14ac:dyDescent="0.3">
      <c r="B50" s="91"/>
      <c r="C50" s="115"/>
      <c r="E50" s="109"/>
      <c r="F50" s="115"/>
    </row>
  </sheetData>
  <mergeCells count="6">
    <mergeCell ref="F35:F44"/>
    <mergeCell ref="C3:E3"/>
    <mergeCell ref="F3:J3"/>
    <mergeCell ref="B26:C26"/>
    <mergeCell ref="B44:C44"/>
    <mergeCell ref="H33:Q33"/>
  </mergeCells>
  <conditionalFormatting sqref="C33">
    <cfRule type="cellIs" dxfId="3" priority="2" stopIfTrue="1" operator="equal">
      <formula>0.000001</formula>
    </cfRule>
  </conditionalFormatting>
  <conditionalFormatting sqref="H35:Q44">
    <cfRule type="expression" dxfId="2" priority="1">
      <formula>H35=$C$41</formula>
    </cfRule>
  </conditionalFormatting>
  <pageMargins left="0.7" right="0.7" top="0.75" bottom="0.75" header="0.3" footer="0.3"/>
  <ignoredErrors>
    <ignoredError sqref="B26:C28 B30:C31 B29 B33:C46 B32 B47:C49" unlocked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CAEE-A028-4ED5-AE96-7EF582887C95}">
  <sheetPr>
    <tabColor rgb="FF00B050"/>
  </sheetPr>
  <dimension ref="A1:Q56"/>
  <sheetViews>
    <sheetView showGridLines="0" zoomScaleNormal="100" workbookViewId="0">
      <selection activeCell="C7" sqref="C7"/>
    </sheetView>
  </sheetViews>
  <sheetFormatPr defaultRowHeight="14.4" x14ac:dyDescent="0.3"/>
  <cols>
    <col min="2" max="2" width="41" bestFit="1" customWidth="1"/>
    <col min="3" max="3" width="9.77734375" style="1" bestFit="1" customWidth="1"/>
    <col min="5" max="5" width="11.77734375" customWidth="1"/>
    <col min="6" max="6" width="8.5546875" bestFit="1" customWidth="1"/>
    <col min="7" max="7" width="12" customWidth="1"/>
    <col min="8" max="8" width="9.88671875" customWidth="1"/>
    <col min="9" max="17" width="8.5546875" bestFit="1" customWidth="1"/>
  </cols>
  <sheetData>
    <row r="1" spans="1:17" ht="15" thickBot="1" x14ac:dyDescent="0.35">
      <c r="A1" s="140" t="s">
        <v>110</v>
      </c>
      <c r="B1" s="139"/>
      <c r="C1" s="139"/>
      <c r="F1" s="177" t="s">
        <v>87</v>
      </c>
      <c r="G1" s="158">
        <f>Assumptions!J5-Assumptions!E5</f>
        <v>5</v>
      </c>
    </row>
    <row r="2" spans="1:17" x14ac:dyDescent="0.3">
      <c r="A2" s="99" t="s">
        <v>43</v>
      </c>
    </row>
    <row r="4" spans="1:17" x14ac:dyDescent="0.3">
      <c r="C4"/>
    </row>
    <row r="5" spans="1:17" ht="17.399999999999999" x14ac:dyDescent="0.3">
      <c r="B5" s="196" t="s">
        <v>67</v>
      </c>
      <c r="C5" s="197"/>
      <c r="H5" s="182" t="s">
        <v>111</v>
      </c>
      <c r="I5" s="183"/>
      <c r="J5" s="183"/>
      <c r="K5" s="183"/>
    </row>
    <row r="6" spans="1:17" x14ac:dyDescent="0.3">
      <c r="B6" s="92"/>
      <c r="C6" s="10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B7" s="93" t="s">
        <v>40</v>
      </c>
      <c r="C7" s="101">
        <f>WACC</f>
        <v>9.8564436574701472E-2</v>
      </c>
      <c r="F7" s="1"/>
      <c r="G7" s="119"/>
      <c r="H7" s="181" t="s">
        <v>116</v>
      </c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B8" s="94" t="s">
        <v>68</v>
      </c>
      <c r="C8" s="102">
        <f>NPV(C7,DCF!F23:J23)</f>
        <v>7796.0896500508379</v>
      </c>
      <c r="F8" s="1"/>
      <c r="G8" s="119"/>
      <c r="H8" s="176">
        <v>0.5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B9" s="95"/>
      <c r="C9" s="103"/>
      <c r="F9" s="1"/>
      <c r="G9" s="119"/>
      <c r="H9" s="181" t="s">
        <v>115</v>
      </c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B10" s="96" t="s">
        <v>86</v>
      </c>
      <c r="C10" s="118">
        <v>8.5</v>
      </c>
      <c r="F10" s="1"/>
      <c r="G10" s="1"/>
      <c r="H10" s="173">
        <v>5.0000000000000001E-3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B11" s="93" t="s">
        <v>70</v>
      </c>
      <c r="C11" s="105">
        <f>C10*Yr5_EBITDA</f>
        <v>35169.714578915249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B12" s="94" t="s">
        <v>71</v>
      </c>
      <c r="C12" s="106">
        <f>PV(WACC,G1,,-C11,0)</f>
        <v>21980.682114373718</v>
      </c>
      <c r="F12" s="1"/>
      <c r="G12" s="1"/>
      <c r="H12" s="198" t="s">
        <v>44</v>
      </c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x14ac:dyDescent="0.3">
      <c r="B13" s="95"/>
      <c r="C13" s="103"/>
      <c r="F13" s="1"/>
      <c r="G13" s="178">
        <f>C20</f>
        <v>141.45861567598064</v>
      </c>
      <c r="H13" s="184">
        <v>0.05</v>
      </c>
      <c r="I13" s="185">
        <f t="shared" ref="I13:Q13" si="0">H13+$H$10</f>
        <v>5.5E-2</v>
      </c>
      <c r="J13" s="185">
        <f t="shared" si="0"/>
        <v>0.06</v>
      </c>
      <c r="K13" s="185">
        <f t="shared" si="0"/>
        <v>6.5000000000000002E-2</v>
      </c>
      <c r="L13" s="185">
        <f t="shared" si="0"/>
        <v>7.0000000000000007E-2</v>
      </c>
      <c r="M13" s="185">
        <f t="shared" si="0"/>
        <v>7.5000000000000011E-2</v>
      </c>
      <c r="N13" s="185">
        <f t="shared" si="0"/>
        <v>8.0000000000000016E-2</v>
      </c>
      <c r="O13" s="185">
        <f t="shared" si="0"/>
        <v>8.500000000000002E-2</v>
      </c>
      <c r="P13" s="185">
        <f t="shared" si="0"/>
        <v>9.0000000000000024E-2</v>
      </c>
      <c r="Q13" s="185">
        <f t="shared" si="0"/>
        <v>9.5000000000000029E-2</v>
      </c>
    </row>
    <row r="14" spans="1:17" x14ac:dyDescent="0.3">
      <c r="B14" s="96" t="s">
        <v>72</v>
      </c>
      <c r="C14" s="107">
        <f>C8+C12</f>
        <v>29776.771764424557</v>
      </c>
      <c r="F14" s="195" t="s">
        <v>113</v>
      </c>
      <c r="G14" s="118">
        <v>5.5</v>
      </c>
      <c r="H14" s="186">
        <f>IFERROR((NPV(H$13,DCF!$F$23:$J$23) + PV(H$13,$G$1,,-$G14*Yr5_EBITDA,0)-$C$15)/$C$18, "Error")</f>
        <v>126.31041055210088</v>
      </c>
      <c r="I14" s="186">
        <f>IFERROR((NPV(I$13,DCF!$F$23:$J$23) + PV(I$13,$G$1,,-$G14*Yr5_EBITDA,0)-$C$15)/$C$18, "Error")</f>
        <v>123.60814631020686</v>
      </c>
      <c r="J14" s="186">
        <f>IFERROR((NPV(J$13,DCF!$F$23:$J$23) + PV(J$13,$G$1,,-$G14*Yr5_EBITDA,0)-$C$15)/$C$18, "Error")</f>
        <v>120.97774901358386</v>
      </c>
      <c r="K14" s="186">
        <f>IFERROR((NPV(K$13,DCF!$F$23:$J$23) + PV(K$13,$G$1,,-$G14*Yr5_EBITDA,0)-$C$15)/$C$18, "Error")</f>
        <v>118.41694216505884</v>
      </c>
      <c r="L14" s="186">
        <f>IFERROR((NPV(L$13,DCF!$F$23:$J$23) + PV(L$13,$G$1,,-$G14*Yr5_EBITDA,0)-$C$15)/$C$18, "Error")</f>
        <v>115.92353217394519</v>
      </c>
      <c r="M14" s="186">
        <f>IFERROR((NPV(M$13,DCF!$F$23:$J$23) + PV(M$13,$G$1,,-$G14*Yr5_EBITDA,0)-$C$15)/$C$18, "Error")</f>
        <v>113.49540495651839</v>
      </c>
      <c r="N14" s="186">
        <f>IFERROR((NPV(N$13,DCF!$F$23:$J$23) + PV(N$13,$G$1,,-$G14*Yr5_EBITDA,0)-$C$15)/$C$18, "Error")</f>
        <v>111.13052269115082</v>
      </c>
      <c r="O14" s="186">
        <f>IFERROR((NPV(O$13,DCF!$F$23:$J$23) + PV(O$13,$G$1,,-$G14*Yr5_EBITDA,0)-$C$15)/$C$18, "Error")</f>
        <v>108.82692072038856</v>
      </c>
      <c r="P14" s="186">
        <f>IFERROR((NPV(P$13,DCF!$F$23:$J$23) + PV(P$13,$G$1,,-$G14*Yr5_EBITDA,0)-$C$15)/$C$18, "Error")</f>
        <v>106.58270459266704</v>
      </c>
      <c r="Q14" s="186">
        <f>IFERROR((NPV(Q$13,DCF!$F$23:$J$23) + PV(Q$13,$G$1,,-$G14*Yr5_EBITDA,0)-$C$15)/$C$18, "Error")</f>
        <v>104.39604723676122</v>
      </c>
    </row>
    <row r="15" spans="1:17" x14ac:dyDescent="0.3">
      <c r="B15" s="95" t="s">
        <v>73</v>
      </c>
      <c r="C15" s="108">
        <v>1336.8</v>
      </c>
      <c r="F15" s="195"/>
      <c r="G15" s="116">
        <f t="shared" ref="G15:G23" si="1">G14+$H$8</f>
        <v>6</v>
      </c>
      <c r="H15" s="186">
        <f>IFERROR((NPV(H$13,DCF!$F$23:$J$23) + PV(H$13,$G$1,,-$G15*Yr5_EBITDA,0)-$C$15)/$C$18, "Error")</f>
        <v>134.37298373913239</v>
      </c>
      <c r="I15" s="186">
        <f>IFERROR((NPV(I$13,DCF!$F$23:$J$23) + PV(I$13,$G$1,,-$G15*Yr5_EBITDA,0)-$C$15)/$C$18, "Error")</f>
        <v>131.48146565774019</v>
      </c>
      <c r="J15" s="186">
        <f>IFERROR((NPV(J$13,DCF!$F$23:$J$23) + PV(J$13,$G$1,,-$G15*Yr5_EBITDA,0)-$C$15)/$C$18, "Error")</f>
        <v>128.66712042985114</v>
      </c>
      <c r="K15" s="186">
        <f>IFERROR((NPV(K$13,DCF!$F$23:$J$23) + PV(K$13,$G$1,,-$G15*Yr5_EBITDA,0)-$C$15)/$C$18, "Error")</f>
        <v>125.92749881792193</v>
      </c>
      <c r="L15" s="186">
        <f>IFERROR((NPV(L$13,DCF!$F$23:$J$23) + PV(L$13,$G$1,,-$G15*Yr5_EBITDA,0)-$C$15)/$C$18, "Error")</f>
        <v>123.26024088826799</v>
      </c>
      <c r="M15" s="186">
        <f>IFERROR((NPV(M$13,DCF!$F$23:$J$23) + PV(M$13,$G$1,,-$G15*Yr5_EBITDA,0)-$C$15)/$C$18, "Error")</f>
        <v>120.66307234622957</v>
      </c>
      <c r="N15" s="186">
        <f>IFERROR((NPV(N$13,DCF!$F$23:$J$23) + PV(N$13,$G$1,,-$G15*Yr5_EBITDA,0)-$C$15)/$C$18, "Error")</f>
        <v>118.13380103816618</v>
      </c>
      <c r="O15" s="186">
        <f>IFERROR((NPV(O$13,DCF!$F$23:$J$23) + PV(O$13,$G$1,,-$G15*Yr5_EBITDA,0)-$C$15)/$C$18, "Error")</f>
        <v>115.67031361195093</v>
      </c>
      <c r="P15" s="186">
        <f>IFERROR((NPV(P$13,DCF!$F$23:$J$23) + PV(P$13,$G$1,,-$G15*Yr5_EBITDA,0)-$C$15)/$C$18, "Error")</f>
        <v>113.2705723280839</v>
      </c>
      <c r="Q15" s="186">
        <f>IFERROR((NPV(Q$13,DCF!$F$23:$J$23) + PV(Q$13,$G$1,,-$G15*Yr5_EBITDA,0)-$C$15)/$C$18, "Error")</f>
        <v>110.93261201397385</v>
      </c>
    </row>
    <row r="16" spans="1:17" x14ac:dyDescent="0.3">
      <c r="B16" s="97" t="s">
        <v>74</v>
      </c>
      <c r="C16" s="107">
        <f>C14-C15</f>
        <v>28439.971764424557</v>
      </c>
      <c r="F16" s="195"/>
      <c r="G16" s="116">
        <f t="shared" si="1"/>
        <v>6.5</v>
      </c>
      <c r="H16" s="186">
        <f>IFERROR((NPV(H$13,DCF!$F$23:$J$23) + PV(H$13,$G$1,,-$G16*Yr5_EBITDA,0)-$C$15)/$C$18, "Error")</f>
        <v>142.43555692616391</v>
      </c>
      <c r="I16" s="186">
        <f>IFERROR((NPV(I$13,DCF!$F$23:$J$23) + PV(I$13,$G$1,,-$G16*Yr5_EBITDA,0)-$C$15)/$C$18, "Error")</f>
        <v>139.3547850052735</v>
      </c>
      <c r="J16" s="186">
        <f>IFERROR((NPV(J$13,DCF!$F$23:$J$23) + PV(J$13,$G$1,,-$G16*Yr5_EBITDA,0)-$C$15)/$C$18, "Error")</f>
        <v>136.35649184611839</v>
      </c>
      <c r="K16" s="186">
        <f>IFERROR((NPV(K$13,DCF!$F$23:$J$23) + PV(K$13,$G$1,,-$G16*Yr5_EBITDA,0)-$C$15)/$C$18, "Error")</f>
        <v>133.43805547078503</v>
      </c>
      <c r="L16" s="186">
        <f>IFERROR((NPV(L$13,DCF!$F$23:$J$23) + PV(L$13,$G$1,,-$G16*Yr5_EBITDA,0)-$C$15)/$C$18, "Error")</f>
        <v>130.59694960259077</v>
      </c>
      <c r="M16" s="186">
        <f>IFERROR((NPV(M$13,DCF!$F$23:$J$23) + PV(M$13,$G$1,,-$G16*Yr5_EBITDA,0)-$C$15)/$C$18, "Error")</f>
        <v>127.83073973594077</v>
      </c>
      <c r="N16" s="186">
        <f>IFERROR((NPV(N$13,DCF!$F$23:$J$23) + PV(N$13,$G$1,,-$G16*Yr5_EBITDA,0)-$C$15)/$C$18, "Error")</f>
        <v>125.13707938518161</v>
      </c>
      <c r="O16" s="186">
        <f>IFERROR((NPV(O$13,DCF!$F$23:$J$23) + PV(O$13,$G$1,,-$G16*Yr5_EBITDA,0)-$C$15)/$C$18, "Error")</f>
        <v>122.51370650351332</v>
      </c>
      <c r="P16" s="186">
        <f>IFERROR((NPV(P$13,DCF!$F$23:$J$23) + PV(P$13,$G$1,,-$G16*Yr5_EBITDA,0)-$C$15)/$C$18, "Error")</f>
        <v>119.95844006350077</v>
      </c>
      <c r="Q16" s="186">
        <f>IFERROR((NPV(Q$13,DCF!$F$23:$J$23) + PV(Q$13,$G$1,,-$G16*Yr5_EBITDA,0)-$C$15)/$C$18, "Error")</f>
        <v>117.4691767911865</v>
      </c>
    </row>
    <row r="17" spans="2:17" x14ac:dyDescent="0.3">
      <c r="B17" s="91"/>
      <c r="C17" s="109"/>
      <c r="F17" s="195"/>
      <c r="G17" s="116">
        <f t="shared" si="1"/>
        <v>7</v>
      </c>
      <c r="H17" s="186">
        <f>IFERROR((NPV(H$13,DCF!$F$23:$J$23) + PV(H$13,$G$1,,-$G17*Yr5_EBITDA,0)-$C$15)/$C$18, "Error")</f>
        <v>150.49813011319543</v>
      </c>
      <c r="I17" s="186">
        <f>IFERROR((NPV(I$13,DCF!$F$23:$J$23) + PV(I$13,$G$1,,-$G17*Yr5_EBITDA,0)-$C$15)/$C$18, "Error")</f>
        <v>147.22810435280681</v>
      </c>
      <c r="J17" s="186">
        <f>IFERROR((NPV(J$13,DCF!$F$23:$J$23) + PV(J$13,$G$1,,-$G17*Yr5_EBITDA,0)-$C$15)/$C$18, "Error")</f>
        <v>144.04586326238567</v>
      </c>
      <c r="K17" s="186">
        <f>IFERROR((NPV(K$13,DCF!$F$23:$J$23) + PV(K$13,$G$1,,-$G17*Yr5_EBITDA,0)-$C$15)/$C$18, "Error")</f>
        <v>140.9486121236481</v>
      </c>
      <c r="L17" s="186">
        <f>IFERROR((NPV(L$13,DCF!$F$23:$J$23) + PV(L$13,$G$1,,-$G17*Yr5_EBITDA,0)-$C$15)/$C$18, "Error")</f>
        <v>137.93365831691355</v>
      </c>
      <c r="M17" s="186">
        <f>IFERROR((NPV(M$13,DCF!$F$23:$J$23) + PV(M$13,$G$1,,-$G17*Yr5_EBITDA,0)-$C$15)/$C$18, "Error")</f>
        <v>134.99840712565197</v>
      </c>
      <c r="N17" s="186">
        <f>IFERROR((NPV(N$13,DCF!$F$23:$J$23) + PV(N$13,$G$1,,-$G17*Yr5_EBITDA,0)-$C$15)/$C$18, "Error")</f>
        <v>132.14035773219695</v>
      </c>
      <c r="O17" s="186">
        <f>IFERROR((NPV(O$13,DCF!$F$23:$J$23) + PV(O$13,$G$1,,-$G17*Yr5_EBITDA,0)-$C$15)/$C$18, "Error")</f>
        <v>129.35709939507569</v>
      </c>
      <c r="P17" s="186">
        <f>IFERROR((NPV(P$13,DCF!$F$23:$J$23) + PV(P$13,$G$1,,-$G17*Yr5_EBITDA,0)-$C$15)/$C$18, "Error")</f>
        <v>126.64630779891763</v>
      </c>
      <c r="Q17" s="186">
        <f>IFERROR((NPV(Q$13,DCF!$F$23:$J$23) + PV(Q$13,$G$1,,-$G17*Yr5_EBITDA,0)-$C$15)/$C$18, "Error")</f>
        <v>124.00574156839913</v>
      </c>
    </row>
    <row r="18" spans="2:17" x14ac:dyDescent="0.3">
      <c r="B18" s="98" t="s">
        <v>75</v>
      </c>
      <c r="C18" s="120">
        <v>201.048</v>
      </c>
      <c r="F18" s="195"/>
      <c r="G18" s="116">
        <f t="shared" si="1"/>
        <v>7.5</v>
      </c>
      <c r="H18" s="186">
        <f>IFERROR((NPV(H$13,DCF!$F$23:$J$23) + PV(H$13,$G$1,,-$G18*Yr5_EBITDA,0)-$C$15)/$C$18, "Error")</f>
        <v>158.56070330022698</v>
      </c>
      <c r="I18" s="186">
        <f>IFERROR((NPV(I$13,DCF!$F$23:$J$23) + PV(I$13,$G$1,,-$G18*Yr5_EBITDA,0)-$C$15)/$C$18, "Error")</f>
        <v>155.10142370034015</v>
      </c>
      <c r="J18" s="186">
        <f>IFERROR((NPV(J$13,DCF!$F$23:$J$23) + PV(J$13,$G$1,,-$G18*Yr5_EBITDA,0)-$C$15)/$C$18, "Error")</f>
        <v>151.73523467865294</v>
      </c>
      <c r="K18" s="186">
        <f>IFERROR((NPV(K$13,DCF!$F$23:$J$23) + PV(K$13,$G$1,,-$G18*Yr5_EBITDA,0)-$C$15)/$C$18, "Error")</f>
        <v>148.45916877651118</v>
      </c>
      <c r="L18" s="186">
        <f>IFERROR((NPV(L$13,DCF!$F$23:$J$23) + PV(L$13,$G$1,,-$G18*Yr5_EBITDA,0)-$C$15)/$C$18, "Error")</f>
        <v>145.27036703123636</v>
      </c>
      <c r="M18" s="186">
        <f>IFERROR((NPV(M$13,DCF!$F$23:$J$23) + PV(M$13,$G$1,,-$G18*Yr5_EBITDA,0)-$C$15)/$C$18, "Error")</f>
        <v>142.16607451536319</v>
      </c>
      <c r="N18" s="186">
        <f>IFERROR((NPV(N$13,DCF!$F$23:$J$23) + PV(N$13,$G$1,,-$G18*Yr5_EBITDA,0)-$C$15)/$C$18, "Error")</f>
        <v>139.14363607921237</v>
      </c>
      <c r="O18" s="186">
        <f>IFERROR((NPV(O$13,DCF!$F$23:$J$23) + PV(O$13,$G$1,,-$G18*Yr5_EBITDA,0)-$C$15)/$C$18, "Error")</f>
        <v>136.20049228663808</v>
      </c>
      <c r="P18" s="186">
        <f>IFERROR((NPV(P$13,DCF!$F$23:$J$23) + PV(P$13,$G$1,,-$G18*Yr5_EBITDA,0)-$C$15)/$C$18, "Error")</f>
        <v>133.33417553433449</v>
      </c>
      <c r="Q18" s="186">
        <f>IFERROR((NPV(Q$13,DCF!$F$23:$J$23) + PV(Q$13,$G$1,,-$G18*Yr5_EBITDA,0)-$C$15)/$C$18, "Error")</f>
        <v>130.54230634561176</v>
      </c>
    </row>
    <row r="19" spans="2:17" x14ac:dyDescent="0.3">
      <c r="B19" s="91"/>
      <c r="C19" s="109"/>
      <c r="F19" s="195"/>
      <c r="G19" s="116">
        <f t="shared" si="1"/>
        <v>8</v>
      </c>
      <c r="H19" s="186">
        <f>IFERROR((NPV(H$13,DCF!$F$23:$J$23) + PV(H$13,$G$1,,-$G19*Yr5_EBITDA,0)-$C$15)/$C$18, "Error")</f>
        <v>166.62327648725849</v>
      </c>
      <c r="I19" s="186">
        <f>IFERROR((NPV(I$13,DCF!$F$23:$J$23) + PV(I$13,$G$1,,-$G19*Yr5_EBITDA,0)-$C$15)/$C$18, "Error")</f>
        <v>162.97474304787346</v>
      </c>
      <c r="J19" s="186">
        <f>IFERROR((NPV(J$13,DCF!$F$23:$J$23) + PV(J$13,$G$1,,-$G19*Yr5_EBITDA,0)-$C$15)/$C$18, "Error")</f>
        <v>159.42460609492019</v>
      </c>
      <c r="K19" s="186">
        <f>IFERROR((NPV(K$13,DCF!$F$23:$J$23) + PV(K$13,$G$1,,-$G19*Yr5_EBITDA,0)-$C$15)/$C$18, "Error")</f>
        <v>155.96972542937425</v>
      </c>
      <c r="L19" s="186">
        <f>IFERROR((NPV(L$13,DCF!$F$23:$J$23) + PV(L$13,$G$1,,-$G19*Yr5_EBITDA,0)-$C$15)/$C$18, "Error")</f>
        <v>152.60707574555914</v>
      </c>
      <c r="M19" s="186">
        <f>IFERROR((NPV(M$13,DCF!$F$23:$J$23) + PV(M$13,$G$1,,-$G19*Yr5_EBITDA,0)-$C$15)/$C$18, "Error")</f>
        <v>149.33374190507436</v>
      </c>
      <c r="N19" s="186">
        <f>IFERROR((NPV(N$13,DCF!$F$23:$J$23) + PV(N$13,$G$1,,-$G19*Yr5_EBITDA,0)-$C$15)/$C$18, "Error")</f>
        <v>146.14691442622777</v>
      </c>
      <c r="O19" s="186">
        <f>IFERROR((NPV(O$13,DCF!$F$23:$J$23) + PV(O$13,$G$1,,-$G19*Yr5_EBITDA,0)-$C$15)/$C$18, "Error")</f>
        <v>143.04388517820047</v>
      </c>
      <c r="P19" s="186">
        <f>IFERROR((NPV(P$13,DCF!$F$23:$J$23) + PV(P$13,$G$1,,-$G19*Yr5_EBITDA,0)-$C$15)/$C$18, "Error")</f>
        <v>140.02204326975135</v>
      </c>
      <c r="Q19" s="186">
        <f>IFERROR((NPV(Q$13,DCF!$F$23:$J$23) + PV(Q$13,$G$1,,-$G19*Yr5_EBITDA,0)-$C$15)/$C$18, "Error")</f>
        <v>137.07887112282441</v>
      </c>
    </row>
    <row r="20" spans="2:17" x14ac:dyDescent="0.3">
      <c r="B20" s="129" t="s">
        <v>76</v>
      </c>
      <c r="C20" s="112">
        <f>C16/C18</f>
        <v>141.45861567598064</v>
      </c>
      <c r="F20" s="195"/>
      <c r="G20" s="116">
        <f t="shared" si="1"/>
        <v>8.5</v>
      </c>
      <c r="H20" s="186">
        <f>IFERROR((NPV(H$13,DCF!$F$23:$J$23) + PV(H$13,$G$1,,-$G20*Yr5_EBITDA,0)-$C$15)/$C$18, "Error")</f>
        <v>174.68584967428998</v>
      </c>
      <c r="I20" s="186">
        <f>IFERROR((NPV(I$13,DCF!$F$23:$J$23) + PV(I$13,$G$1,,-$G20*Yr5_EBITDA,0)-$C$15)/$C$18, "Error")</f>
        <v>170.84806239540674</v>
      </c>
      <c r="J20" s="186">
        <f>IFERROR((NPV(J$13,DCF!$F$23:$J$23) + PV(J$13,$G$1,,-$G20*Yr5_EBITDA,0)-$C$15)/$C$18, "Error")</f>
        <v>167.11397751118744</v>
      </c>
      <c r="K20" s="186">
        <f>IFERROR((NPV(K$13,DCF!$F$23:$J$23) + PV(K$13,$G$1,,-$G20*Yr5_EBITDA,0)-$C$15)/$C$18, "Error")</f>
        <v>163.48028208223732</v>
      </c>
      <c r="L20" s="186">
        <f>IFERROR((NPV(L$13,DCF!$F$23:$J$23) + PV(L$13,$G$1,,-$G20*Yr5_EBITDA,0)-$C$15)/$C$18, "Error")</f>
        <v>159.9437844598819</v>
      </c>
      <c r="M20" s="186">
        <f>IFERROR((NPV(M$13,DCF!$F$23:$J$23) + PV(M$13,$G$1,,-$G20*Yr5_EBITDA,0)-$C$15)/$C$18, "Error")</f>
        <v>156.50140929478553</v>
      </c>
      <c r="N20" s="186">
        <f>IFERROR((NPV(N$13,DCF!$F$23:$J$23) + PV(N$13,$G$1,,-$G20*Yr5_EBITDA,0)-$C$15)/$C$18, "Error")</f>
        <v>153.15019277324311</v>
      </c>
      <c r="O20" s="186">
        <f>IFERROR((NPV(O$13,DCF!$F$23:$J$23) + PV(O$13,$G$1,,-$G20*Yr5_EBITDA,0)-$C$15)/$C$18, "Error")</f>
        <v>149.88727806976283</v>
      </c>
      <c r="P20" s="186">
        <f>IFERROR((NPV(P$13,DCF!$F$23:$J$23) + PV(P$13,$G$1,,-$G20*Yr5_EBITDA,0)-$C$15)/$C$18, "Error")</f>
        <v>146.70991100516821</v>
      </c>
      <c r="Q20" s="186">
        <f>IFERROR((NPV(Q$13,DCF!$F$23:$J$23) + PV(Q$13,$G$1,,-$G20*Yr5_EBITDA,0)-$C$15)/$C$18, "Error")</f>
        <v>143.61543590003703</v>
      </c>
    </row>
    <row r="21" spans="2:17" x14ac:dyDescent="0.3">
      <c r="B21" s="91"/>
      <c r="C21" s="109"/>
      <c r="F21" s="195"/>
      <c r="G21" s="116">
        <f t="shared" si="1"/>
        <v>9</v>
      </c>
      <c r="H21" s="186">
        <f>IFERROR((NPV(H$13,DCF!$F$23:$J$23) + PV(H$13,$G$1,,-$G21*Yr5_EBITDA,0)-$C$15)/$C$18, "Error")</f>
        <v>182.74842286132153</v>
      </c>
      <c r="I21" s="186">
        <f>IFERROR((NPV(I$13,DCF!$F$23:$J$23) + PV(I$13,$G$1,,-$G21*Yr5_EBITDA,0)-$C$15)/$C$18, "Error")</f>
        <v>178.72138174294008</v>
      </c>
      <c r="J21" s="186">
        <f>IFERROR((NPV(J$13,DCF!$F$23:$J$23) + PV(J$13,$G$1,,-$G21*Yr5_EBITDA,0)-$C$15)/$C$18, "Error")</f>
        <v>174.80334892745472</v>
      </c>
      <c r="K21" s="186">
        <f>IFERROR((NPV(K$13,DCF!$F$23:$J$23) + PV(K$13,$G$1,,-$G21*Yr5_EBITDA,0)-$C$15)/$C$18, "Error")</f>
        <v>170.9908387351004</v>
      </c>
      <c r="L21" s="186">
        <f>IFERROR((NPV(L$13,DCF!$F$23:$J$23) + PV(L$13,$G$1,,-$G21*Yr5_EBITDA,0)-$C$15)/$C$18, "Error")</f>
        <v>167.28049317420468</v>
      </c>
      <c r="M21" s="186">
        <f>IFERROR((NPV(M$13,DCF!$F$23:$J$23) + PV(M$13,$G$1,,-$G21*Yr5_EBITDA,0)-$C$15)/$C$18, "Error")</f>
        <v>163.6690766844967</v>
      </c>
      <c r="N21" s="186">
        <f>IFERROR((NPV(N$13,DCF!$F$23:$J$23) + PV(N$13,$G$1,,-$G21*Yr5_EBITDA,0)-$C$15)/$C$18, "Error")</f>
        <v>160.1534711202585</v>
      </c>
      <c r="O21" s="186">
        <f>IFERROR((NPV(O$13,DCF!$F$23:$J$23) + PV(O$13,$G$1,,-$G21*Yr5_EBITDA,0)-$C$15)/$C$18, "Error")</f>
        <v>156.73067096132522</v>
      </c>
      <c r="P21" s="186">
        <f>IFERROR((NPV(P$13,DCF!$F$23:$J$23) + PV(P$13,$G$1,,-$G21*Yr5_EBITDA,0)-$C$15)/$C$18, "Error")</f>
        <v>153.39777874058507</v>
      </c>
      <c r="Q21" s="186">
        <f>IFERROR((NPV(Q$13,DCF!$F$23:$J$23) + PV(Q$13,$G$1,,-$G21*Yr5_EBITDA,0)-$C$15)/$C$18, "Error")</f>
        <v>150.15200067724965</v>
      </c>
    </row>
    <row r="22" spans="2:17" x14ac:dyDescent="0.3">
      <c r="F22" s="195"/>
      <c r="G22" s="116">
        <f t="shared" si="1"/>
        <v>9.5</v>
      </c>
      <c r="H22" s="186">
        <f>IFERROR((NPV(H$13,DCF!$F$23:$J$23) + PV(H$13,$G$1,,-$G22*Yr5_EBITDA,0)-$C$15)/$C$18, "Error")</f>
        <v>190.81099604835305</v>
      </c>
      <c r="I22" s="186">
        <f>IFERROR((NPV(I$13,DCF!$F$23:$J$23) + PV(I$13,$G$1,,-$G22*Yr5_EBITDA,0)-$C$15)/$C$18, "Error")</f>
        <v>186.59470109047342</v>
      </c>
      <c r="J22" s="186">
        <f>IFERROR((NPV(J$13,DCF!$F$23:$J$23) + PV(J$13,$G$1,,-$G22*Yr5_EBITDA,0)-$C$15)/$C$18, "Error")</f>
        <v>182.49272034372203</v>
      </c>
      <c r="K22" s="186">
        <f>IFERROR((NPV(K$13,DCF!$F$23:$J$23) + PV(K$13,$G$1,,-$G22*Yr5_EBITDA,0)-$C$15)/$C$18, "Error")</f>
        <v>178.50139538796347</v>
      </c>
      <c r="L22" s="186">
        <f>IFERROR((NPV(L$13,DCF!$F$23:$J$23) + PV(L$13,$G$1,,-$G22*Yr5_EBITDA,0)-$C$15)/$C$18, "Error")</f>
        <v>174.61720188852752</v>
      </c>
      <c r="M22" s="186">
        <f>IFERROR((NPV(M$13,DCF!$F$23:$J$23) + PV(M$13,$G$1,,-$G22*Yr5_EBITDA,0)-$C$15)/$C$18, "Error")</f>
        <v>170.83674407420793</v>
      </c>
      <c r="N22" s="186">
        <f>IFERROR((NPV(N$13,DCF!$F$23:$J$23) + PV(N$13,$G$1,,-$G22*Yr5_EBITDA,0)-$C$15)/$C$18, "Error")</f>
        <v>167.1567494672739</v>
      </c>
      <c r="O22" s="186">
        <f>IFERROR((NPV(O$13,DCF!$F$23:$J$23) + PV(O$13,$G$1,,-$G22*Yr5_EBITDA,0)-$C$15)/$C$18, "Error")</f>
        <v>163.57406385288763</v>
      </c>
      <c r="P22" s="186">
        <f>IFERROR((NPV(P$13,DCF!$F$23:$J$23) + PV(P$13,$G$1,,-$G22*Yr5_EBITDA,0)-$C$15)/$C$18, "Error")</f>
        <v>160.08564647600193</v>
      </c>
      <c r="Q22" s="186">
        <f>IFERROR((NPV(Q$13,DCF!$F$23:$J$23) + PV(Q$13,$G$1,,-$G22*Yr5_EBITDA,0)-$C$15)/$C$18, "Error")</f>
        <v>156.68856545446229</v>
      </c>
    </row>
    <row r="23" spans="2:17" x14ac:dyDescent="0.3">
      <c r="B23" s="196" t="s">
        <v>78</v>
      </c>
      <c r="C23" s="197"/>
      <c r="F23" s="195"/>
      <c r="G23" s="116">
        <f t="shared" si="1"/>
        <v>10</v>
      </c>
      <c r="H23" s="186">
        <f>IFERROR((NPV(H$13,DCF!$F$23:$J$23) + PV(H$13,$G$1,,-$G23*Yr5_EBITDA,0)-$C$15)/$C$18, "Error")</f>
        <v>198.87356923538459</v>
      </c>
      <c r="I23" s="186">
        <f>IFERROR((NPV(I$13,DCF!$F$23:$J$23) + PV(I$13,$G$1,,-$G23*Yr5_EBITDA,0)-$C$15)/$C$18, "Error")</f>
        <v>194.4680204380067</v>
      </c>
      <c r="J23" s="186">
        <f>IFERROR((NPV(J$13,DCF!$F$23:$J$23) + PV(J$13,$G$1,,-$G23*Yr5_EBITDA,0)-$C$15)/$C$18, "Error")</f>
        <v>190.18209175998928</v>
      </c>
      <c r="K23" s="186">
        <f>IFERROR((NPV(K$13,DCF!$F$23:$J$23) + PV(K$13,$G$1,,-$G23*Yr5_EBITDA,0)-$C$15)/$C$18, "Error")</f>
        <v>186.01195204082657</v>
      </c>
      <c r="L23" s="186">
        <f>IFERROR((NPV(L$13,DCF!$F$23:$J$23) + PV(L$13,$G$1,,-$G23*Yr5_EBITDA,0)-$C$15)/$C$18, "Error")</f>
        <v>181.95391060285027</v>
      </c>
      <c r="M23" s="186">
        <f>IFERROR((NPV(M$13,DCF!$F$23:$J$23) + PV(M$13,$G$1,,-$G23*Yr5_EBITDA,0)-$C$15)/$C$18, "Error")</f>
        <v>178.00441146391913</v>
      </c>
      <c r="N23" s="186">
        <f>IFERROR((NPV(N$13,DCF!$F$23:$J$23) + PV(N$13,$G$1,,-$G23*Yr5_EBITDA,0)-$C$15)/$C$18, "Error")</f>
        <v>174.16002781428926</v>
      </c>
      <c r="O23" s="186">
        <f>IFERROR((NPV(O$13,DCF!$F$23:$J$23) + PV(O$13,$G$1,,-$G23*Yr5_EBITDA,0)-$C$15)/$C$18, "Error")</f>
        <v>170.41745674445002</v>
      </c>
      <c r="P23" s="186">
        <f>IFERROR((NPV(P$13,DCF!$F$23:$J$23) + PV(P$13,$G$1,,-$G23*Yr5_EBITDA,0)-$C$15)/$C$18, "Error")</f>
        <v>166.77351421141879</v>
      </c>
      <c r="Q23" s="186">
        <f>IFERROR((NPV(Q$13,DCF!$F$23:$J$23) + PV(Q$13,$G$1,,-$G23*Yr5_EBITDA,0)-$C$15)/$C$18, "Error")</f>
        <v>163.22513023167491</v>
      </c>
    </row>
    <row r="24" spans="2:17" x14ac:dyDescent="0.3">
      <c r="B24" s="92" t="s">
        <v>80</v>
      </c>
      <c r="C24" s="127">
        <f>Yr5_EBITDA</f>
        <v>4137.6134798723824</v>
      </c>
      <c r="G24" s="1"/>
      <c r="H24" s="1"/>
    </row>
    <row r="25" spans="2:17" x14ac:dyDescent="0.3">
      <c r="B25" s="95" t="s">
        <v>81</v>
      </c>
      <c r="C25" s="101">
        <f>WACC</f>
        <v>9.8564436574701472E-2</v>
      </c>
      <c r="G25" s="1"/>
      <c r="H25" s="1"/>
    </row>
    <row r="26" spans="2:17" x14ac:dyDescent="0.3">
      <c r="B26" s="95" t="s">
        <v>82</v>
      </c>
      <c r="C26" s="116">
        <f>C10</f>
        <v>8.5</v>
      </c>
      <c r="G26" s="1"/>
      <c r="H26" s="1"/>
    </row>
    <row r="27" spans="2:17" x14ac:dyDescent="0.3">
      <c r="B27" s="95" t="s">
        <v>79</v>
      </c>
      <c r="C27" s="113">
        <f>UFCF_Yr5</f>
        <v>2223.5173963513403</v>
      </c>
      <c r="E27" s="88" t="s">
        <v>88</v>
      </c>
      <c r="F27" s="123" t="s">
        <v>89</v>
      </c>
      <c r="G27" s="124" t="s">
        <v>90</v>
      </c>
      <c r="H27" s="124" t="s">
        <v>91</v>
      </c>
    </row>
    <row r="28" spans="2:17" x14ac:dyDescent="0.3">
      <c r="B28" s="128" t="s">
        <v>84</v>
      </c>
      <c r="C28" s="117">
        <v>2.4501600205049712E-2</v>
      </c>
      <c r="E28" s="125">
        <f>C11</f>
        <v>35169.714578915249</v>
      </c>
      <c r="F28" s="123" t="s">
        <v>89</v>
      </c>
      <c r="G28" s="126">
        <f>C27*(1+C28)/(WACC-C28)</f>
        <v>30757.627472921817</v>
      </c>
      <c r="H28" s="124"/>
    </row>
    <row r="29" spans="2:17" x14ac:dyDescent="0.3">
      <c r="C29"/>
    </row>
    <row r="30" spans="2:17" x14ac:dyDescent="0.3">
      <c r="C30"/>
    </row>
    <row r="31" spans="2:17" x14ac:dyDescent="0.3">
      <c r="C31"/>
    </row>
    <row r="41" ht="14.4" customHeight="1" x14ac:dyDescent="0.3"/>
    <row r="51" spans="3:15" x14ac:dyDescent="0.3">
      <c r="C51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</row>
    <row r="52" spans="3:15" x14ac:dyDescent="0.3">
      <c r="C52"/>
      <c r="D52" s="130"/>
      <c r="E52" s="130"/>
      <c r="F52" s="130"/>
      <c r="G52" s="130"/>
      <c r="H52" s="1"/>
      <c r="I52" s="1"/>
      <c r="J52" s="1"/>
      <c r="K52" s="1"/>
      <c r="L52" s="1"/>
      <c r="M52" s="1"/>
      <c r="N52" s="1"/>
      <c r="O52" s="1"/>
    </row>
    <row r="53" spans="3:15" x14ac:dyDescent="0.3">
      <c r="C53"/>
    </row>
    <row r="54" spans="3:15" x14ac:dyDescent="0.3">
      <c r="C54"/>
    </row>
    <row r="55" spans="3:15" x14ac:dyDescent="0.3">
      <c r="C55"/>
    </row>
    <row r="56" spans="3:15" x14ac:dyDescent="0.3">
      <c r="C56"/>
    </row>
  </sheetData>
  <protectedRanges>
    <protectedRange sqref="C10" name="Range1_1"/>
  </protectedRanges>
  <mergeCells count="4">
    <mergeCell ref="B5:C5"/>
    <mergeCell ref="B23:C23"/>
    <mergeCell ref="H12:Q12"/>
    <mergeCell ref="F14:F23"/>
  </mergeCells>
  <conditionalFormatting sqref="C12 S12">
    <cfRule type="cellIs" dxfId="1" priority="2" stopIfTrue="1" operator="equal">
      <formula>0.000001</formula>
    </cfRule>
  </conditionalFormatting>
  <conditionalFormatting sqref="H14:Q23">
    <cfRule type="expression" dxfId="0" priority="1">
      <formula>H14=$C$20</formula>
    </cfRule>
  </conditionalFormatting>
  <pageMargins left="0.7" right="0.7" top="0.75" bottom="0.75" header="0.3" footer="0.3"/>
  <ignoredErrors>
    <ignoredError sqref="C24:C28 C7:C19" unlocked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Instructions</vt:lpstr>
      <vt:lpstr>WACC</vt:lpstr>
      <vt:lpstr>Assumptions</vt:lpstr>
      <vt:lpstr>NWC</vt:lpstr>
      <vt:lpstr>DCF</vt:lpstr>
      <vt:lpstr>Multiples</vt:lpstr>
      <vt:lpstr>After_tax_cost_of_debt</vt:lpstr>
      <vt:lpstr>Beta</vt:lpstr>
      <vt:lpstr>Comp_multiple</vt:lpstr>
      <vt:lpstr>Cost_of_debt</vt:lpstr>
      <vt:lpstr>Cost_of_equity</vt:lpstr>
      <vt:lpstr>Marginal_tax_rate</vt:lpstr>
      <vt:lpstr>Market_risk_premium</vt:lpstr>
      <vt:lpstr>Market_value_of_equity</vt:lpstr>
      <vt:lpstr>Number_of_days_in_period</vt:lpstr>
      <vt:lpstr>Risk_free_rate</vt:lpstr>
      <vt:lpstr>Total_capital</vt:lpstr>
      <vt:lpstr>Total_debt</vt:lpstr>
      <vt:lpstr>UFCF_Yr5</vt:lpstr>
      <vt:lpstr>WACC</vt:lpstr>
      <vt:lpstr>Yr5_EBITDA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2026-01-17T22:24:32Z</dcterms:created>
  <dcterms:modified xsi:type="dcterms:W3CDTF">2026-01-18T21:06:43Z</dcterms:modified>
</cp:coreProperties>
</file>