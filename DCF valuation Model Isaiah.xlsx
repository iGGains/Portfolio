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Gai\Desktop\Freelance\__Other\"/>
    </mc:Choice>
  </mc:AlternateContent>
  <xr:revisionPtr revIDLastSave="0" documentId="13_ncr:1_{8A6F345F-FDBB-4560-BA45-93828198470F}" xr6:coauthVersionLast="47" xr6:coauthVersionMax="47" xr10:uidLastSave="{00000000-0000-0000-0000-000000000000}"/>
  <bookViews>
    <workbookView xWindow="-108" yWindow="-108" windowWidth="23256" windowHeight="12456" tabRatio="899" activeTab="5" xr2:uid="{803ECF04-D46B-45DA-9520-77BF234B2F9D}"/>
  </bookViews>
  <sheets>
    <sheet name="Instructions" sheetId="4" r:id="rId1"/>
    <sheet name="WACC" sheetId="3" r:id="rId2"/>
    <sheet name="Assumptions" sheetId="2" r:id="rId3"/>
    <sheet name="NWC" sheetId="5" r:id="rId4"/>
    <sheet name="DCF" sheetId="1" r:id="rId5"/>
    <sheet name="Multiples" sheetId="7" r:id="rId6"/>
  </sheets>
  <definedNames>
    <definedName name="After_tax_cost_of_debt">WACC!$D$6</definedName>
    <definedName name="Beta">WACC!$D$10</definedName>
    <definedName name="Comp_multiple">Multiples!$S$10</definedName>
    <definedName name="Cost_of_debt">WACC!$D$4</definedName>
    <definedName name="Cost_of_equity">WACC!$D$12</definedName>
    <definedName name="Marginal_tax_rate">WACC!$D$5</definedName>
    <definedName name="Market_risk_premium">WACC!$D$11</definedName>
    <definedName name="Market_value_of_equity">WACC!$D$16</definedName>
    <definedName name="Number_of_days_in_period">Assumptions!$C$2</definedName>
    <definedName name="Risk_free_rate">WACC!$D$9</definedName>
    <definedName name="Total_capital">WACC!$D$17</definedName>
    <definedName name="Total_debt">WACC!$D$15</definedName>
    <definedName name="UFCF_Yr5">DCF!$J$23</definedName>
    <definedName name="WACC">WACC!$D$19</definedName>
    <definedName name="Yr5_EBITDA">DCF!$J$10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2" l="1"/>
  <c r="I26" i="2" s="1"/>
  <c r="J26" i="2" s="1"/>
  <c r="H25" i="2"/>
  <c r="I25" i="2" s="1"/>
  <c r="J25" i="2" s="1"/>
  <c r="H24" i="2"/>
  <c r="I24" i="2" s="1"/>
  <c r="J24" i="2" s="1"/>
  <c r="G26" i="2"/>
  <c r="G25" i="2"/>
  <c r="G24" i="2"/>
  <c r="F26" i="2"/>
  <c r="F25" i="2"/>
  <c r="F24" i="2"/>
  <c r="F16" i="2"/>
  <c r="G16" i="2" s="1"/>
  <c r="H15" i="2"/>
  <c r="I15" i="2" s="1"/>
  <c r="J15" i="2" s="1"/>
  <c r="G15" i="2"/>
  <c r="F15" i="2"/>
  <c r="H22" i="2"/>
  <c r="I22" i="2" s="1"/>
  <c r="J22" i="2" s="1"/>
  <c r="H20" i="2"/>
  <c r="I20" i="2" s="1"/>
  <c r="J20" i="2" s="1"/>
  <c r="G22" i="2"/>
  <c r="G20" i="2"/>
  <c r="F22" i="2"/>
  <c r="F21" i="2"/>
  <c r="G21" i="2" s="1"/>
  <c r="H21" i="2" s="1"/>
  <c r="I21" i="2" s="1"/>
  <c r="J21" i="2" s="1"/>
  <c r="F20" i="2"/>
  <c r="F13" i="2"/>
  <c r="G13" i="2" s="1"/>
  <c r="H13" i="2" s="1"/>
  <c r="I13" i="2" s="1"/>
  <c r="J13" i="2" s="1"/>
  <c r="F12" i="2"/>
  <c r="G12" i="2" s="1"/>
  <c r="H12" i="2" s="1"/>
  <c r="I12" i="2" s="1"/>
  <c r="J12" i="2" s="1"/>
  <c r="F10" i="2"/>
  <c r="G10" i="2" s="1"/>
  <c r="H10" i="2" s="1"/>
  <c r="I10" i="2" s="1"/>
  <c r="J10" i="2" s="1"/>
  <c r="F9" i="2"/>
  <c r="G9" i="2" s="1"/>
  <c r="H9" i="2" s="1"/>
  <c r="I9" i="2" s="1"/>
  <c r="J9" i="2" s="1"/>
  <c r="C26" i="7"/>
  <c r="C47" i="1"/>
  <c r="I13" i="7"/>
  <c r="G15" i="7"/>
  <c r="G16" i="7" s="1"/>
  <c r="G17" i="7" s="1"/>
  <c r="G18" i="7" s="1"/>
  <c r="G19" i="7" s="1"/>
  <c r="G20" i="7" s="1"/>
  <c r="G21" i="7" s="1"/>
  <c r="G22" i="7" s="1"/>
  <c r="G23" i="7" s="1"/>
  <c r="G36" i="1"/>
  <c r="I34" i="1"/>
  <c r="H1" i="1"/>
  <c r="C9" i="1"/>
  <c r="C7" i="1"/>
  <c r="E21" i="1"/>
  <c r="D21" i="1"/>
  <c r="E14" i="1"/>
  <c r="D14" i="1"/>
  <c r="N8" i="3"/>
  <c r="O8" i="3" s="1"/>
  <c r="P8" i="3" s="1"/>
  <c r="Q8" i="3" s="1"/>
  <c r="R8" i="3" s="1"/>
  <c r="S8" i="3" s="1"/>
  <c r="T8" i="3" s="1"/>
  <c r="U8" i="3" s="1"/>
  <c r="V8" i="3" s="1"/>
  <c r="W8" i="3" s="1"/>
  <c r="L10" i="3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H10" i="3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F14" i="1"/>
  <c r="A16" i="1"/>
  <c r="F5" i="2"/>
  <c r="D12" i="3"/>
  <c r="D19" i="3" s="1"/>
  <c r="C7" i="7" s="1"/>
  <c r="D6" i="3"/>
  <c r="D17" i="3"/>
  <c r="E4" i="1"/>
  <c r="E4" i="5" s="1"/>
  <c r="D4" i="1"/>
  <c r="D4" i="5" s="1"/>
  <c r="C4" i="1"/>
  <c r="C4" i="5" s="1"/>
  <c r="H16" i="2" l="1"/>
  <c r="G14" i="1"/>
  <c r="F21" i="1"/>
  <c r="J13" i="7"/>
  <c r="C25" i="7"/>
  <c r="G37" i="1"/>
  <c r="J34" i="1"/>
  <c r="C10" i="1"/>
  <c r="D5" i="1"/>
  <c r="C6" i="5"/>
  <c r="G5" i="2"/>
  <c r="F4" i="1"/>
  <c r="F4" i="5" s="1"/>
  <c r="G4" i="1"/>
  <c r="G4" i="5" s="1"/>
  <c r="H5" i="2"/>
  <c r="E16" i="3"/>
  <c r="E15" i="3"/>
  <c r="I16" i="2" l="1"/>
  <c r="H14" i="1"/>
  <c r="G21" i="1"/>
  <c r="K13" i="7"/>
  <c r="G38" i="1"/>
  <c r="K34" i="1"/>
  <c r="C15" i="1"/>
  <c r="C16" i="1" s="1"/>
  <c r="C17" i="1" s="1"/>
  <c r="C11" i="1"/>
  <c r="D6" i="5"/>
  <c r="D20" i="1"/>
  <c r="D13" i="1" s="1"/>
  <c r="D19" i="1" s="1"/>
  <c r="E5" i="1"/>
  <c r="D9" i="1"/>
  <c r="D6" i="1"/>
  <c r="D7" i="1" s="1"/>
  <c r="D10" i="1" s="1"/>
  <c r="C11" i="5"/>
  <c r="C9" i="5"/>
  <c r="C15" i="5"/>
  <c r="C16" i="5"/>
  <c r="C7" i="5"/>
  <c r="D7" i="5"/>
  <c r="D14" i="5" s="1"/>
  <c r="D10" i="5"/>
  <c r="I5" i="2"/>
  <c r="H4" i="1"/>
  <c r="H4" i="5" s="1"/>
  <c r="J5" i="2"/>
  <c r="G1" i="7" s="1"/>
  <c r="I4" i="1"/>
  <c r="I4" i="5" s="1"/>
  <c r="E17" i="3"/>
  <c r="J16" i="2" l="1"/>
  <c r="J14" i="1" s="1"/>
  <c r="I14" i="1"/>
  <c r="H21" i="1"/>
  <c r="L13" i="7"/>
  <c r="G39" i="1"/>
  <c r="L34" i="1"/>
  <c r="C46" i="1"/>
  <c r="C28" i="1"/>
  <c r="D11" i="5"/>
  <c r="D16" i="5"/>
  <c r="D9" i="5"/>
  <c r="D12" i="5" s="1"/>
  <c r="D15" i="5"/>
  <c r="E9" i="1"/>
  <c r="E6" i="1"/>
  <c r="E20" i="1"/>
  <c r="E13" i="1" s="1"/>
  <c r="F5" i="1"/>
  <c r="F6" i="5" s="1"/>
  <c r="E6" i="5"/>
  <c r="D15" i="1"/>
  <c r="D16" i="1" s="1"/>
  <c r="D17" i="1" s="1"/>
  <c r="D11" i="1"/>
  <c r="E7" i="1"/>
  <c r="E7" i="5"/>
  <c r="C10" i="5"/>
  <c r="C12" i="5" s="1"/>
  <c r="C14" i="5"/>
  <c r="C17" i="5" s="1"/>
  <c r="L8" i="3"/>
  <c r="I8" i="3"/>
  <c r="J4" i="1"/>
  <c r="J21" i="1" l="1"/>
  <c r="I21" i="1"/>
  <c r="E10" i="1"/>
  <c r="G5" i="1"/>
  <c r="F6" i="1"/>
  <c r="F9" i="1"/>
  <c r="F20" i="1"/>
  <c r="F13" i="1" s="1"/>
  <c r="F19" i="1" s="1"/>
  <c r="M13" i="7"/>
  <c r="G40" i="1"/>
  <c r="M34" i="1"/>
  <c r="E19" i="1"/>
  <c r="D17" i="5"/>
  <c r="D19" i="5" s="1"/>
  <c r="C19" i="5"/>
  <c r="E9" i="5"/>
  <c r="E11" i="5"/>
  <c r="E15" i="5"/>
  <c r="E16" i="5"/>
  <c r="E14" i="5"/>
  <c r="E10" i="5"/>
  <c r="F11" i="5"/>
  <c r="F9" i="5"/>
  <c r="F15" i="5"/>
  <c r="F16" i="5"/>
  <c r="J4" i="5"/>
  <c r="E17" i="5" l="1"/>
  <c r="D21" i="5"/>
  <c r="D22" i="1" s="1"/>
  <c r="D23" i="1" s="1"/>
  <c r="E11" i="1"/>
  <c r="E15" i="1"/>
  <c r="E16" i="1" s="1"/>
  <c r="E17" i="1" s="1"/>
  <c r="G6" i="5"/>
  <c r="G6" i="1"/>
  <c r="H5" i="1"/>
  <c r="G20" i="1"/>
  <c r="G13" i="1" s="1"/>
  <c r="G19" i="1" s="1"/>
  <c r="G9" i="1"/>
  <c r="F7" i="5"/>
  <c r="F7" i="1"/>
  <c r="F10" i="1" s="1"/>
  <c r="N13" i="7"/>
  <c r="E12" i="5"/>
  <c r="G41" i="1"/>
  <c r="N34" i="1"/>
  <c r="E19" i="5" l="1"/>
  <c r="E21" i="5" s="1"/>
  <c r="E22" i="1" s="1"/>
  <c r="E23" i="1" s="1"/>
  <c r="G11" i="5"/>
  <c r="G16" i="5"/>
  <c r="G9" i="5"/>
  <c r="G15" i="5"/>
  <c r="G7" i="5"/>
  <c r="G7" i="1"/>
  <c r="G10" i="1" s="1"/>
  <c r="H20" i="1"/>
  <c r="H13" i="1" s="1"/>
  <c r="H19" i="1" s="1"/>
  <c r="H6" i="5"/>
  <c r="H9" i="1"/>
  <c r="H6" i="1"/>
  <c r="I5" i="1"/>
  <c r="F14" i="5"/>
  <c r="F17" i="5" s="1"/>
  <c r="F10" i="5"/>
  <c r="F12" i="5" s="1"/>
  <c r="F11" i="1"/>
  <c r="F15" i="1"/>
  <c r="F16" i="1" s="1"/>
  <c r="F17" i="1" s="1"/>
  <c r="O13" i="7"/>
  <c r="G42" i="1"/>
  <c r="O34" i="1"/>
  <c r="F19" i="5" l="1"/>
  <c r="F21" i="5" s="1"/>
  <c r="F22" i="1" s="1"/>
  <c r="F23" i="1" s="1"/>
  <c r="G14" i="5"/>
  <c r="G17" i="5" s="1"/>
  <c r="G10" i="5"/>
  <c r="G12" i="5" s="1"/>
  <c r="G15" i="1"/>
  <c r="G16" i="1" s="1"/>
  <c r="G17" i="1" s="1"/>
  <c r="G11" i="1"/>
  <c r="H9" i="5"/>
  <c r="H15" i="5"/>
  <c r="H16" i="5"/>
  <c r="H11" i="5"/>
  <c r="H7" i="5"/>
  <c r="H7" i="1"/>
  <c r="H10" i="1" s="1"/>
  <c r="I6" i="5"/>
  <c r="I9" i="1"/>
  <c r="I20" i="1"/>
  <c r="I13" i="1" s="1"/>
  <c r="I19" i="1" s="1"/>
  <c r="I6" i="1"/>
  <c r="J5" i="1"/>
  <c r="P13" i="7"/>
  <c r="G43" i="1"/>
  <c r="P34" i="1"/>
  <c r="G19" i="5" l="1"/>
  <c r="G21" i="5" s="1"/>
  <c r="G22" i="1" s="1"/>
  <c r="G23" i="1" s="1"/>
  <c r="H10" i="5"/>
  <c r="H12" i="5" s="1"/>
  <c r="H14" i="5"/>
  <c r="H17" i="5" s="1"/>
  <c r="H15" i="1"/>
  <c r="H16" i="1" s="1"/>
  <c r="H17" i="1" s="1"/>
  <c r="H11" i="1"/>
  <c r="I9" i="5"/>
  <c r="I11" i="5"/>
  <c r="I15" i="5"/>
  <c r="I16" i="5"/>
  <c r="I7" i="5"/>
  <c r="I7" i="1"/>
  <c r="I10" i="1" s="1"/>
  <c r="J6" i="5"/>
  <c r="J20" i="1"/>
  <c r="J13" i="1" s="1"/>
  <c r="J19" i="1" s="1"/>
  <c r="J9" i="1"/>
  <c r="J6" i="1"/>
  <c r="K5" i="1"/>
  <c r="Q13" i="7"/>
  <c r="G44" i="1"/>
  <c r="Q34" i="1"/>
  <c r="H19" i="5" l="1"/>
  <c r="H21" i="5" s="1"/>
  <c r="H22" i="1" s="1"/>
  <c r="H23" i="1" s="1"/>
  <c r="I10" i="5"/>
  <c r="I12" i="5" s="1"/>
  <c r="I14" i="5"/>
  <c r="I17" i="5" s="1"/>
  <c r="I15" i="1"/>
  <c r="I16" i="1" s="1"/>
  <c r="I17" i="1" s="1"/>
  <c r="I11" i="1"/>
  <c r="J9" i="5"/>
  <c r="J11" i="5"/>
  <c r="J15" i="5"/>
  <c r="J16" i="5"/>
  <c r="J7" i="5"/>
  <c r="J7" i="1"/>
  <c r="I19" i="5" l="1"/>
  <c r="I21" i="5" s="1"/>
  <c r="I22" i="1" s="1"/>
  <c r="I23" i="1" s="1"/>
  <c r="J14" i="5"/>
  <c r="J17" i="5" s="1"/>
  <c r="J10" i="5"/>
  <c r="J12" i="5" s="1"/>
  <c r="J10" i="1"/>
  <c r="K7" i="1"/>
  <c r="C24" i="7" l="1"/>
  <c r="C11" i="7"/>
  <c r="C48" i="1"/>
  <c r="K10" i="1"/>
  <c r="J11" i="1"/>
  <c r="J15" i="1"/>
  <c r="J19" i="5"/>
  <c r="J21" i="5" s="1"/>
  <c r="J22" i="1" s="1"/>
  <c r="E28" i="7" l="1"/>
  <c r="C12" i="7"/>
  <c r="J16" i="1"/>
  <c r="J17" i="1" s="1"/>
  <c r="K15" i="1"/>
  <c r="K17" i="1" l="1"/>
  <c r="J23" i="1"/>
  <c r="Q16" i="7"/>
  <c r="Q23" i="7" l="1"/>
  <c r="Q14" i="7"/>
  <c r="Q15" i="7"/>
  <c r="C27" i="7"/>
  <c r="G28" i="7" s="1"/>
  <c r="C32" i="1"/>
  <c r="Q17" i="7"/>
  <c r="Q41" i="1"/>
  <c r="Q39" i="1"/>
  <c r="Q38" i="1"/>
  <c r="Q18" i="7"/>
  <c r="Q19" i="7"/>
  <c r="Q20" i="7"/>
  <c r="Q21" i="7"/>
  <c r="Q22" i="7"/>
  <c r="N22" i="7"/>
  <c r="N20" i="7"/>
  <c r="N18" i="7"/>
  <c r="M23" i="7"/>
  <c r="M19" i="7"/>
  <c r="M17" i="7"/>
  <c r="I14" i="7"/>
  <c r="H17" i="7"/>
  <c r="N17" i="7"/>
  <c r="O21" i="7"/>
  <c r="P20" i="7"/>
  <c r="P15" i="7"/>
  <c r="M18" i="7"/>
  <c r="L16" i="7"/>
  <c r="K20" i="7"/>
  <c r="J17" i="7"/>
  <c r="J18" i="7"/>
  <c r="I18" i="7"/>
  <c r="H16" i="7"/>
  <c r="H23" i="7"/>
  <c r="O18" i="7"/>
  <c r="O22" i="7"/>
  <c r="P23" i="7"/>
  <c r="P16" i="7"/>
  <c r="N19" i="7"/>
  <c r="O19" i="7"/>
  <c r="P18" i="7"/>
  <c r="N14" i="7"/>
  <c r="M14" i="7"/>
  <c r="L22" i="7"/>
  <c r="O16" i="7"/>
  <c r="Q44" i="1"/>
  <c r="M22" i="7"/>
  <c r="M21" i="7"/>
  <c r="L14" i="7"/>
  <c r="L17" i="7"/>
  <c r="L23" i="7"/>
  <c r="J21" i="7"/>
  <c r="J19" i="7"/>
  <c r="J16" i="7"/>
  <c r="I16" i="7"/>
  <c r="I17" i="7"/>
  <c r="I19" i="7"/>
  <c r="I22" i="7"/>
  <c r="H15" i="7"/>
  <c r="N16" i="7"/>
  <c r="H21" i="7"/>
  <c r="N23" i="7"/>
  <c r="O14" i="7"/>
  <c r="P21" i="7"/>
  <c r="M15" i="7"/>
  <c r="M16" i="7"/>
  <c r="L19" i="7"/>
  <c r="K21" i="7"/>
  <c r="J22" i="7"/>
  <c r="I21" i="7"/>
  <c r="I23" i="7"/>
  <c r="H20" i="7"/>
  <c r="H19" i="7"/>
  <c r="O20" i="7"/>
  <c r="P17" i="7"/>
  <c r="P19" i="7"/>
  <c r="P14" i="7"/>
  <c r="H22" i="7"/>
  <c r="O23" i="7"/>
  <c r="P22" i="7"/>
  <c r="M20" i="7"/>
  <c r="L21" i="7"/>
  <c r="N21" i="7"/>
  <c r="O15" i="7"/>
  <c r="Q36" i="1"/>
  <c r="Q35" i="1"/>
  <c r="Q42" i="1"/>
  <c r="Q40" i="1"/>
  <c r="Q43" i="1"/>
  <c r="Q37" i="1"/>
  <c r="O37" i="1"/>
  <c r="O42" i="1"/>
  <c r="H44" i="1"/>
  <c r="H35" i="1"/>
  <c r="H36" i="1"/>
  <c r="L36" i="1"/>
  <c r="O40" i="1"/>
  <c r="L39" i="1"/>
  <c r="M40" i="1"/>
  <c r="M35" i="1"/>
  <c r="M42" i="1"/>
  <c r="M41" i="1"/>
  <c r="M44" i="1"/>
  <c r="O39" i="1"/>
  <c r="K36" i="1"/>
  <c r="N36" i="1"/>
  <c r="P40" i="1"/>
  <c r="N43" i="1"/>
  <c r="J36" i="1"/>
  <c r="J37" i="1"/>
  <c r="H42" i="1"/>
  <c r="H37" i="1"/>
  <c r="H43" i="1"/>
  <c r="I38" i="1"/>
  <c r="I40" i="1"/>
  <c r="J40" i="1"/>
  <c r="K39" i="1"/>
  <c r="P42" i="1"/>
  <c r="P39" i="1"/>
  <c r="C45" i="1"/>
  <c r="I39" i="1"/>
  <c r="I36" i="1"/>
  <c r="I44" i="1"/>
  <c r="J44" i="1"/>
  <c r="J38" i="1"/>
  <c r="J39" i="1"/>
  <c r="K42" i="1"/>
  <c r="O36" i="1"/>
  <c r="O35" i="1"/>
  <c r="H38" i="1"/>
  <c r="H40" i="1"/>
  <c r="I41" i="1"/>
  <c r="I37" i="1"/>
  <c r="I43" i="1"/>
  <c r="J42" i="1"/>
  <c r="L41" i="1"/>
  <c r="L38" i="1"/>
  <c r="L40" i="1"/>
  <c r="O44" i="1"/>
  <c r="L42" i="1"/>
  <c r="L44" i="1"/>
  <c r="M38" i="1"/>
  <c r="M37" i="1"/>
  <c r="M39" i="1"/>
  <c r="M36" i="1"/>
  <c r="M43" i="1"/>
  <c r="O43" i="1"/>
  <c r="O38" i="1"/>
  <c r="K37" i="1"/>
  <c r="K40" i="1"/>
  <c r="N35" i="1"/>
  <c r="P43" i="1"/>
  <c r="P37" i="1"/>
  <c r="N40" i="1"/>
  <c r="J41" i="1"/>
  <c r="K38" i="1"/>
  <c r="O41" i="1"/>
  <c r="H41" i="1"/>
  <c r="I35" i="1"/>
  <c r="J35" i="1"/>
  <c r="P36" i="1"/>
  <c r="P44" i="1"/>
  <c r="L43" i="1"/>
  <c r="K23" i="1"/>
  <c r="L20" i="7"/>
  <c r="L18" i="7"/>
  <c r="L15" i="7"/>
  <c r="K22" i="7"/>
  <c r="K18" i="7"/>
  <c r="K23" i="7"/>
  <c r="K19" i="7"/>
  <c r="K17" i="7"/>
  <c r="J23" i="7"/>
  <c r="J15" i="7"/>
  <c r="C8" i="7"/>
  <c r="C14" i="7" s="1"/>
  <c r="C16" i="7" s="1"/>
  <c r="C20" i="7" s="1"/>
  <c r="G13" i="7" s="1"/>
  <c r="K15" i="7"/>
  <c r="K16" i="7"/>
  <c r="K14" i="7"/>
  <c r="J20" i="7"/>
  <c r="J14" i="7"/>
  <c r="I15" i="7"/>
  <c r="I20" i="7"/>
  <c r="H14" i="7"/>
  <c r="H18" i="7"/>
  <c r="N15" i="7"/>
  <c r="I42" i="1"/>
  <c r="K43" i="1"/>
  <c r="C29" i="1"/>
  <c r="K41" i="1"/>
  <c r="K35" i="1"/>
  <c r="K44" i="1"/>
  <c r="L37" i="1"/>
  <c r="L35" i="1"/>
  <c r="N38" i="1"/>
  <c r="N42" i="1"/>
  <c r="N41" i="1"/>
  <c r="N39" i="1"/>
  <c r="N37" i="1"/>
  <c r="N44" i="1"/>
  <c r="J43" i="1"/>
  <c r="P41" i="1"/>
  <c r="P35" i="1"/>
  <c r="P38" i="1"/>
  <c r="O17" i="7"/>
  <c r="H39" i="1"/>
  <c r="C33" i="1" l="1"/>
  <c r="C35" i="1" s="1"/>
  <c r="C37" i="1" s="1"/>
  <c r="C41" i="1" s="1"/>
  <c r="G34" i="1" s="1"/>
  <c r="C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tc={21DCFFB1-40B9-4210-8795-05C138B4A7EA}</author>
  </authors>
  <commentList>
    <comment ref="G1" authorId="0" shapeId="0" xr:uid="{21DCFFB1-40B9-4210-8795-05C138B4A7EA}">
      <text>
        <t>[Threaded comment]
Your version of Excel allows you to read this threaded comment; however, any edits to it will get removed if the file is opened in a newer version of Excel. Learn more: https://go.microsoft.com/fwlink/?linkid=870924
Comment:
    # of periods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tc={64F1C3DD-EBC1-45C6-93CC-CCF3ECC53390}</author>
    <author>tc={2F72B0A5-3676-4D17-9AB7-7E3C9549505B}</author>
  </authors>
  <commentList>
    <comment ref="F1" authorId="0" shapeId="0" xr:uid="{64F1C3DD-EBC1-45C6-93CC-CCF3ECC53390}">
      <text>
        <t>[Threaded comment]
Your version of Excel allows you to read this threaded comment; however, any edits to it will get removed if the file is opened in a newer version of Excel. Learn more: https://go.microsoft.com/fwlink/?linkid=870924
Comment:
    # of periods</t>
      </text>
    </comment>
    <comment ref="C28" authorId="1" shapeId="0" xr:uid="{2F72B0A5-3676-4D17-9AB7-7E3C9549505B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Goalseek to set right side of equation equal to left side (type in left side), by changing this cell</t>
      </text>
    </comment>
  </commentList>
</comments>
</file>

<file path=xl/sharedStrings.xml><?xml version="1.0" encoding="utf-8"?>
<sst xmlns="http://schemas.openxmlformats.org/spreadsheetml/2006/main" count="156" uniqueCount="122">
  <si>
    <t>Historical</t>
  </si>
  <si>
    <t>Projected</t>
  </si>
  <si>
    <t>CAGR</t>
  </si>
  <si>
    <t>Sales</t>
  </si>
  <si>
    <t>Cost of goods sold</t>
  </si>
  <si>
    <t>Gross Profit</t>
  </si>
  <si>
    <t xml:space="preserve">Cost of goods sold </t>
  </si>
  <si>
    <t xml:space="preserve">SG&amp;A </t>
  </si>
  <si>
    <t>EBITDA</t>
  </si>
  <si>
    <t>EBITDA Margin</t>
  </si>
  <si>
    <t>Less:  Depreciation</t>
  </si>
  <si>
    <t>Less:  Amortization</t>
  </si>
  <si>
    <t>EBIT</t>
  </si>
  <si>
    <t>Tax-effected EBIT</t>
  </si>
  <si>
    <t>Plus:  Depreciation and amortization</t>
  </si>
  <si>
    <t>Less: Capital expenditures</t>
  </si>
  <si>
    <t>Less: Additions to intangibles</t>
  </si>
  <si>
    <t>Unlevered Free Cash Flow</t>
  </si>
  <si>
    <t>Operating Assumptions</t>
  </si>
  <si>
    <t>Sales growth</t>
  </si>
  <si>
    <t>Cost of goods sold (as a % sales)</t>
  </si>
  <si>
    <t>SG&amp;A (as a % sales)</t>
  </si>
  <si>
    <t>Capital Expenditure Assumptions</t>
  </si>
  <si>
    <t>CapEx (as a % sales)</t>
  </si>
  <si>
    <t>Depreciation (as a % of CapEx)</t>
  </si>
  <si>
    <t>Additions to Intangibles ($ amount)</t>
  </si>
  <si>
    <t>Amortization ($ amount)</t>
  </si>
  <si>
    <t xml:space="preserve">NA  </t>
  </si>
  <si>
    <t>Cost of debt:</t>
  </si>
  <si>
    <t>Cost of debt</t>
  </si>
  <si>
    <t>Marginal tax rate</t>
  </si>
  <si>
    <t>After-tax cost of debt</t>
  </si>
  <si>
    <t>Cost of equity:</t>
  </si>
  <si>
    <t>Beta</t>
  </si>
  <si>
    <t>Market risk premium</t>
  </si>
  <si>
    <t>Cost of equity</t>
  </si>
  <si>
    <t>Percentage of capital:</t>
  </si>
  <si>
    <t>Total debt</t>
  </si>
  <si>
    <t>Market value of equity</t>
  </si>
  <si>
    <t>Total capital</t>
  </si>
  <si>
    <t>Weighted average cost of capital:</t>
  </si>
  <si>
    <t>Notes:</t>
  </si>
  <si>
    <r>
      <t>●</t>
    </r>
    <r>
      <rPr>
        <sz val="10.5"/>
        <rFont val="Arial"/>
        <family val="2"/>
      </rPr>
      <t xml:space="preserve"> </t>
    </r>
    <r>
      <rPr>
        <sz val="10"/>
        <rFont val="Arial"/>
        <family val="2"/>
      </rPr>
      <t xml:space="preserve">You may need to press </t>
    </r>
    <r>
      <rPr>
        <b/>
        <sz val="10"/>
        <rFont val="Arial"/>
        <family val="2"/>
      </rPr>
      <t xml:space="preserve">F9 </t>
    </r>
    <r>
      <rPr>
        <sz val="10"/>
        <rFont val="Arial"/>
        <family val="2"/>
      </rPr>
      <t>to update the data tables</t>
    </r>
  </si>
  <si>
    <t>Figures in millions, except per share</t>
  </si>
  <si>
    <t>WACC</t>
  </si>
  <si>
    <t>Risk free rate</t>
  </si>
  <si>
    <t>Plus: Change in working capital</t>
  </si>
  <si>
    <t>Accounts receivable, net</t>
  </si>
  <si>
    <t>Inventories</t>
  </si>
  <si>
    <t>Other current assets</t>
  </si>
  <si>
    <t>Total non-cash current assets:</t>
  </si>
  <si>
    <t>Accounts payable</t>
  </si>
  <si>
    <t>Accrued liabilities</t>
  </si>
  <si>
    <t>Other current liabilities</t>
  </si>
  <si>
    <t>Total non-debt current liabilities</t>
  </si>
  <si>
    <t>Net working capital / (deficit)</t>
  </si>
  <si>
    <t>Working Capital Assumptions</t>
  </si>
  <si>
    <t>Accounts receivable (days collection period)</t>
  </si>
  <si>
    <t>Inventories (days outstanding)</t>
  </si>
  <si>
    <t>Accounts payable (days outstanding)</t>
  </si>
  <si>
    <t>Other current assets (as % of sales)</t>
  </si>
  <si>
    <t>Accrued liabilities (as % of sales)</t>
  </si>
  <si>
    <t>Other current liabilities (as % of sales)</t>
  </si>
  <si>
    <t>DCF tab</t>
  </si>
  <si>
    <t>Number of days in period:</t>
  </si>
  <si>
    <t>Change in net working capital</t>
  </si>
  <si>
    <t>Perpetuity Growth Method</t>
  </si>
  <si>
    <t>EBITDA Multiple Method</t>
  </si>
  <si>
    <t xml:space="preserve"> Net present value of free cash flow</t>
  </si>
  <si>
    <t>Terminal growth rate</t>
  </si>
  <si>
    <t>Terminal value</t>
  </si>
  <si>
    <t xml:space="preserve"> Present value of the terminal value</t>
  </si>
  <si>
    <t xml:space="preserve"> Enterprise value</t>
  </si>
  <si>
    <t xml:space="preserve">    Less: Net debt*</t>
  </si>
  <si>
    <t xml:space="preserve"> Equity value</t>
  </si>
  <si>
    <t>Diluted shares:</t>
  </si>
  <si>
    <t>Equity Value Per Share</t>
  </si>
  <si>
    <t>Implied EBITDA Terminal Multiple</t>
  </si>
  <si>
    <t>Implied Perpetuity Growth Rate</t>
  </si>
  <si>
    <t>Terminal year unlevered free cash flow</t>
  </si>
  <si>
    <t>Terminal year EBITDA</t>
  </si>
  <si>
    <t>Weighted average cost of capital</t>
  </si>
  <si>
    <t>Multiple</t>
  </si>
  <si>
    <t>Implied EBITDA Terminal Multiple:</t>
  </si>
  <si>
    <t>Implied Growth Rate:</t>
  </si>
  <si>
    <t>Working Capital tab (NWC)</t>
  </si>
  <si>
    <t>Comp multiple</t>
  </si>
  <si>
    <t>NPER:</t>
  </si>
  <si>
    <t>TV</t>
  </si>
  <si>
    <t>=</t>
  </si>
  <si>
    <t>FCF</t>
  </si>
  <si>
    <t>*(1+g)/(wacc-g)</t>
  </si>
  <si>
    <t>Beta increment</t>
  </si>
  <si>
    <r>
      <t>*Note: Do not change any non-</t>
    </r>
    <r>
      <rPr>
        <b/>
        <sz val="11"/>
        <color rgb="FFFFFF00"/>
        <rFont val="Aptos Narrow"/>
        <family val="2"/>
        <scheme val="minor"/>
      </rPr>
      <t>yellow</t>
    </r>
    <r>
      <rPr>
        <b/>
        <sz val="11"/>
        <color theme="0"/>
        <rFont val="Aptos Narrow"/>
        <family val="2"/>
        <scheme val="minor"/>
      </rPr>
      <t xml:space="preserve"> cells</t>
    </r>
  </si>
  <si>
    <t>Market Risk Premium</t>
  </si>
  <si>
    <t>Risk Prem increment</t>
  </si>
  <si>
    <t>WACC SENSITIVITY ANALYSIS (BETA + MARKET RISK PREMIUM)</t>
  </si>
  <si>
    <t>WACC SENSITIVITY ANALYSIS to Beta</t>
  </si>
  <si>
    <r>
      <t>●</t>
    </r>
    <r>
      <rPr>
        <b/>
        <sz val="10.5"/>
        <rFont val="Arial"/>
        <family val="2"/>
      </rPr>
      <t xml:space="preserve"> </t>
    </r>
    <r>
      <rPr>
        <b/>
        <sz val="10"/>
        <rFont val="Arial"/>
        <family val="2"/>
      </rPr>
      <t xml:space="preserve">Black </t>
    </r>
    <r>
      <rPr>
        <sz val="10"/>
        <rFont val="Arial"/>
        <family val="2"/>
      </rPr>
      <t>text is for formulas</t>
    </r>
    <r>
      <rPr>
        <b/>
        <sz val="10"/>
        <rFont val="Arial"/>
        <family val="2"/>
      </rPr>
      <t xml:space="preserve"> (Not to be altered)</t>
    </r>
  </si>
  <si>
    <t xml:space="preserve">WACC: </t>
  </si>
  <si>
    <t>Net Working Capital forecasts and calculations to determine NWC</t>
  </si>
  <si>
    <t>Discounted Cash Flow Analysis &amp; sensitivity analyses</t>
  </si>
  <si>
    <t>DCF:</t>
  </si>
  <si>
    <t>Assumptions:</t>
  </si>
  <si>
    <t>NWC:</t>
  </si>
  <si>
    <t>Tab Navigation (Click to navigate)</t>
  </si>
  <si>
    <t>Operating, Capital Expenditure, &amp; Working Capital Assumptions</t>
  </si>
  <si>
    <t>Weighted average cost of capital calculations &amp; sensitivity analyses</t>
  </si>
  <si>
    <r>
      <t>●</t>
    </r>
    <r>
      <rPr>
        <b/>
        <sz val="10.5"/>
        <rFont val="Arial"/>
        <family val="2"/>
      </rPr>
      <t xml:space="preserve"> </t>
    </r>
    <r>
      <rPr>
        <b/>
        <sz val="10"/>
        <color rgb="FF0070C0"/>
        <rFont val="Arial"/>
        <family val="2"/>
      </rPr>
      <t>Blue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text is for historical numbers</t>
    </r>
    <r>
      <rPr>
        <b/>
        <sz val="10"/>
        <rFont val="Arial"/>
        <family val="2"/>
      </rPr>
      <t xml:space="preserve"> (</t>
    </r>
    <r>
      <rPr>
        <sz val="10"/>
        <rFont val="Arial"/>
        <family val="2"/>
      </rPr>
      <t>can be changed</t>
    </r>
    <r>
      <rPr>
        <b/>
        <sz val="10"/>
        <rFont val="Arial"/>
        <family val="2"/>
      </rPr>
      <t>)</t>
    </r>
  </si>
  <si>
    <r>
      <t xml:space="preserve">● </t>
    </r>
    <r>
      <rPr>
        <b/>
        <sz val="10"/>
        <color rgb="FFFFFF00"/>
        <rFont val="Arial"/>
        <family val="2"/>
      </rPr>
      <t>Yellow cells</t>
    </r>
    <r>
      <rPr>
        <sz val="10"/>
        <rFont val="Arial"/>
        <family val="2"/>
      </rPr>
      <t xml:space="preserve"> are for data input</t>
    </r>
    <r>
      <rPr>
        <b/>
        <sz val="10"/>
        <rFont val="Arial"/>
        <family val="2"/>
      </rPr>
      <t xml:space="preserve"> (</t>
    </r>
    <r>
      <rPr>
        <sz val="10"/>
        <rFont val="Arial"/>
        <family val="2"/>
      </rPr>
      <t>Assumptions &amp; Perpetuity tabs</t>
    </r>
    <r>
      <rPr>
        <b/>
        <sz val="10"/>
        <rFont val="Arial"/>
        <family val="2"/>
      </rPr>
      <t>)</t>
    </r>
  </si>
  <si>
    <r>
      <t>*Note: Do not change any non-</t>
    </r>
    <r>
      <rPr>
        <b/>
        <sz val="11"/>
        <color rgb="FFFFFF00"/>
        <rFont val="Aptos Narrow"/>
        <family val="2"/>
        <scheme val="minor"/>
      </rPr>
      <t>yellow</t>
    </r>
    <r>
      <rPr>
        <b/>
        <sz val="11"/>
        <color theme="0"/>
        <rFont val="Aptos Narrow"/>
        <family val="2"/>
        <scheme val="minor"/>
      </rPr>
      <t xml:space="preserve"> cells or non-</t>
    </r>
    <r>
      <rPr>
        <b/>
        <sz val="11"/>
        <color rgb="FF0070C0"/>
        <rFont val="Aptos Narrow"/>
        <family val="2"/>
        <scheme val="minor"/>
      </rPr>
      <t>blue</t>
    </r>
    <r>
      <rPr>
        <b/>
        <sz val="11"/>
        <color theme="0"/>
        <rFont val="Aptos Narrow"/>
        <family val="2"/>
        <scheme val="minor"/>
      </rPr>
      <t xml:space="preserve"> text</t>
    </r>
  </si>
  <si>
    <t>Price Sensitivity Analysis</t>
  </si>
  <si>
    <t>Terminal Growth Rate</t>
  </si>
  <si>
    <t>Terminal Multiple</t>
  </si>
  <si>
    <t>Terminal Growth Rate increment</t>
  </si>
  <si>
    <t>WACC increment</t>
  </si>
  <si>
    <t>TerminalMultiple increment</t>
  </si>
  <si>
    <t>NPV(FCF)</t>
  </si>
  <si>
    <t>PV(Terminal value)</t>
  </si>
  <si>
    <t>Terminal year UFCF</t>
  </si>
  <si>
    <t>Multiples:</t>
  </si>
  <si>
    <t>Multiples 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</si>
</sst>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_);\(&quot;$&quot;#,##0.0\)"/>
    <numFmt numFmtId="165" formatCode="#,##0.0%_);\(#,##0.0%\)"/>
    <numFmt numFmtId="166" formatCode="0.0%_);\(0.0%\)"/>
    <numFmt numFmtId="168" formatCode="#,##0.0_);\(#,##0.0\)"/>
    <numFmt numFmtId="169" formatCode="#0.00%_);\(#0.00%\)"/>
    <numFmt numFmtId="170" formatCode="#,##0.00%_);\(#,##0.00%\)"/>
    <numFmt numFmtId="171" formatCode="[$£-809]#,##0.0_);\([$£-809]#,##0.0\)"/>
    <numFmt numFmtId="172" formatCode="0.0%"/>
    <numFmt numFmtId="173" formatCode="0_);\(0\)"/>
    <numFmt numFmtId="174" formatCode="#,##0.0\x_)"/>
    <numFmt numFmtId="175" formatCode="#,##0.000_);\(#,##0.000\)"/>
  </numFmts>
  <fonts count="3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u/>
      <sz val="10"/>
      <name val="Arial"/>
      <family val="2"/>
    </font>
    <font>
      <u/>
      <sz val="11"/>
      <color theme="10"/>
      <name val="Aptos Narrow"/>
      <family val="2"/>
      <scheme val="minor"/>
    </font>
    <font>
      <sz val="10"/>
      <color indexed="10"/>
      <name val="Arial"/>
      <family val="2"/>
    </font>
    <font>
      <u/>
      <sz val="10"/>
      <name val="Arial"/>
      <family val="2"/>
    </font>
    <font>
      <b/>
      <sz val="10.5"/>
      <name val="Arial"/>
      <family val="2"/>
    </font>
    <font>
      <sz val="10.5"/>
      <name val="Arial"/>
      <family val="2"/>
    </font>
    <font>
      <sz val="11"/>
      <name val="Aptos Narrow"/>
      <family val="2"/>
      <scheme val="minor"/>
    </font>
    <font>
      <b/>
      <sz val="10"/>
      <color rgb="FFFFFF00"/>
      <name val="Arial"/>
      <family val="2"/>
    </font>
    <font>
      <sz val="8"/>
      <color indexed="22"/>
      <name val="Arial"/>
      <family val="2"/>
    </font>
    <font>
      <sz val="10"/>
      <color rgb="FF0070C0"/>
      <name val="Arial"/>
      <family val="2"/>
    </font>
    <font>
      <sz val="10"/>
      <color indexed="8"/>
      <name val="Arial"/>
      <family val="2"/>
    </font>
    <font>
      <sz val="11"/>
      <color rgb="FF0070C0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0"/>
      <color rgb="FF0070C0"/>
      <name val="Arial"/>
      <family val="2"/>
    </font>
    <font>
      <b/>
      <sz val="10"/>
      <color indexed="8"/>
      <name val="Arial"/>
      <family val="2"/>
    </font>
    <font>
      <sz val="7"/>
      <name val="Arial"/>
      <family val="2"/>
    </font>
    <font>
      <b/>
      <sz val="11"/>
      <color rgb="FFFFFF00"/>
      <name val="Aptos Narrow"/>
      <family val="2"/>
      <scheme val="minor"/>
    </font>
    <font>
      <b/>
      <u/>
      <sz val="14"/>
      <name val="Arial"/>
      <family val="2"/>
    </font>
    <font>
      <b/>
      <u/>
      <sz val="1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9"/>
      <color indexed="81"/>
      <name val="Tahoma"/>
      <charset val="1"/>
    </font>
    <font>
      <sz val="10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4"/>
      <name val="Arial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2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199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1" xfId="0" applyBorder="1"/>
    <xf numFmtId="164" fontId="6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166" fontId="11" fillId="0" borderId="0" xfId="0" applyNumberFormat="1" applyFont="1"/>
    <xf numFmtId="164" fontId="5" fillId="0" borderId="0" xfId="0" applyNumberFormat="1" applyFont="1"/>
    <xf numFmtId="168" fontId="5" fillId="0" borderId="0" xfId="0" applyNumberFormat="1" applyFont="1"/>
    <xf numFmtId="168" fontId="5" fillId="0" borderId="1" xfId="0" applyNumberFormat="1" applyFont="1" applyBorder="1"/>
    <xf numFmtId="0" fontId="5" fillId="0" borderId="5" xfId="0" applyFont="1" applyBorder="1"/>
    <xf numFmtId="0" fontId="12" fillId="0" borderId="0" xfId="0" applyFont="1"/>
    <xf numFmtId="170" fontId="5" fillId="0" borderId="0" xfId="0" applyNumberFormat="1" applyFont="1"/>
    <xf numFmtId="170" fontId="0" fillId="0" borderId="5" xfId="0" applyNumberFormat="1" applyBorder="1"/>
    <xf numFmtId="0" fontId="7" fillId="0" borderId="0" xfId="0" applyFont="1"/>
    <xf numFmtId="0" fontId="0" fillId="0" borderId="7" xfId="0" applyBorder="1" applyAlignment="1">
      <alignment horizontal="center"/>
    </xf>
    <xf numFmtId="0" fontId="15" fillId="0" borderId="0" xfId="0" applyFont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68" fontId="5" fillId="0" borderId="5" xfId="0" applyNumberFormat="1" applyFont="1" applyBorder="1"/>
    <xf numFmtId="168" fontId="5" fillId="0" borderId="8" xfId="0" applyNumberFormat="1" applyFont="1" applyBorder="1"/>
    <xf numFmtId="165" fontId="6" fillId="0" borderId="0" xfId="0" applyNumberFormat="1" applyFont="1"/>
    <xf numFmtId="165" fontId="6" fillId="0" borderId="1" xfId="0" applyNumberFormat="1" applyFont="1" applyBorder="1"/>
    <xf numFmtId="171" fontId="17" fillId="0" borderId="0" xfId="0" quotePrefix="1" applyNumberFormat="1" applyFont="1" applyAlignment="1">
      <alignment horizontal="right"/>
    </xf>
    <xf numFmtId="164" fontId="7" fillId="0" borderId="5" xfId="0" applyNumberFormat="1" applyFont="1" applyBorder="1"/>
    <xf numFmtId="164" fontId="7" fillId="0" borderId="8" xfId="0" applyNumberFormat="1" applyFont="1" applyBorder="1"/>
    <xf numFmtId="164" fontId="18" fillId="0" borderId="0" xfId="0" applyNumberFormat="1" applyFont="1"/>
    <xf numFmtId="164" fontId="18" fillId="0" borderId="1" xfId="0" applyNumberFormat="1" applyFont="1" applyBorder="1"/>
    <xf numFmtId="168" fontId="18" fillId="0" borderId="0" xfId="0" applyNumberFormat="1" applyFont="1"/>
    <xf numFmtId="168" fontId="18" fillId="0" borderId="1" xfId="0" applyNumberFormat="1" applyFont="1" applyBorder="1"/>
    <xf numFmtId="0" fontId="5" fillId="0" borderId="0" xfId="0" quotePrefix="1" applyFont="1" applyAlignment="1">
      <alignment horizontal="left"/>
    </xf>
    <xf numFmtId="164" fontId="5" fillId="0" borderId="0" xfId="0" applyNumberFormat="1" applyFont="1" applyAlignment="1">
      <alignment horizontal="center"/>
    </xf>
    <xf numFmtId="168" fontId="5" fillId="0" borderId="0" xfId="0" applyNumberFormat="1" applyFont="1" applyAlignment="1">
      <alignment horizontal="center"/>
    </xf>
    <xf numFmtId="168" fontId="5" fillId="0" borderId="5" xfId="0" applyNumberFormat="1" applyFont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64" fontId="7" fillId="0" borderId="5" xfId="0" applyNumberFormat="1" applyFont="1" applyBorder="1" applyAlignment="1">
      <alignment horizontal="center"/>
    </xf>
    <xf numFmtId="172" fontId="0" fillId="0" borderId="0" xfId="0" applyNumberFormat="1" applyAlignment="1">
      <alignment horizontal="center"/>
    </xf>
    <xf numFmtId="172" fontId="3" fillId="0" borderId="0" xfId="0" applyNumberFormat="1" applyFont="1" applyAlignment="1">
      <alignment horizontal="center"/>
    </xf>
    <xf numFmtId="164" fontId="0" fillId="0" borderId="0" xfId="0" applyNumberFormat="1"/>
    <xf numFmtId="168" fontId="19" fillId="0" borderId="0" xfId="0" applyNumberFormat="1" applyFont="1"/>
    <xf numFmtId="168" fontId="0" fillId="0" borderId="0" xfId="0" applyNumberFormat="1"/>
    <xf numFmtId="0" fontId="0" fillId="0" borderId="5" xfId="0" applyBorder="1" applyAlignment="1">
      <alignment horizontal="right"/>
    </xf>
    <xf numFmtId="0" fontId="18" fillId="0" borderId="0" xfId="0" applyFont="1" applyAlignment="1">
      <alignment horizontal="right"/>
    </xf>
    <xf numFmtId="165" fontId="18" fillId="0" borderId="0" xfId="0" applyNumberFormat="1" applyFont="1"/>
    <xf numFmtId="165" fontId="18" fillId="0" borderId="1" xfId="0" applyNumberFormat="1" applyFont="1" applyBorder="1"/>
    <xf numFmtId="166" fontId="18" fillId="0" borderId="0" xfId="0" applyNumberFormat="1" applyFont="1"/>
    <xf numFmtId="164" fontId="18" fillId="0" borderId="0" xfId="0" applyNumberFormat="1" applyFont="1" applyAlignment="1">
      <alignment horizontal="right"/>
    </xf>
    <xf numFmtId="0" fontId="20" fillId="0" borderId="0" xfId="0" applyFont="1"/>
    <xf numFmtId="0" fontId="20" fillId="0" borderId="1" xfId="0" applyFont="1" applyBorder="1"/>
    <xf numFmtId="166" fontId="20" fillId="0" borderId="0" xfId="0" applyNumberFormat="1" applyFont="1"/>
    <xf numFmtId="166" fontId="20" fillId="0" borderId="1" xfId="0" applyNumberFormat="1" applyFont="1" applyBorder="1"/>
    <xf numFmtId="2" fontId="18" fillId="0" borderId="0" xfId="0" applyNumberFormat="1" applyFont="1" applyAlignment="1">
      <alignment horizontal="right"/>
    </xf>
    <xf numFmtId="2" fontId="18" fillId="0" borderId="0" xfId="0" applyNumberFormat="1" applyFont="1"/>
    <xf numFmtId="2" fontId="18" fillId="0" borderId="1" xfId="0" applyNumberFormat="1" applyFont="1" applyBorder="1"/>
    <xf numFmtId="10" fontId="18" fillId="0" borderId="0" xfId="0" applyNumberFormat="1" applyFont="1" applyAlignment="1">
      <alignment horizontal="right"/>
    </xf>
    <xf numFmtId="0" fontId="0" fillId="0" borderId="1" xfId="0" applyBorder="1" applyAlignment="1">
      <alignment horizontal="center"/>
    </xf>
    <xf numFmtId="0" fontId="21" fillId="0" borderId="0" xfId="0" applyFont="1"/>
    <xf numFmtId="0" fontId="21" fillId="5" borderId="0" xfId="0" applyFont="1" applyFill="1"/>
    <xf numFmtId="0" fontId="21" fillId="6" borderId="0" xfId="0" applyFont="1" applyFill="1"/>
    <xf numFmtId="0" fontId="0" fillId="6" borderId="0" xfId="0" applyFill="1"/>
    <xf numFmtId="0" fontId="0" fillId="0" borderId="0" xfId="0" applyAlignment="1">
      <alignment horizontal="right"/>
    </xf>
    <xf numFmtId="173" fontId="7" fillId="0" borderId="12" xfId="0" applyNumberFormat="1" applyFont="1" applyBorder="1" applyAlignment="1">
      <alignment horizontal="center"/>
    </xf>
    <xf numFmtId="173" fontId="7" fillId="0" borderId="13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164" fontId="18" fillId="0" borderId="0" xfId="0" applyNumberFormat="1" applyFont="1" applyAlignment="1">
      <alignment horizontal="center"/>
    </xf>
    <xf numFmtId="164" fontId="18" fillId="0" borderId="1" xfId="0" applyNumberFormat="1" applyFont="1" applyBorder="1" applyAlignment="1">
      <alignment horizontal="center"/>
    </xf>
    <xf numFmtId="168" fontId="18" fillId="0" borderId="0" xfId="0" applyNumberFormat="1" applyFont="1" applyAlignment="1">
      <alignment horizontal="center"/>
    </xf>
    <xf numFmtId="168" fontId="18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8" fontId="0" fillId="0" borderId="0" xfId="0" applyNumberFormat="1" applyAlignment="1">
      <alignment horizontal="center"/>
    </xf>
    <xf numFmtId="164" fontId="5" fillId="0" borderId="5" xfId="0" applyNumberFormat="1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7" fillId="0" borderId="0" xfId="0" applyNumberFormat="1" applyFont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0" fillId="2" borderId="0" xfId="0" applyFill="1"/>
    <xf numFmtId="0" fontId="7" fillId="2" borderId="0" xfId="0" applyFont="1" applyFill="1"/>
    <xf numFmtId="0" fontId="5" fillId="2" borderId="0" xfId="0" applyFont="1" applyFill="1"/>
    <xf numFmtId="0" fontId="5" fillId="0" borderId="0" xfId="0" applyFont="1" applyProtection="1">
      <protection locked="0"/>
    </xf>
    <xf numFmtId="0" fontId="5" fillId="0" borderId="11" xfId="0" applyFont="1" applyBorder="1" applyProtection="1">
      <protection locked="0"/>
    </xf>
    <xf numFmtId="0" fontId="7" fillId="0" borderId="15" xfId="0" applyFont="1" applyBorder="1" applyProtection="1">
      <protection locked="0"/>
    </xf>
    <xf numFmtId="0" fontId="5" fillId="0" borderId="15" xfId="0" applyFont="1" applyBorder="1" applyAlignment="1" applyProtection="1">
      <alignment horizontal="left"/>
      <protection locked="0"/>
    </xf>
    <xf numFmtId="0" fontId="5" fillId="0" borderId="15" xfId="0" applyFont="1" applyBorder="1" applyProtection="1">
      <protection locked="0"/>
    </xf>
    <xf numFmtId="0" fontId="7" fillId="0" borderId="15" xfId="0" applyFont="1" applyBorder="1" applyAlignment="1" applyProtection="1">
      <alignment horizontal="left"/>
      <protection locked="0"/>
    </xf>
    <xf numFmtId="0" fontId="7" fillId="0" borderId="16" xfId="0" applyFont="1" applyBorder="1" applyAlignment="1" applyProtection="1">
      <alignment horizontal="left"/>
      <protection locked="0"/>
    </xf>
    <xf numFmtId="0" fontId="5" fillId="0" borderId="0" xfId="0" applyFont="1" applyAlignment="1" applyProtection="1">
      <alignment horizontal="right"/>
      <protection locked="0"/>
    </xf>
    <xf numFmtId="0" fontId="8" fillId="0" borderId="18" xfId="0" applyFont="1" applyBorder="1"/>
    <xf numFmtId="0" fontId="5" fillId="0" borderId="8" xfId="0" applyFont="1" applyBorder="1" applyAlignment="1" applyProtection="1">
      <alignment horizontal="center"/>
      <protection locked="0"/>
    </xf>
    <xf numFmtId="165" fontId="5" fillId="0" borderId="1" xfId="0" applyNumberFormat="1" applyFont="1" applyBorder="1" applyAlignment="1" applyProtection="1">
      <alignment horizontal="center"/>
      <protection locked="0"/>
    </xf>
    <xf numFmtId="164" fontId="19" fillId="0" borderId="6" xfId="0" applyNumberFormat="1" applyFont="1" applyBorder="1" applyAlignment="1">
      <alignment horizontal="center"/>
    </xf>
    <xf numFmtId="0" fontId="5" fillId="0" borderId="1" xfId="0" applyFont="1" applyBorder="1" applyAlignment="1" applyProtection="1">
      <alignment horizontal="center"/>
      <protection locked="0"/>
    </xf>
    <xf numFmtId="165" fontId="5" fillId="4" borderId="1" xfId="0" applyNumberFormat="1" applyFont="1" applyFill="1" applyBorder="1" applyAlignment="1" applyProtection="1">
      <alignment horizontal="center"/>
      <protection locked="0"/>
    </xf>
    <xf numFmtId="164" fontId="19" fillId="0" borderId="1" xfId="0" applyNumberFormat="1" applyFont="1" applyBorder="1" applyAlignment="1">
      <alignment horizontal="center"/>
    </xf>
    <xf numFmtId="168" fontId="5" fillId="0" borderId="6" xfId="0" applyNumberFormat="1" applyFont="1" applyBorder="1" applyAlignment="1" applyProtection="1">
      <alignment horizontal="center"/>
      <protection locked="0"/>
    </xf>
    <xf numFmtId="164" fontId="23" fillId="0" borderId="6" xfId="0" applyNumberFormat="1" applyFont="1" applyBorder="1" applyAlignment="1">
      <alignment horizontal="center"/>
    </xf>
    <xf numFmtId="168" fontId="5" fillId="4" borderId="1" xfId="0" applyNumberFormat="1" applyFont="1" applyFill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/>
      <protection locked="0"/>
    </xf>
    <xf numFmtId="175" fontId="5" fillId="4" borderId="0" xfId="0" applyNumberFormat="1" applyFont="1" applyFill="1" applyAlignment="1">
      <alignment horizontal="center"/>
    </xf>
    <xf numFmtId="0" fontId="5" fillId="0" borderId="0" xfId="0" applyFont="1" applyAlignment="1" applyProtection="1">
      <alignment horizontal="center"/>
      <protection hidden="1"/>
    </xf>
    <xf numFmtId="8" fontId="23" fillId="0" borderId="10" xfId="0" applyNumberFormat="1" applyFont="1" applyBorder="1" applyAlignment="1" applyProtection="1">
      <alignment horizontal="center"/>
      <protection hidden="1"/>
    </xf>
    <xf numFmtId="164" fontId="5" fillId="0" borderId="1" xfId="0" applyNumberFormat="1" applyFont="1" applyBorder="1" applyAlignment="1" applyProtection="1">
      <alignment horizontal="center"/>
      <protection locked="0"/>
    </xf>
    <xf numFmtId="174" fontId="7" fillId="0" borderId="6" xfId="0" applyNumberFormat="1" applyFont="1" applyBorder="1" applyAlignment="1" applyProtection="1">
      <alignment horizontal="center"/>
      <protection locked="0"/>
    </xf>
    <xf numFmtId="0" fontId="24" fillId="0" borderId="0" xfId="0" applyFont="1" applyAlignment="1">
      <alignment horizontal="center"/>
    </xf>
    <xf numFmtId="174" fontId="5" fillId="0" borderId="1" xfId="0" applyNumberFormat="1" applyFont="1" applyBorder="1" applyAlignment="1" applyProtection="1">
      <alignment horizontal="center"/>
      <protection locked="0"/>
    </xf>
    <xf numFmtId="165" fontId="7" fillId="0" borderId="6" xfId="0" applyNumberFormat="1" applyFont="1" applyBorder="1" applyAlignment="1" applyProtection="1">
      <alignment horizontal="center"/>
      <protection locked="0"/>
    </xf>
    <xf numFmtId="174" fontId="5" fillId="4" borderId="1" xfId="0" applyNumberFormat="1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175" fontId="5" fillId="4" borderId="0" xfId="0" applyNumberFormat="1" applyFont="1" applyFill="1" applyAlignment="1" applyProtection="1">
      <alignment horizontal="center"/>
      <protection locked="0"/>
    </xf>
    <xf numFmtId="0" fontId="0" fillId="0" borderId="0" xfId="0" quotePrefix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quotePrefix="1" applyFill="1"/>
    <xf numFmtId="0" fontId="0" fillId="2" borderId="0" xfId="0" applyFill="1" applyAlignment="1">
      <alignment horizontal="center"/>
    </xf>
    <xf numFmtId="164" fontId="0" fillId="2" borderId="0" xfId="0" applyNumberFormat="1" applyFill="1"/>
    <xf numFmtId="164" fontId="0" fillId="2" borderId="0" xfId="0" applyNumberFormat="1" applyFill="1" applyAlignment="1">
      <alignment horizontal="center"/>
    </xf>
    <xf numFmtId="164" fontId="5" fillId="0" borderId="8" xfId="0" applyNumberFormat="1" applyFont="1" applyBorder="1" applyAlignment="1" applyProtection="1">
      <alignment horizontal="center"/>
      <protection locked="0"/>
    </xf>
    <xf numFmtId="0" fontId="7" fillId="0" borderId="16" xfId="0" applyFont="1" applyBorder="1" applyAlignment="1" applyProtection="1">
      <alignment horizontal="right"/>
      <protection locked="0"/>
    </xf>
    <xf numFmtId="0" fontId="23" fillId="0" borderId="6" xfId="0" applyFont="1" applyBorder="1" applyAlignment="1" applyProtection="1">
      <alignment horizontal="right"/>
      <protection locked="0"/>
    </xf>
    <xf numFmtId="9" fontId="0" fillId="0" borderId="0" xfId="2" applyFont="1" applyAlignment="1">
      <alignment horizontal="center"/>
    </xf>
    <xf numFmtId="172" fontId="0" fillId="0" borderId="1" xfId="2" applyNumberFormat="1" applyFont="1" applyBorder="1" applyAlignment="1">
      <alignment horizontal="center"/>
    </xf>
    <xf numFmtId="172" fontId="0" fillId="0" borderId="20" xfId="2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169" fontId="7" fillId="3" borderId="6" xfId="0" applyNumberFormat="1" applyFont="1" applyFill="1" applyBorder="1" applyAlignment="1">
      <alignment horizontal="center"/>
    </xf>
    <xf numFmtId="0" fontId="4" fillId="7" borderId="0" xfId="0" applyFont="1" applyFill="1"/>
    <xf numFmtId="0" fontId="2" fillId="7" borderId="0" xfId="0" applyFont="1" applyFill="1"/>
    <xf numFmtId="10" fontId="0" fillId="0" borderId="0" xfId="0" applyNumberFormat="1" applyAlignment="1">
      <alignment horizontal="center"/>
    </xf>
    <xf numFmtId="172" fontId="2" fillId="7" borderId="0" xfId="2" applyNumberFormat="1" applyFont="1" applyFill="1" applyBorder="1" applyAlignment="1">
      <alignment horizontal="center"/>
    </xf>
    <xf numFmtId="172" fontId="0" fillId="0" borderId="5" xfId="2" applyNumberFormat="1" applyFont="1" applyBorder="1" applyAlignment="1">
      <alignment horizontal="center"/>
    </xf>
    <xf numFmtId="172" fontId="0" fillId="0" borderId="8" xfId="2" applyNumberFormat="1" applyFont="1" applyBorder="1" applyAlignment="1">
      <alignment horizontal="center"/>
    </xf>
    <xf numFmtId="172" fontId="0" fillId="0" borderId="15" xfId="2" applyNumberFormat="1" applyFont="1" applyBorder="1" applyAlignment="1">
      <alignment horizontal="center"/>
    </xf>
    <xf numFmtId="172" fontId="15" fillId="0" borderId="0" xfId="2" applyNumberFormat="1" applyFont="1" applyBorder="1" applyAlignment="1">
      <alignment horizontal="center"/>
    </xf>
    <xf numFmtId="172" fontId="0" fillId="0" borderId="0" xfId="2" applyNumberFormat="1" applyFont="1" applyBorder="1" applyAlignment="1">
      <alignment horizontal="center"/>
    </xf>
    <xf numFmtId="172" fontId="0" fillId="0" borderId="16" xfId="2" applyNumberFormat="1" applyFont="1" applyBorder="1" applyAlignment="1">
      <alignment horizontal="center"/>
    </xf>
    <xf numFmtId="172" fontId="0" fillId="0" borderId="17" xfId="2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0" fontId="26" fillId="2" borderId="0" xfId="0" applyFont="1" applyFill="1"/>
    <xf numFmtId="0" fontId="27" fillId="4" borderId="0" xfId="3" applyFont="1" applyFill="1"/>
    <xf numFmtId="0" fontId="27" fillId="2" borderId="0" xfId="3" applyFont="1" applyFill="1"/>
    <xf numFmtId="0" fontId="27" fillId="6" borderId="0" xfId="3" applyFont="1" applyFill="1"/>
    <xf numFmtId="0" fontId="27" fillId="5" borderId="0" xfId="3" applyFont="1" applyFill="1"/>
    <xf numFmtId="0" fontId="27" fillId="8" borderId="0" xfId="3" applyFont="1" applyFill="1"/>
    <xf numFmtId="0" fontId="4" fillId="0" borderId="0" xfId="0" applyFont="1"/>
    <xf numFmtId="0" fontId="0" fillId="4" borderId="6" xfId="0" applyFill="1" applyBorder="1" applyAlignment="1">
      <alignment horizontal="center"/>
    </xf>
    <xf numFmtId="169" fontId="5" fillId="4" borderId="6" xfId="0" applyNumberFormat="1" applyFont="1" applyFill="1" applyBorder="1" applyAlignment="1">
      <alignment horizontal="center"/>
    </xf>
    <xf numFmtId="39" fontId="5" fillId="4" borderId="6" xfId="0" applyNumberFormat="1" applyFont="1" applyFill="1" applyBorder="1" applyAlignment="1">
      <alignment horizontal="center"/>
    </xf>
    <xf numFmtId="164" fontId="5" fillId="4" borderId="6" xfId="0" applyNumberFormat="1" applyFont="1" applyFill="1" applyBorder="1" applyAlignment="1" applyProtection="1">
      <alignment horizontal="center"/>
      <protection hidden="1"/>
    </xf>
    <xf numFmtId="168" fontId="5" fillId="4" borderId="6" xfId="0" applyNumberFormat="1" applyFont="1" applyFill="1" applyBorder="1" applyAlignment="1">
      <alignment horizontal="center"/>
    </xf>
    <xf numFmtId="169" fontId="5" fillId="4" borderId="19" xfId="0" applyNumberFormat="1" applyFont="1" applyFill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0" fontId="0" fillId="4" borderId="6" xfId="0" applyNumberFormat="1" applyFill="1" applyBorder="1" applyAlignment="1">
      <alignment horizontal="center"/>
    </xf>
    <xf numFmtId="166" fontId="5" fillId="4" borderId="6" xfId="0" applyNumberFormat="1" applyFont="1" applyFill="1" applyBorder="1"/>
    <xf numFmtId="165" fontId="5" fillId="4" borderId="6" xfId="0" applyNumberFormat="1" applyFont="1" applyFill="1" applyBorder="1"/>
    <xf numFmtId="164" fontId="5" fillId="4" borderId="6" xfId="0" applyNumberFormat="1" applyFont="1" applyFill="1" applyBorder="1"/>
    <xf numFmtId="168" fontId="5" fillId="4" borderId="6" xfId="0" applyNumberFormat="1" applyFont="1" applyFill="1" applyBorder="1"/>
    <xf numFmtId="2" fontId="5" fillId="4" borderId="6" xfId="0" applyNumberFormat="1" applyFont="1" applyFill="1" applyBorder="1"/>
    <xf numFmtId="10" fontId="5" fillId="4" borderId="6" xfId="0" applyNumberFormat="1" applyFont="1" applyFill="1" applyBorder="1"/>
    <xf numFmtId="0" fontId="2" fillId="0" borderId="0" xfId="0" applyFont="1"/>
    <xf numFmtId="10" fontId="0" fillId="4" borderId="6" xfId="2" applyNumberFormat="1" applyFont="1" applyFill="1" applyBorder="1" applyAlignment="1">
      <alignment horizontal="center"/>
    </xf>
    <xf numFmtId="172" fontId="0" fillId="4" borderId="22" xfId="0" applyNumberFormat="1" applyFill="1" applyBorder="1" applyAlignment="1">
      <alignment horizontal="center"/>
    </xf>
    <xf numFmtId="172" fontId="0" fillId="4" borderId="10" xfId="0" applyNumberFormat="1" applyFill="1" applyBorder="1" applyAlignment="1">
      <alignment horizontal="center"/>
    </xf>
    <xf numFmtId="174" fontId="5" fillId="4" borderId="6" xfId="0" applyNumberFormat="1" applyFont="1" applyFill="1" applyBorder="1" applyAlignment="1" applyProtection="1">
      <alignment horizontal="center"/>
      <protection locked="0"/>
    </xf>
    <xf numFmtId="0" fontId="8" fillId="0" borderId="0" xfId="0" applyFont="1" applyAlignment="1">
      <alignment horizontal="right"/>
    </xf>
    <xf numFmtId="8" fontId="4" fillId="7" borderId="0" xfId="1" applyNumberFormat="1" applyFont="1" applyFill="1" applyAlignment="1">
      <alignment horizontal="center"/>
    </xf>
    <xf numFmtId="0" fontId="3" fillId="0" borderId="17" xfId="0" applyFont="1" applyBorder="1" applyAlignment="1">
      <alignment horizontal="left"/>
    </xf>
    <xf numFmtId="0" fontId="3" fillId="0" borderId="0" xfId="0" applyFont="1" applyAlignment="1">
      <alignment horizontal="center" vertical="center" textRotation="90"/>
    </xf>
    <xf numFmtId="0" fontId="3" fillId="0" borderId="1" xfId="0" applyFont="1" applyBorder="1" applyAlignment="1">
      <alignment horizontal="center" vertical="center" textRotation="90"/>
    </xf>
    <xf numFmtId="0" fontId="3" fillId="0" borderId="0" xfId="0" applyFont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 textRotation="90"/>
    </xf>
    <xf numFmtId="0" fontId="23" fillId="0" borderId="9" xfId="0" applyFont="1" applyBorder="1" applyAlignment="1" applyProtection="1">
      <alignment horizontal="center"/>
      <protection locked="0"/>
    </xf>
    <xf numFmtId="0" fontId="23" fillId="0" borderId="10" xfId="0" applyFont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left"/>
      <protection locked="0"/>
    </xf>
    <xf numFmtId="8" fontId="30" fillId="0" borderId="0" xfId="1" applyNumberFormat="1" applyFont="1" applyAlignment="1">
      <alignment horizontal="center"/>
    </xf>
    <xf numFmtId="0" fontId="31" fillId="0" borderId="0" xfId="0" applyFont="1" applyAlignment="1">
      <alignment horizontal="left"/>
    </xf>
    <xf numFmtId="0" fontId="32" fillId="0" borderId="17" xfId="0" applyFont="1" applyBorder="1" applyProtection="1">
      <protection locked="0"/>
    </xf>
    <xf numFmtId="0" fontId="0" fillId="0" borderId="17" xfId="0" applyBorder="1" applyAlignment="1">
      <alignment horizontal="center"/>
    </xf>
    <xf numFmtId="172" fontId="0" fillId="4" borderId="22" xfId="0" applyNumberFormat="1" applyFill="1" applyBorder="1" applyAlignment="1"/>
    <xf numFmtId="172" fontId="0" fillId="0" borderId="0" xfId="0" applyNumberFormat="1" applyAlignment="1"/>
    <xf numFmtId="44" fontId="30" fillId="0" borderId="0" xfId="1" applyNumberFormat="1" applyFont="1" applyAlignment="1">
      <alignment vertical="center"/>
    </xf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6">
    <dxf>
      <fill>
        <patternFill>
          <bgColor theme="5" tint="0.59996337778862885"/>
        </patternFill>
      </fill>
    </dxf>
    <dxf>
      <fill>
        <patternFill>
          <bgColor indexed="43"/>
        </patternFill>
      </fill>
    </dxf>
    <dxf>
      <fill>
        <patternFill>
          <bgColor theme="5" tint="0.59996337778862885"/>
        </patternFill>
      </fill>
    </dxf>
    <dxf>
      <fill>
        <patternFill>
          <bgColor indexed="43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ffice" id="{98E965C4-A387-46A0-AC94-1F066D7A68AB}" userId="S::138135@office365works.net::96ee6a9c-faf6-4c0d-8650-2a7d9a530c1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1-18T02:39:37.96" personId="{98E965C4-A387-46A0-AC94-1F066D7A68AB}" id="{21DCFFB1-40B9-4210-8795-05C138B4A7EA}">
    <text># of periods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6-01-18T02:39:37.96" personId="{98E965C4-A387-46A0-AC94-1F066D7A68AB}" id="{64F1C3DD-EBC1-45C6-93CC-CCF3ECC53390}">
    <text># of periods</text>
  </threadedComment>
  <threadedComment ref="C28" dT="2026-01-18T03:02:52.80" personId="{98E965C4-A387-46A0-AC94-1F066D7A68AB}" id="{2F72B0A5-3676-4D17-9AB7-7E3C9549505B}">
    <text>Use Goalseek to set right side of equation equal to left side (type in left side), by changing this cell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B0EDD-2EBA-47C2-A476-4833DC69B3FC}">
  <dimension ref="A2:G14"/>
  <sheetViews>
    <sheetView showGridLines="0" workbookViewId="0">
      <selection activeCell="K9" sqref="K9"/>
    </sheetView>
  </sheetViews>
  <sheetFormatPr defaultRowHeight="14.4" x14ac:dyDescent="0.3"/>
  <cols>
    <col min="1" max="1" width="20.44140625" customWidth="1"/>
  </cols>
  <sheetData>
    <row r="2" spans="1:7" ht="17.399999999999999" x14ac:dyDescent="0.3">
      <c r="A2" s="151" t="s">
        <v>41</v>
      </c>
      <c r="B2" s="88"/>
      <c r="C2" s="88"/>
      <c r="D2" s="88"/>
      <c r="E2" s="88"/>
      <c r="F2" s="88"/>
      <c r="G2" s="88"/>
    </row>
    <row r="3" spans="1:7" x14ac:dyDescent="0.3">
      <c r="A3" s="89" t="s">
        <v>109</v>
      </c>
      <c r="B3" s="88"/>
      <c r="C3" s="88"/>
      <c r="D3" s="88"/>
      <c r="E3" s="88"/>
      <c r="F3" s="88"/>
      <c r="G3" s="88"/>
    </row>
    <row r="4" spans="1:7" x14ac:dyDescent="0.3">
      <c r="A4" s="89" t="s">
        <v>108</v>
      </c>
      <c r="B4" s="88"/>
      <c r="C4" s="88"/>
      <c r="D4" s="88"/>
      <c r="E4" s="88"/>
      <c r="F4" s="88"/>
      <c r="G4" s="88"/>
    </row>
    <row r="5" spans="1:7" x14ac:dyDescent="0.3">
      <c r="A5" s="89" t="s">
        <v>98</v>
      </c>
      <c r="B5" s="88"/>
      <c r="C5" s="88"/>
      <c r="D5" s="88"/>
      <c r="E5" s="88"/>
      <c r="F5" s="88"/>
      <c r="G5" s="88"/>
    </row>
    <row r="6" spans="1:7" x14ac:dyDescent="0.3">
      <c r="A6" s="90" t="s">
        <v>42</v>
      </c>
      <c r="B6" s="88"/>
      <c r="C6" s="88"/>
      <c r="D6" s="88"/>
      <c r="E6" s="88"/>
      <c r="F6" s="88"/>
      <c r="G6" s="88"/>
    </row>
    <row r="9" spans="1:7" ht="18" x14ac:dyDescent="0.35">
      <c r="A9" s="68" t="s">
        <v>105</v>
      </c>
    </row>
    <row r="10" spans="1:7" x14ac:dyDescent="0.3">
      <c r="A10" s="152" t="s">
        <v>99</v>
      </c>
      <c r="B10" t="s">
        <v>107</v>
      </c>
    </row>
    <row r="11" spans="1:7" x14ac:dyDescent="0.3">
      <c r="A11" s="153" t="s">
        <v>103</v>
      </c>
      <c r="B11" t="s">
        <v>106</v>
      </c>
    </row>
    <row r="12" spans="1:7" x14ac:dyDescent="0.3">
      <c r="A12" s="154" t="s">
        <v>104</v>
      </c>
      <c r="B12" t="s">
        <v>100</v>
      </c>
    </row>
    <row r="13" spans="1:7" x14ac:dyDescent="0.3">
      <c r="A13" s="155" t="s">
        <v>102</v>
      </c>
      <c r="B13" t="s">
        <v>101</v>
      </c>
    </row>
    <row r="14" spans="1:7" x14ac:dyDescent="0.3">
      <c r="A14" s="156" t="s">
        <v>120</v>
      </c>
      <c r="B14" t="s">
        <v>121</v>
      </c>
    </row>
  </sheetData>
  <hyperlinks>
    <hyperlink ref="A10" location="WACC!A1" display="WACC: " xr:uid="{E103AA41-BD85-44CA-8E79-DE6B77516676}"/>
    <hyperlink ref="A11" location="Assumptions!A1" display="Assumptions:" xr:uid="{2A7595CF-1F34-43EE-B63A-35C01A129185}"/>
    <hyperlink ref="A12" location="NWC!A1" display="NWC:" xr:uid="{2FF9F173-3124-43BB-AE11-3CE3B9B6184F}"/>
    <hyperlink ref="A13" location="DCF!A1" display="DCF:" xr:uid="{BED5D689-D212-4F6D-95E0-D2B2C68DE31D}"/>
    <hyperlink ref="A14" location="'Perpetuity, Multiples'!A1" display="Perpetuity, Multiples:" xr:uid="{5A6072F5-34AA-431F-AB40-C0C2A19556A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21446-90C1-40C3-88E6-0E43BB35755D}">
  <sheetPr>
    <tabColor rgb="FFFFFF00"/>
  </sheetPr>
  <dimension ref="A1:W24"/>
  <sheetViews>
    <sheetView showGridLines="0" zoomScale="80" zoomScaleNormal="80" workbookViewId="0">
      <selection activeCell="I31" sqref="I31"/>
    </sheetView>
  </sheetViews>
  <sheetFormatPr defaultRowHeight="14.4" x14ac:dyDescent="0.3"/>
  <cols>
    <col min="2" max="2" width="11.88671875" customWidth="1"/>
    <col min="3" max="3" width="19" bestFit="1" customWidth="1"/>
    <col min="4" max="4" width="9.77734375" style="1" bestFit="1" customWidth="1"/>
    <col min="7" max="7" width="9" customWidth="1"/>
    <col min="8" max="8" width="14.6640625" customWidth="1"/>
    <col min="9" max="9" width="10.77734375" customWidth="1"/>
    <col min="10" max="10" width="13.5546875" bestFit="1" customWidth="1"/>
    <col min="11" max="11" width="3.5546875" bestFit="1" customWidth="1"/>
    <col min="12" max="12" width="18.33203125" bestFit="1" customWidth="1"/>
    <col min="13" max="23" width="8.88671875" style="1"/>
  </cols>
  <sheetData>
    <row r="1" spans="1:23" x14ac:dyDescent="0.3">
      <c r="A1" s="140" t="s">
        <v>93</v>
      </c>
      <c r="B1" s="139"/>
      <c r="C1" s="139"/>
      <c r="D1" s="139"/>
    </row>
    <row r="2" spans="1:23" x14ac:dyDescent="0.3">
      <c r="D2"/>
    </row>
    <row r="3" spans="1:23" x14ac:dyDescent="0.3">
      <c r="B3" s="8" t="s">
        <v>28</v>
      </c>
      <c r="C3" s="3"/>
      <c r="D3" s="9"/>
      <c r="H3" s="72" t="s">
        <v>92</v>
      </c>
      <c r="I3" s="158">
        <v>0.05</v>
      </c>
      <c r="L3" s="72" t="s">
        <v>92</v>
      </c>
      <c r="M3" s="158">
        <v>0.05</v>
      </c>
    </row>
    <row r="4" spans="1:23" x14ac:dyDescent="0.3">
      <c r="B4" s="3"/>
      <c r="C4" s="3" t="s">
        <v>29</v>
      </c>
      <c r="D4" s="159">
        <v>0.06</v>
      </c>
      <c r="L4" s="1" t="s">
        <v>95</v>
      </c>
      <c r="M4" s="158">
        <v>2.5000000000000001E-3</v>
      </c>
    </row>
    <row r="5" spans="1:23" x14ac:dyDescent="0.3">
      <c r="B5" s="3"/>
      <c r="C5" s="3" t="s">
        <v>30</v>
      </c>
      <c r="D5" s="163">
        <v>0.38</v>
      </c>
    </row>
    <row r="6" spans="1:23" x14ac:dyDescent="0.3">
      <c r="B6" s="3"/>
      <c r="C6" s="20" t="s">
        <v>31</v>
      </c>
      <c r="D6" s="164">
        <f>D4*(1-D5)</f>
        <v>3.7199999999999997E-2</v>
      </c>
      <c r="H6" s="179" t="s">
        <v>97</v>
      </c>
      <c r="I6" s="179"/>
      <c r="L6" s="150" t="s">
        <v>96</v>
      </c>
    </row>
    <row r="7" spans="1:23" x14ac:dyDescent="0.3">
      <c r="B7" s="21"/>
      <c r="C7" s="3"/>
      <c r="D7" s="9"/>
      <c r="H7" s="136" t="s">
        <v>33</v>
      </c>
      <c r="I7" s="137" t="s">
        <v>44</v>
      </c>
      <c r="L7" s="119"/>
      <c r="M7" s="182" t="s">
        <v>94</v>
      </c>
      <c r="N7" s="183"/>
      <c r="O7" s="183"/>
      <c r="P7" s="183"/>
      <c r="Q7" s="183"/>
      <c r="R7" s="183"/>
      <c r="S7" s="183"/>
      <c r="T7" s="183"/>
      <c r="U7" s="183"/>
      <c r="V7" s="183"/>
      <c r="W7" s="183"/>
    </row>
    <row r="8" spans="1:23" x14ac:dyDescent="0.3">
      <c r="B8" s="8" t="s">
        <v>32</v>
      </c>
      <c r="C8" s="3"/>
      <c r="D8" s="9"/>
      <c r="H8" s="133"/>
      <c r="I8" s="142">
        <f>WACC</f>
        <v>7.5186332546009246E-2</v>
      </c>
      <c r="L8" s="142">
        <f>WACC</f>
        <v>7.5186332546009246E-2</v>
      </c>
      <c r="M8" s="165">
        <v>6.0499999999999998E-2</v>
      </c>
      <c r="N8" s="141">
        <f>M8+$M$4</f>
        <v>6.3E-2</v>
      </c>
      <c r="O8" s="141">
        <f t="shared" ref="O8:W8" si="0">N8+$M$4</f>
        <v>6.5500000000000003E-2</v>
      </c>
      <c r="P8" s="141">
        <f t="shared" si="0"/>
        <v>6.8000000000000005E-2</v>
      </c>
      <c r="Q8" s="141">
        <f t="shared" si="0"/>
        <v>7.0500000000000007E-2</v>
      </c>
      <c r="R8" s="141">
        <f t="shared" si="0"/>
        <v>7.3000000000000009E-2</v>
      </c>
      <c r="S8" s="141">
        <f t="shared" si="0"/>
        <v>7.5500000000000012E-2</v>
      </c>
      <c r="T8" s="141">
        <f t="shared" si="0"/>
        <v>7.8000000000000014E-2</v>
      </c>
      <c r="U8" s="141">
        <f t="shared" si="0"/>
        <v>8.0500000000000016E-2</v>
      </c>
      <c r="V8" s="141">
        <f t="shared" si="0"/>
        <v>8.3000000000000018E-2</v>
      </c>
      <c r="W8" s="141">
        <f t="shared" si="0"/>
        <v>8.550000000000002E-2</v>
      </c>
    </row>
    <row r="9" spans="1:23" x14ac:dyDescent="0.3">
      <c r="B9" s="3"/>
      <c r="C9" s="3" t="s">
        <v>45</v>
      </c>
      <c r="D9" s="159">
        <v>3.3099999999999997E-2</v>
      </c>
      <c r="H9" s="158">
        <v>0.35</v>
      </c>
      <c r="I9" s="131">
        <f t="dataTable" ref="I9:I24" dt2D="0" dtr="0" r1="D10" ca="1"/>
        <v>5.4403005773709934E-2</v>
      </c>
      <c r="K9" s="180" t="s">
        <v>33</v>
      </c>
      <c r="L9" s="158">
        <v>0.35</v>
      </c>
      <c r="M9" s="147">
        <f t="dataTable" ref="M9:W23" dt2D="1" dtr="1" r1="D10" r2="D11"/>
        <v>5.2110727085588684E-2</v>
      </c>
      <c r="N9" s="143">
        <v>5.2874819981629101E-2</v>
      </c>
      <c r="O9" s="143">
        <v>5.3638912877669517E-2</v>
      </c>
      <c r="P9" s="143">
        <v>5.4403005773709934E-2</v>
      </c>
      <c r="Q9" s="143">
        <v>5.516709866975035E-2</v>
      </c>
      <c r="R9" s="143">
        <v>5.5931191565790767E-2</v>
      </c>
      <c r="S9" s="143">
        <v>5.6695284461831183E-2</v>
      </c>
      <c r="T9" s="143">
        <v>5.7459377357871599E-2</v>
      </c>
      <c r="U9" s="143">
        <v>5.8223470253912016E-2</v>
      </c>
      <c r="V9" s="143">
        <v>5.8987563149952432E-2</v>
      </c>
      <c r="W9" s="144">
        <v>5.9751656045992849E-2</v>
      </c>
    </row>
    <row r="10" spans="1:23" x14ac:dyDescent="0.3">
      <c r="B10" s="3"/>
      <c r="C10" s="3" t="s">
        <v>33</v>
      </c>
      <c r="D10" s="160">
        <v>0.7</v>
      </c>
      <c r="H10" s="134">
        <f t="shared" ref="H10:H24" si="1">H9+$I$3</f>
        <v>0.39999999999999997</v>
      </c>
      <c r="I10" s="131">
        <v>5.7372052455466976E-2</v>
      </c>
      <c r="K10" s="181"/>
      <c r="L10" s="1">
        <f>L9+$M$3</f>
        <v>0.39999999999999997</v>
      </c>
      <c r="M10" s="145">
        <v>5.4752305383328405E-2</v>
      </c>
      <c r="N10" s="146">
        <v>5.5625554407374593E-2</v>
      </c>
      <c r="O10" s="147">
        <v>5.6498803431420781E-2</v>
      </c>
      <c r="P10" s="147">
        <v>5.7372052455466976E-2</v>
      </c>
      <c r="Q10" s="147">
        <v>5.8245301479513165E-2</v>
      </c>
      <c r="R10" s="147">
        <v>5.9118550503559353E-2</v>
      </c>
      <c r="S10" s="147">
        <v>5.9991799527605548E-2</v>
      </c>
      <c r="T10" s="147">
        <v>6.0865048551651736E-2</v>
      </c>
      <c r="U10" s="147">
        <v>6.1738297575697924E-2</v>
      </c>
      <c r="V10" s="147">
        <v>6.261154659974412E-2</v>
      </c>
      <c r="W10" s="131">
        <v>6.3484795623790308E-2</v>
      </c>
    </row>
    <row r="11" spans="1:23" x14ac:dyDescent="0.3">
      <c r="B11" s="3"/>
      <c r="C11" s="3" t="s">
        <v>34</v>
      </c>
      <c r="D11" s="159">
        <v>6.8000000000000005E-2</v>
      </c>
      <c r="H11" s="134">
        <f t="shared" si="1"/>
        <v>0.44999999999999996</v>
      </c>
      <c r="I11" s="131">
        <v>6.0341099137224019E-2</v>
      </c>
      <c r="K11" s="181"/>
      <c r="L11" s="1">
        <f t="shared" ref="L11:L23" si="2">L10+$M$3</f>
        <v>0.44999999999999996</v>
      </c>
      <c r="M11" s="145">
        <v>5.7393883681068125E-2</v>
      </c>
      <c r="N11" s="147">
        <v>5.8376288833120092E-2</v>
      </c>
      <c r="O11" s="147">
        <v>5.9358693985172059E-2</v>
      </c>
      <c r="P11" s="147">
        <v>6.0341099137224019E-2</v>
      </c>
      <c r="Q11" s="147">
        <v>6.1323504289275986E-2</v>
      </c>
      <c r="R11" s="147">
        <v>6.230590944132796E-2</v>
      </c>
      <c r="S11" s="147">
        <v>6.3288314593379913E-2</v>
      </c>
      <c r="T11" s="147">
        <v>6.4270719745431887E-2</v>
      </c>
      <c r="U11" s="147">
        <v>6.5253124897483833E-2</v>
      </c>
      <c r="V11" s="147">
        <v>6.6235530049535807E-2</v>
      </c>
      <c r="W11" s="131">
        <v>6.7217935201587767E-2</v>
      </c>
    </row>
    <row r="12" spans="1:23" x14ac:dyDescent="0.3">
      <c r="B12" s="3"/>
      <c r="C12" s="20" t="s">
        <v>35</v>
      </c>
      <c r="D12" s="164">
        <f>D9+(D10*D11)</f>
        <v>8.0699999999999994E-2</v>
      </c>
      <c r="H12" s="134">
        <f t="shared" si="1"/>
        <v>0.49999999999999994</v>
      </c>
      <c r="I12" s="131">
        <v>6.3310145818981062E-2</v>
      </c>
      <c r="K12" s="181"/>
      <c r="L12" s="1">
        <f t="shared" si="2"/>
        <v>0.49999999999999994</v>
      </c>
      <c r="M12" s="145">
        <v>6.0035461978807853E-2</v>
      </c>
      <c r="N12" s="147">
        <v>6.1127023258865591E-2</v>
      </c>
      <c r="O12" s="147">
        <v>6.221858453892333E-2</v>
      </c>
      <c r="P12" s="147">
        <v>6.3310145818981062E-2</v>
      </c>
      <c r="Q12" s="147">
        <v>6.4401707099038794E-2</v>
      </c>
      <c r="R12" s="147">
        <v>6.5493268379096539E-2</v>
      </c>
      <c r="S12" s="147">
        <v>6.6584829659154271E-2</v>
      </c>
      <c r="T12" s="147">
        <v>6.7676390939212017E-2</v>
      </c>
      <c r="U12" s="147">
        <v>6.8767952219269748E-2</v>
      </c>
      <c r="V12" s="147">
        <v>6.9859513499327494E-2</v>
      </c>
      <c r="W12" s="131">
        <v>7.0951074779385226E-2</v>
      </c>
    </row>
    <row r="13" spans="1:23" x14ac:dyDescent="0.3">
      <c r="B13" s="21"/>
      <c r="C13" s="3"/>
      <c r="D13" s="9"/>
      <c r="H13" s="134">
        <f t="shared" si="1"/>
        <v>0.54999999999999993</v>
      </c>
      <c r="I13" s="131">
        <v>6.6279192500738104E-2</v>
      </c>
      <c r="K13" s="181"/>
      <c r="L13" s="1">
        <f t="shared" si="2"/>
        <v>0.54999999999999993</v>
      </c>
      <c r="M13" s="145">
        <v>6.2677040276547566E-2</v>
      </c>
      <c r="N13" s="147">
        <v>6.3877757684611083E-2</v>
      </c>
      <c r="O13" s="147">
        <v>6.5078475092674601E-2</v>
      </c>
      <c r="P13" s="147">
        <v>6.6279192500738104E-2</v>
      </c>
      <c r="Q13" s="147">
        <v>6.7479909908801622E-2</v>
      </c>
      <c r="R13" s="147">
        <v>6.8680627316865139E-2</v>
      </c>
      <c r="S13" s="147">
        <v>6.9881344724928643E-2</v>
      </c>
      <c r="T13" s="147">
        <v>7.108206213299216E-2</v>
      </c>
      <c r="U13" s="147">
        <v>7.2282779541055664E-2</v>
      </c>
      <c r="V13" s="147">
        <v>7.3483496949119181E-2</v>
      </c>
      <c r="W13" s="131">
        <v>7.4684214357182699E-2</v>
      </c>
    </row>
    <row r="14" spans="1:23" x14ac:dyDescent="0.3">
      <c r="B14" s="8" t="s">
        <v>36</v>
      </c>
      <c r="C14" s="3"/>
      <c r="D14" s="9"/>
      <c r="E14" s="3"/>
      <c r="H14" s="134">
        <f t="shared" si="1"/>
        <v>0.6</v>
      </c>
      <c r="I14" s="131">
        <v>6.9248239182495161E-2</v>
      </c>
      <c r="K14" s="181"/>
      <c r="L14" s="1">
        <f t="shared" si="2"/>
        <v>0.6</v>
      </c>
      <c r="M14" s="145">
        <v>6.5318618574287293E-2</v>
      </c>
      <c r="N14" s="147">
        <v>6.6628492110356582E-2</v>
      </c>
      <c r="O14" s="147">
        <v>6.7938365646425872E-2</v>
      </c>
      <c r="P14" s="147">
        <v>6.9248239182495161E-2</v>
      </c>
      <c r="Q14" s="147">
        <v>7.0558112718564436E-2</v>
      </c>
      <c r="R14" s="147">
        <v>7.1867986254633726E-2</v>
      </c>
      <c r="S14" s="147">
        <v>7.3177859790703015E-2</v>
      </c>
      <c r="T14" s="147">
        <v>7.4487733326772304E-2</v>
      </c>
      <c r="U14" s="147">
        <v>7.5797606862841579E-2</v>
      </c>
      <c r="V14" s="147">
        <v>7.7107480398910869E-2</v>
      </c>
      <c r="W14" s="131">
        <v>7.8417353934980158E-2</v>
      </c>
    </row>
    <row r="15" spans="1:23" x14ac:dyDescent="0.3">
      <c r="B15" s="3"/>
      <c r="C15" s="3" t="s">
        <v>37</v>
      </c>
      <c r="D15" s="161">
        <v>1545.5</v>
      </c>
      <c r="E15" s="22">
        <f>IFERROR(D15/$D$17,"")</f>
        <v>0.12675097595381032</v>
      </c>
      <c r="H15" s="134">
        <f t="shared" si="1"/>
        <v>0.65</v>
      </c>
      <c r="I15" s="131">
        <v>7.2217285864252218E-2</v>
      </c>
      <c r="K15" s="181"/>
      <c r="L15" s="1">
        <f t="shared" si="2"/>
        <v>0.65</v>
      </c>
      <c r="M15" s="145">
        <v>6.7960196872027021E-2</v>
      </c>
      <c r="N15" s="147">
        <v>6.9379226536102095E-2</v>
      </c>
      <c r="O15" s="147">
        <v>7.0798256200177143E-2</v>
      </c>
      <c r="P15" s="147">
        <v>7.2217285864252218E-2</v>
      </c>
      <c r="Q15" s="147">
        <v>7.3636315528327265E-2</v>
      </c>
      <c r="R15" s="147">
        <v>7.5055345192402326E-2</v>
      </c>
      <c r="S15" s="147">
        <v>7.6474374856477373E-2</v>
      </c>
      <c r="T15" s="147">
        <v>7.7893404520552448E-2</v>
      </c>
      <c r="U15" s="147">
        <v>7.9312434184627495E-2</v>
      </c>
      <c r="V15" s="147">
        <v>8.073146384870257E-2</v>
      </c>
      <c r="W15" s="131">
        <v>8.2150493512777617E-2</v>
      </c>
    </row>
    <row r="16" spans="1:23" x14ac:dyDescent="0.3">
      <c r="B16" s="3"/>
      <c r="C16" s="3" t="s">
        <v>38</v>
      </c>
      <c r="D16" s="162">
        <v>10647.7</v>
      </c>
      <c r="E16" s="22">
        <f>IFERROR(D16/$D$17,"")</f>
        <v>0.87324902404618965</v>
      </c>
      <c r="H16" s="134">
        <f t="shared" si="1"/>
        <v>0.70000000000000007</v>
      </c>
      <c r="I16" s="131">
        <v>7.518633254600926E-2</v>
      </c>
      <c r="K16" s="181"/>
      <c r="L16" s="1">
        <f t="shared" si="2"/>
        <v>0.70000000000000007</v>
      </c>
      <c r="M16" s="145">
        <v>7.0601775169766762E-2</v>
      </c>
      <c r="N16" s="147">
        <v>7.2129960961847595E-2</v>
      </c>
      <c r="O16" s="147">
        <v>7.3658146753928427E-2</v>
      </c>
      <c r="P16" s="147">
        <v>7.518633254600926E-2</v>
      </c>
      <c r="Q16" s="147">
        <v>7.6714518338090093E-2</v>
      </c>
      <c r="R16" s="147">
        <v>7.8242704130170926E-2</v>
      </c>
      <c r="S16" s="147">
        <v>7.9770889922251759E-2</v>
      </c>
      <c r="T16" s="147">
        <v>8.1299075714332592E-2</v>
      </c>
      <c r="U16" s="147">
        <v>8.2827261506413424E-2</v>
      </c>
      <c r="V16" s="147">
        <v>8.4355447298494257E-2</v>
      </c>
      <c r="W16" s="131">
        <v>8.588363309057509E-2</v>
      </c>
    </row>
    <row r="17" spans="2:23" x14ac:dyDescent="0.3">
      <c r="B17" s="3"/>
      <c r="C17" s="20" t="s">
        <v>39</v>
      </c>
      <c r="D17" s="42">
        <f>SUM(D15:D16)</f>
        <v>12193.2</v>
      </c>
      <c r="E17" s="23">
        <f>SUM(E15:E16)</f>
        <v>1</v>
      </c>
      <c r="H17" s="134">
        <f t="shared" si="1"/>
        <v>0.75000000000000011</v>
      </c>
      <c r="I17" s="131">
        <v>7.8155379227766303E-2</v>
      </c>
      <c r="K17" s="181"/>
      <c r="L17" s="1">
        <f t="shared" si="2"/>
        <v>0.75000000000000011</v>
      </c>
      <c r="M17" s="145">
        <v>7.3243353467506475E-2</v>
      </c>
      <c r="N17" s="147">
        <v>7.4880695387593094E-2</v>
      </c>
      <c r="O17" s="147">
        <v>7.6518037307679698E-2</v>
      </c>
      <c r="P17" s="147">
        <v>7.8155379227766303E-2</v>
      </c>
      <c r="Q17" s="147">
        <v>7.9792721147852907E-2</v>
      </c>
      <c r="R17" s="147">
        <v>8.1430063067939512E-2</v>
      </c>
      <c r="S17" s="147">
        <v>8.3067404988026117E-2</v>
      </c>
      <c r="T17" s="147">
        <v>8.4704746908112735E-2</v>
      </c>
      <c r="U17" s="147">
        <v>8.634208882819934E-2</v>
      </c>
      <c r="V17" s="147">
        <v>8.7979430748285944E-2</v>
      </c>
      <c r="W17" s="131">
        <v>8.9616772668372563E-2</v>
      </c>
    </row>
    <row r="18" spans="2:23" x14ac:dyDescent="0.3">
      <c r="B18" s="21"/>
      <c r="C18" s="3"/>
      <c r="D18" s="9"/>
      <c r="E18" s="3"/>
      <c r="H18" s="134">
        <f t="shared" si="1"/>
        <v>0.80000000000000016</v>
      </c>
      <c r="I18" s="131">
        <v>8.1124425909523359E-2</v>
      </c>
      <c r="K18" s="181"/>
      <c r="L18" s="1">
        <f t="shared" si="2"/>
        <v>0.80000000000000016</v>
      </c>
      <c r="M18" s="145">
        <v>7.5884931765246202E-2</v>
      </c>
      <c r="N18" s="147">
        <v>7.7631429813338579E-2</v>
      </c>
      <c r="O18" s="147">
        <v>7.9377927861430969E-2</v>
      </c>
      <c r="P18" s="147">
        <v>8.1124425909523359E-2</v>
      </c>
      <c r="Q18" s="147">
        <v>8.2870923957615736E-2</v>
      </c>
      <c r="R18" s="147">
        <v>8.4617422005708126E-2</v>
      </c>
      <c r="S18" s="147">
        <v>8.6363920053800503E-2</v>
      </c>
      <c r="T18" s="147">
        <v>8.8110418101892879E-2</v>
      </c>
      <c r="U18" s="147">
        <v>8.9856916149985269E-2</v>
      </c>
      <c r="V18" s="147">
        <v>9.1603414198077646E-2</v>
      </c>
      <c r="W18" s="131">
        <v>9.3349912246170022E-2</v>
      </c>
    </row>
    <row r="19" spans="2:23" x14ac:dyDescent="0.3">
      <c r="B19" s="24"/>
      <c r="C19" s="9" t="s">
        <v>44</v>
      </c>
      <c r="D19" s="138">
        <f>IFERROR((D6*E15) + (D12*E16),"")</f>
        <v>7.5186332546009246E-2</v>
      </c>
      <c r="H19" s="134">
        <f t="shared" si="1"/>
        <v>0.8500000000000002</v>
      </c>
      <c r="I19" s="131">
        <v>8.4093472591280388E-2</v>
      </c>
      <c r="K19" s="181"/>
      <c r="L19" s="1">
        <f t="shared" si="2"/>
        <v>0.8500000000000002</v>
      </c>
      <c r="M19" s="145">
        <v>7.8526510062985944E-2</v>
      </c>
      <c r="N19" s="147">
        <v>8.0382164239084078E-2</v>
      </c>
      <c r="O19" s="147">
        <v>8.2237818415182254E-2</v>
      </c>
      <c r="P19" s="147">
        <v>8.4093472591280388E-2</v>
      </c>
      <c r="Q19" s="147">
        <v>8.5949126767378564E-2</v>
      </c>
      <c r="R19" s="147">
        <v>8.7804780943476698E-2</v>
      </c>
      <c r="S19" s="147">
        <v>8.9660435119574874E-2</v>
      </c>
      <c r="T19" s="147">
        <v>9.1516089295673009E-2</v>
      </c>
      <c r="U19" s="147">
        <v>9.3371743471771171E-2</v>
      </c>
      <c r="V19" s="147">
        <v>9.5227397647869319E-2</v>
      </c>
      <c r="W19" s="131">
        <v>9.7083051823967481E-2</v>
      </c>
    </row>
    <row r="20" spans="2:23" x14ac:dyDescent="0.3">
      <c r="H20" s="134">
        <f t="shared" si="1"/>
        <v>0.90000000000000024</v>
      </c>
      <c r="I20" s="131">
        <v>8.7062519273037445E-2</v>
      </c>
      <c r="K20" s="181"/>
      <c r="L20" s="1">
        <f t="shared" si="2"/>
        <v>0.90000000000000024</v>
      </c>
      <c r="M20" s="145">
        <v>8.1168088360725671E-2</v>
      </c>
      <c r="N20" s="147">
        <v>8.3132898664829591E-2</v>
      </c>
      <c r="O20" s="147">
        <v>8.5097708968933525E-2</v>
      </c>
      <c r="P20" s="147">
        <v>8.7062519273037445E-2</v>
      </c>
      <c r="Q20" s="147">
        <v>8.9027329577141379E-2</v>
      </c>
      <c r="R20" s="147">
        <v>9.0992139881245312E-2</v>
      </c>
      <c r="S20" s="147">
        <v>9.2956950185349232E-2</v>
      </c>
      <c r="T20" s="147">
        <v>9.4921760489453166E-2</v>
      </c>
      <c r="U20" s="147">
        <v>9.6886570793557086E-2</v>
      </c>
      <c r="V20" s="147">
        <v>9.885138109766102E-2</v>
      </c>
      <c r="W20" s="131">
        <v>0.10081619140176495</v>
      </c>
    </row>
    <row r="21" spans="2:23" x14ac:dyDescent="0.3">
      <c r="H21" s="134">
        <f t="shared" si="1"/>
        <v>0.95000000000000029</v>
      </c>
      <c r="I21" s="131">
        <v>9.0031565954794487E-2</v>
      </c>
      <c r="K21" s="181"/>
      <c r="L21" s="1">
        <f t="shared" si="2"/>
        <v>0.95000000000000029</v>
      </c>
      <c r="M21" s="145">
        <v>8.3809666658465384E-2</v>
      </c>
      <c r="N21" s="147">
        <v>8.588363309057509E-2</v>
      </c>
      <c r="O21" s="147">
        <v>8.7957599522684796E-2</v>
      </c>
      <c r="P21" s="147">
        <v>9.0031565954794487E-2</v>
      </c>
      <c r="Q21" s="147">
        <v>9.2105532386904193E-2</v>
      </c>
      <c r="R21" s="147">
        <v>9.4179498819013913E-2</v>
      </c>
      <c r="S21" s="147">
        <v>9.6253465251123604E-2</v>
      </c>
      <c r="T21" s="147">
        <v>9.832743168323331E-2</v>
      </c>
      <c r="U21" s="147">
        <v>0.100401398115343</v>
      </c>
      <c r="V21" s="147">
        <v>0.10247536454745272</v>
      </c>
      <c r="W21" s="131">
        <v>0.10454933097956241</v>
      </c>
    </row>
    <row r="22" spans="2:23" x14ac:dyDescent="0.3">
      <c r="H22" s="134">
        <f t="shared" si="1"/>
        <v>1.0000000000000002</v>
      </c>
      <c r="I22" s="131">
        <v>9.3000612636551544E-2</v>
      </c>
      <c r="K22" s="181"/>
      <c r="L22" s="1">
        <f t="shared" si="2"/>
        <v>1.0000000000000002</v>
      </c>
      <c r="M22" s="145">
        <v>8.6451244956205112E-2</v>
      </c>
      <c r="N22" s="147">
        <v>8.8634367516320589E-2</v>
      </c>
      <c r="O22" s="147">
        <v>9.0817490076436067E-2</v>
      </c>
      <c r="P22" s="147">
        <v>9.3000612636551544E-2</v>
      </c>
      <c r="Q22" s="147">
        <v>9.5183735196667021E-2</v>
      </c>
      <c r="R22" s="147">
        <v>9.7366857756782485E-2</v>
      </c>
      <c r="S22" s="147">
        <v>9.9549980316897962E-2</v>
      </c>
      <c r="T22" s="147">
        <v>0.10173310287701344</v>
      </c>
      <c r="U22" s="147">
        <v>0.10391622543712892</v>
      </c>
      <c r="V22" s="147">
        <v>0.10609934799724439</v>
      </c>
      <c r="W22" s="131">
        <v>0.10828247055735987</v>
      </c>
    </row>
    <row r="23" spans="2:23" x14ac:dyDescent="0.3">
      <c r="H23" s="134">
        <f t="shared" si="1"/>
        <v>1.0500000000000003</v>
      </c>
      <c r="I23" s="131">
        <v>9.5969659318308573E-2</v>
      </c>
      <c r="K23" s="181"/>
      <c r="L23" s="1">
        <f t="shared" si="2"/>
        <v>1.0500000000000003</v>
      </c>
      <c r="M23" s="148">
        <v>8.9092823253944839E-2</v>
      </c>
      <c r="N23" s="149">
        <v>9.1385101942066074E-2</v>
      </c>
      <c r="O23" s="149">
        <v>9.3677380630187337E-2</v>
      </c>
      <c r="P23" s="149">
        <v>9.5969659318308573E-2</v>
      </c>
      <c r="Q23" s="149">
        <v>9.8261938006429836E-2</v>
      </c>
      <c r="R23" s="149">
        <v>0.10055421669455107</v>
      </c>
      <c r="S23" s="149">
        <v>0.10284649538267233</v>
      </c>
      <c r="T23" s="149">
        <v>0.10513877407079357</v>
      </c>
      <c r="U23" s="149">
        <v>0.10743105275891483</v>
      </c>
      <c r="V23" s="149">
        <v>0.1097233314470361</v>
      </c>
      <c r="W23" s="132">
        <v>0.11201561013515733</v>
      </c>
    </row>
    <row r="24" spans="2:23" x14ac:dyDescent="0.3">
      <c r="H24" s="135">
        <f t="shared" si="1"/>
        <v>1.1000000000000003</v>
      </c>
      <c r="I24" s="132">
        <v>9.8938706000065629E-2</v>
      </c>
    </row>
  </sheetData>
  <mergeCells count="3">
    <mergeCell ref="H6:I6"/>
    <mergeCell ref="K9:K23"/>
    <mergeCell ref="M7:W7"/>
  </mergeCells>
  <conditionalFormatting sqref="H9:I24">
    <cfRule type="expression" dxfId="5" priority="2">
      <formula>H9=$D$10</formula>
    </cfRule>
  </conditionalFormatting>
  <conditionalFormatting sqref="M9:W23">
    <cfRule type="expression" dxfId="4" priority="1">
      <formula>ABS(M9-$L$8)&lt;0.00001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8741E-1A40-4FE9-B67C-7473F4BFE0F7}">
  <sheetPr>
    <tabColor theme="5" tint="0.79998168889431442"/>
  </sheetPr>
  <dimension ref="A1:J26"/>
  <sheetViews>
    <sheetView showGridLines="0" zoomScale="80" zoomScaleNormal="80" workbookViewId="0">
      <selection activeCell="O28" sqref="O28"/>
    </sheetView>
  </sheetViews>
  <sheetFormatPr defaultRowHeight="14.4" x14ac:dyDescent="0.3"/>
  <cols>
    <col min="2" max="2" width="37.6640625" bestFit="1" customWidth="1"/>
  </cols>
  <sheetData>
    <row r="1" spans="1:10" x14ac:dyDescent="0.3">
      <c r="A1" s="140" t="s">
        <v>110</v>
      </c>
      <c r="B1" s="139"/>
      <c r="C1" s="139"/>
      <c r="D1" s="157"/>
    </row>
    <row r="2" spans="1:10" x14ac:dyDescent="0.3">
      <c r="B2" s="72" t="s">
        <v>64</v>
      </c>
      <c r="C2" s="158">
        <v>365</v>
      </c>
    </row>
    <row r="3" spans="1:10" ht="15" thickBot="1" x14ac:dyDescent="0.35">
      <c r="B3" s="72"/>
      <c r="C3" s="1"/>
    </row>
    <row r="4" spans="1:10" ht="15" thickBot="1" x14ac:dyDescent="0.35">
      <c r="C4" s="184" t="s">
        <v>0</v>
      </c>
      <c r="D4" s="185"/>
      <c r="E4" s="185"/>
      <c r="F4" s="27" t="s">
        <v>1</v>
      </c>
      <c r="G4" s="28"/>
      <c r="H4" s="28"/>
      <c r="I4" s="28"/>
      <c r="J4" s="29"/>
    </row>
    <row r="5" spans="1:10" x14ac:dyDescent="0.3">
      <c r="C5" s="1">
        <v>2023</v>
      </c>
      <c r="D5" s="1">
        <v>2024</v>
      </c>
      <c r="E5" s="25">
        <v>2025</v>
      </c>
      <c r="F5" s="1">
        <f>E5+1</f>
        <v>2026</v>
      </c>
      <c r="G5" s="1">
        <f t="shared" ref="G5:J5" si="0">F5+1</f>
        <v>2027</v>
      </c>
      <c r="H5" s="1">
        <f t="shared" si="0"/>
        <v>2028</v>
      </c>
      <c r="I5" s="1">
        <f t="shared" si="0"/>
        <v>2029</v>
      </c>
      <c r="J5" s="1">
        <f t="shared" si="0"/>
        <v>2030</v>
      </c>
    </row>
    <row r="6" spans="1:10" ht="18" x14ac:dyDescent="0.35">
      <c r="A6" s="69" t="s">
        <v>63</v>
      </c>
      <c r="C6" s="1"/>
      <c r="D6" s="1"/>
      <c r="E6" s="67"/>
      <c r="F6" s="1"/>
      <c r="G6" s="1"/>
      <c r="H6" s="1"/>
      <c r="I6" s="1"/>
      <c r="J6" s="1"/>
    </row>
    <row r="7" spans="1:10" x14ac:dyDescent="0.3">
      <c r="A7" s="8" t="s">
        <v>18</v>
      </c>
      <c r="B7" s="3"/>
      <c r="E7" s="12"/>
      <c r="G7" s="13"/>
      <c r="H7" s="3"/>
      <c r="J7" s="13"/>
    </row>
    <row r="8" spans="1:10" x14ac:dyDescent="0.3">
      <c r="A8" s="3"/>
      <c r="B8" s="2" t="s">
        <v>19</v>
      </c>
      <c r="C8" s="54" t="s">
        <v>27</v>
      </c>
      <c r="D8" s="55">
        <v>0.08</v>
      </c>
      <c r="E8" s="56">
        <v>0.13</v>
      </c>
      <c r="F8" s="166">
        <v>0.04</v>
      </c>
      <c r="G8" s="167">
        <v>0.04</v>
      </c>
      <c r="H8" s="167">
        <v>0.04</v>
      </c>
      <c r="I8" s="166">
        <v>0.04</v>
      </c>
      <c r="J8" s="167">
        <v>0.04</v>
      </c>
    </row>
    <row r="9" spans="1:10" x14ac:dyDescent="0.3">
      <c r="A9" s="3"/>
      <c r="B9" s="2" t="s">
        <v>20</v>
      </c>
      <c r="C9" s="55">
        <v>0.38</v>
      </c>
      <c r="D9" s="55">
        <v>0.15</v>
      </c>
      <c r="E9" s="56">
        <v>0.33</v>
      </c>
      <c r="F9" s="166">
        <f>AVERAGE(C9:E9)</f>
        <v>0.28666666666666668</v>
      </c>
      <c r="G9" s="166">
        <f>F9</f>
        <v>0.28666666666666668</v>
      </c>
      <c r="H9" s="166">
        <f t="shared" ref="H9:J9" si="1">G9</f>
        <v>0.28666666666666668</v>
      </c>
      <c r="I9" s="166">
        <f t="shared" si="1"/>
        <v>0.28666666666666668</v>
      </c>
      <c r="J9" s="166">
        <f t="shared" si="1"/>
        <v>0.28666666666666668</v>
      </c>
    </row>
    <row r="10" spans="1:10" x14ac:dyDescent="0.3">
      <c r="A10" s="3"/>
      <c r="B10" s="2" t="s">
        <v>21</v>
      </c>
      <c r="C10" s="55">
        <v>0.15</v>
      </c>
      <c r="D10" s="55">
        <v>0.13</v>
      </c>
      <c r="E10" s="56">
        <v>0.17</v>
      </c>
      <c r="F10" s="166">
        <f>AVERAGE(C10:E10)</f>
        <v>0.15000000000000002</v>
      </c>
      <c r="G10" s="167">
        <f>F10</f>
        <v>0.15000000000000002</v>
      </c>
      <c r="H10" s="167">
        <f t="shared" ref="H10:J15" si="2">G10</f>
        <v>0.15000000000000002</v>
      </c>
      <c r="I10" s="167">
        <f t="shared" si="2"/>
        <v>0.15000000000000002</v>
      </c>
      <c r="J10" s="167">
        <f t="shared" si="2"/>
        <v>0.15000000000000002</v>
      </c>
    </row>
    <row r="11" spans="1:10" x14ac:dyDescent="0.3">
      <c r="A11" s="8" t="s">
        <v>22</v>
      </c>
      <c r="B11" s="2"/>
      <c r="C11" s="55"/>
      <c r="D11" s="55"/>
      <c r="E11" s="56"/>
      <c r="F11" s="26"/>
      <c r="G11" s="14"/>
      <c r="H11" s="14"/>
      <c r="I11" s="26"/>
      <c r="J11" s="14"/>
    </row>
    <row r="12" spans="1:10" x14ac:dyDescent="0.3">
      <c r="A12" s="3"/>
      <c r="B12" s="2" t="s">
        <v>23</v>
      </c>
      <c r="C12" s="54" t="s">
        <v>27</v>
      </c>
      <c r="D12" s="57">
        <v>0.03</v>
      </c>
      <c r="E12" s="56">
        <v>0.05</v>
      </c>
      <c r="F12" s="166">
        <f>AVERAGE(C12:E12)</f>
        <v>0.04</v>
      </c>
      <c r="G12" s="167">
        <f>F12</f>
        <v>0.04</v>
      </c>
      <c r="H12" s="167">
        <f t="shared" si="2"/>
        <v>0.04</v>
      </c>
      <c r="I12" s="167">
        <f t="shared" si="2"/>
        <v>0.04</v>
      </c>
      <c r="J12" s="167">
        <f t="shared" si="2"/>
        <v>0.04</v>
      </c>
    </row>
    <row r="13" spans="1:10" x14ac:dyDescent="0.3">
      <c r="A13" s="3"/>
      <c r="B13" s="2" t="s">
        <v>24</v>
      </c>
      <c r="C13" s="54" t="s">
        <v>27</v>
      </c>
      <c r="D13" s="57">
        <v>0.55000000000000004</v>
      </c>
      <c r="E13" s="56">
        <v>0.55000000000000004</v>
      </c>
      <c r="F13" s="166">
        <f>AVERAGE(C13:E13)</f>
        <v>0.55000000000000004</v>
      </c>
      <c r="G13" s="167">
        <f>F13</f>
        <v>0.55000000000000004</v>
      </c>
      <c r="H13" s="167">
        <f t="shared" si="2"/>
        <v>0.55000000000000004</v>
      </c>
      <c r="I13" s="167">
        <f t="shared" si="2"/>
        <v>0.55000000000000004</v>
      </c>
      <c r="J13" s="167">
        <f t="shared" si="2"/>
        <v>0.55000000000000004</v>
      </c>
    </row>
    <row r="14" spans="1:10" x14ac:dyDescent="0.3">
      <c r="A14" s="3"/>
      <c r="B14" s="2"/>
      <c r="C14" s="55"/>
      <c r="D14" s="55"/>
      <c r="E14" s="56"/>
      <c r="F14" s="15"/>
      <c r="G14" s="14"/>
      <c r="H14" s="14"/>
      <c r="I14" s="15"/>
      <c r="J14" s="14"/>
    </row>
    <row r="15" spans="1:10" x14ac:dyDescent="0.3">
      <c r="A15" s="3"/>
      <c r="B15" s="2" t="s">
        <v>25</v>
      </c>
      <c r="C15" s="58" t="s">
        <v>27</v>
      </c>
      <c r="D15" s="37">
        <v>15</v>
      </c>
      <c r="E15" s="38">
        <v>15</v>
      </c>
      <c r="F15" s="168">
        <f>E15</f>
        <v>15</v>
      </c>
      <c r="G15" s="168">
        <f>F15</f>
        <v>15</v>
      </c>
      <c r="H15" s="168">
        <f t="shared" ref="H15:J16" si="3">G15</f>
        <v>15</v>
      </c>
      <c r="I15" s="168">
        <f t="shared" si="3"/>
        <v>15</v>
      </c>
      <c r="J15" s="168">
        <f t="shared" si="3"/>
        <v>15</v>
      </c>
    </row>
    <row r="16" spans="1:10" x14ac:dyDescent="0.3">
      <c r="A16" s="3"/>
      <c r="B16" s="2" t="s">
        <v>26</v>
      </c>
      <c r="C16" s="54" t="s">
        <v>27</v>
      </c>
      <c r="D16" s="39">
        <v>7</v>
      </c>
      <c r="E16" s="40">
        <v>7</v>
      </c>
      <c r="F16" s="169">
        <f>E16</f>
        <v>7</v>
      </c>
      <c r="G16" s="169">
        <f>F16</f>
        <v>7</v>
      </c>
      <c r="H16" s="169">
        <f t="shared" si="3"/>
        <v>7</v>
      </c>
      <c r="I16" s="169">
        <f t="shared" si="3"/>
        <v>7</v>
      </c>
      <c r="J16" s="169">
        <f t="shared" si="3"/>
        <v>7</v>
      </c>
    </row>
    <row r="17" spans="1:10" x14ac:dyDescent="0.3">
      <c r="A17" s="3"/>
      <c r="B17" s="2"/>
      <c r="C17" s="54"/>
      <c r="D17" s="39"/>
      <c r="E17" s="40"/>
      <c r="F17" s="18"/>
      <c r="G17" s="18"/>
      <c r="H17" s="18"/>
      <c r="I17" s="18"/>
      <c r="J17" s="18"/>
    </row>
    <row r="18" spans="1:10" ht="18" x14ac:dyDescent="0.35">
      <c r="A18" s="70" t="s">
        <v>85</v>
      </c>
      <c r="B18" s="71"/>
      <c r="C18" s="59"/>
      <c r="D18" s="59"/>
      <c r="E18" s="60"/>
    </row>
    <row r="19" spans="1:10" x14ac:dyDescent="0.3">
      <c r="A19" s="8" t="s">
        <v>56</v>
      </c>
      <c r="C19" s="59"/>
      <c r="D19" s="59"/>
      <c r="E19" s="60"/>
    </row>
    <row r="20" spans="1:10" x14ac:dyDescent="0.3">
      <c r="B20" t="s">
        <v>57</v>
      </c>
      <c r="C20" s="63">
        <v>37.262215214183193</v>
      </c>
      <c r="D20" s="64">
        <v>32.369856608478798</v>
      </c>
      <c r="E20" s="65">
        <v>32.100326495178066</v>
      </c>
      <c r="F20" s="170">
        <f>AVERAGE(C20:E20)</f>
        <v>33.910799439280019</v>
      </c>
      <c r="G20" s="170">
        <f>F20</f>
        <v>33.910799439280019</v>
      </c>
      <c r="H20" s="170">
        <f t="shared" ref="H20:J20" si="4">G20</f>
        <v>33.910799439280019</v>
      </c>
      <c r="I20" s="170">
        <f t="shared" si="4"/>
        <v>33.910799439280019</v>
      </c>
      <c r="J20" s="170">
        <f t="shared" si="4"/>
        <v>33.910799439280019</v>
      </c>
    </row>
    <row r="21" spans="1:10" x14ac:dyDescent="0.3">
      <c r="B21" t="s">
        <v>58</v>
      </c>
      <c r="C21" s="63">
        <v>77</v>
      </c>
      <c r="D21" s="64">
        <v>65</v>
      </c>
      <c r="E21" s="65">
        <v>71</v>
      </c>
      <c r="F21" s="170">
        <f t="shared" ref="F21:F26" si="5">AVERAGE(C21:E21)</f>
        <v>71</v>
      </c>
      <c r="G21" s="170">
        <f t="shared" ref="G21:J22" si="6">F21</f>
        <v>71</v>
      </c>
      <c r="H21" s="170">
        <f t="shared" si="6"/>
        <v>71</v>
      </c>
      <c r="I21" s="170">
        <f t="shared" si="6"/>
        <v>71</v>
      </c>
      <c r="J21" s="170">
        <f t="shared" si="6"/>
        <v>71</v>
      </c>
    </row>
    <row r="22" spans="1:10" x14ac:dyDescent="0.3">
      <c r="B22" t="s">
        <v>59</v>
      </c>
      <c r="C22" s="63">
        <v>44</v>
      </c>
      <c r="D22" s="64">
        <v>55</v>
      </c>
      <c r="E22" s="65">
        <v>66</v>
      </c>
      <c r="F22" s="170">
        <f t="shared" si="5"/>
        <v>55</v>
      </c>
      <c r="G22" s="170">
        <f t="shared" si="6"/>
        <v>55</v>
      </c>
      <c r="H22" s="170">
        <f t="shared" si="6"/>
        <v>55</v>
      </c>
      <c r="I22" s="170">
        <f t="shared" si="6"/>
        <v>55</v>
      </c>
      <c r="J22" s="170">
        <f t="shared" si="6"/>
        <v>55</v>
      </c>
    </row>
    <row r="23" spans="1:10" x14ac:dyDescent="0.3">
      <c r="C23" s="61"/>
      <c r="D23" s="61"/>
      <c r="E23" s="62"/>
      <c r="F23" s="16"/>
      <c r="G23" s="16"/>
      <c r="H23" s="16"/>
      <c r="I23" s="16"/>
      <c r="J23" s="16"/>
    </row>
    <row r="24" spans="1:10" x14ac:dyDescent="0.3">
      <c r="B24" t="s">
        <v>60</v>
      </c>
      <c r="C24" s="66">
        <v>0.05</v>
      </c>
      <c r="D24" s="66">
        <v>5.5E-2</v>
      </c>
      <c r="E24" s="66">
        <v>5.0999999999999997E-2</v>
      </c>
      <c r="F24" s="170">
        <f t="shared" si="5"/>
        <v>5.1999999999999998E-2</v>
      </c>
      <c r="G24" s="171">
        <f>F24</f>
        <v>5.1999999999999998E-2</v>
      </c>
      <c r="H24" s="171">
        <f t="shared" ref="H24:J24" si="7">G24</f>
        <v>5.1999999999999998E-2</v>
      </c>
      <c r="I24" s="171">
        <f t="shared" si="7"/>
        <v>5.1999999999999998E-2</v>
      </c>
      <c r="J24" s="171">
        <f t="shared" si="7"/>
        <v>5.1999999999999998E-2</v>
      </c>
    </row>
    <row r="25" spans="1:10" x14ac:dyDescent="0.3">
      <c r="B25" s="17" t="s">
        <v>61</v>
      </c>
      <c r="C25" s="66">
        <v>0.08</v>
      </c>
      <c r="D25" s="66">
        <v>0.11</v>
      </c>
      <c r="E25" s="66">
        <v>7.0000000000000007E-2</v>
      </c>
      <c r="F25" s="170">
        <f t="shared" si="5"/>
        <v>8.666666666666667E-2</v>
      </c>
      <c r="G25" s="171">
        <f t="shared" ref="G25:J26" si="8">F25</f>
        <v>8.666666666666667E-2</v>
      </c>
      <c r="H25" s="171">
        <f t="shared" si="8"/>
        <v>8.666666666666667E-2</v>
      </c>
      <c r="I25" s="171">
        <f t="shared" si="8"/>
        <v>8.666666666666667E-2</v>
      </c>
      <c r="J25" s="171">
        <f t="shared" si="8"/>
        <v>8.666666666666667E-2</v>
      </c>
    </row>
    <row r="26" spans="1:10" x14ac:dyDescent="0.3">
      <c r="B26" t="s">
        <v>62</v>
      </c>
      <c r="C26" s="66">
        <v>0.01</v>
      </c>
      <c r="D26" s="66">
        <v>8.0000000000000002E-3</v>
      </c>
      <c r="E26" s="66">
        <v>6.5500000000000003E-3</v>
      </c>
      <c r="F26" s="170">
        <f t="shared" si="5"/>
        <v>8.1833333333333341E-3</v>
      </c>
      <c r="G26" s="171">
        <f t="shared" si="8"/>
        <v>8.1833333333333341E-3</v>
      </c>
      <c r="H26" s="171">
        <f t="shared" si="8"/>
        <v>8.1833333333333341E-3</v>
      </c>
      <c r="I26" s="171">
        <f t="shared" si="8"/>
        <v>8.1833333333333341E-3</v>
      </c>
      <c r="J26" s="171">
        <f t="shared" si="8"/>
        <v>8.1833333333333341E-3</v>
      </c>
    </row>
  </sheetData>
  <mergeCells count="1">
    <mergeCell ref="C4:E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6619B-3B56-4734-B3BD-6C7F880696D7}">
  <sheetPr>
    <tabColor rgb="FF0070C0"/>
  </sheetPr>
  <dimension ref="A1:J22"/>
  <sheetViews>
    <sheetView showGridLines="0" workbookViewId="0">
      <selection activeCell="J22" sqref="J22"/>
    </sheetView>
  </sheetViews>
  <sheetFormatPr defaultRowHeight="14.4" x14ac:dyDescent="0.3"/>
  <cols>
    <col min="2" max="2" width="37.6640625" bestFit="1" customWidth="1"/>
    <col min="3" max="4" width="9.44140625" style="1" bestFit="1" customWidth="1"/>
    <col min="5" max="5" width="8.88671875" style="1"/>
    <col min="6" max="6" width="9.44140625" style="1" bestFit="1" customWidth="1"/>
    <col min="7" max="7" width="8.88671875" style="1"/>
    <col min="8" max="8" width="9.77734375" style="1" bestFit="1" customWidth="1"/>
    <col min="9" max="9" width="10.44140625" style="1" bestFit="1" customWidth="1"/>
    <col min="10" max="10" width="9.44140625" style="1" bestFit="1" customWidth="1"/>
  </cols>
  <sheetData>
    <row r="1" spans="1:10" x14ac:dyDescent="0.3">
      <c r="A1" s="140" t="s">
        <v>110</v>
      </c>
      <c r="B1" s="139"/>
      <c r="C1" s="139"/>
    </row>
    <row r="2" spans="1:10" ht="15" thickBot="1" x14ac:dyDescent="0.35">
      <c r="A2" s="172"/>
      <c r="B2" s="157"/>
      <c r="C2" s="157"/>
    </row>
    <row r="3" spans="1:10" ht="15" thickBot="1" x14ac:dyDescent="0.35">
      <c r="C3" s="184" t="s">
        <v>0</v>
      </c>
      <c r="D3" s="185"/>
      <c r="E3" s="185"/>
      <c r="F3" s="184" t="s">
        <v>1</v>
      </c>
      <c r="G3" s="185"/>
      <c r="H3" s="185"/>
      <c r="I3" s="185"/>
      <c r="J3" s="186"/>
    </row>
    <row r="4" spans="1:10" x14ac:dyDescent="0.3">
      <c r="C4" s="10">
        <f>DCF!C4</f>
        <v>2023</v>
      </c>
      <c r="D4" s="73">
        <f>DCF!D4</f>
        <v>2024</v>
      </c>
      <c r="E4" s="74">
        <f>DCF!E4</f>
        <v>2025</v>
      </c>
      <c r="F4" s="73">
        <f>DCF!F4</f>
        <v>2026</v>
      </c>
      <c r="G4" s="73">
        <f>DCF!G4</f>
        <v>2027</v>
      </c>
      <c r="H4" s="73">
        <f>DCF!H4</f>
        <v>2028</v>
      </c>
      <c r="I4" s="73">
        <f>DCF!I4</f>
        <v>2029</v>
      </c>
      <c r="J4" s="73">
        <f>DCF!J4</f>
        <v>2030</v>
      </c>
    </row>
    <row r="5" spans="1:10" x14ac:dyDescent="0.3">
      <c r="A5" s="3"/>
      <c r="B5" s="3"/>
      <c r="C5" s="75"/>
      <c r="D5" s="9"/>
      <c r="E5" s="76"/>
      <c r="F5" s="9"/>
      <c r="G5" s="9"/>
      <c r="H5" s="9"/>
      <c r="I5" s="9"/>
      <c r="J5" s="9"/>
    </row>
    <row r="6" spans="1:10" x14ac:dyDescent="0.3">
      <c r="A6" s="18" t="s">
        <v>3</v>
      </c>
      <c r="B6" s="50"/>
      <c r="C6" s="77">
        <f>DCF!C5</f>
        <v>4946.7</v>
      </c>
      <c r="D6" s="77">
        <f>DCF!D5</f>
        <v>5342.4360000000006</v>
      </c>
      <c r="E6" s="78">
        <f>DCF!E5</f>
        <v>6036.9526800000003</v>
      </c>
      <c r="F6" s="42">
        <f>DCF!F5</f>
        <v>6278.4307872000009</v>
      </c>
      <c r="G6" s="42">
        <f>DCF!G5</f>
        <v>6529.5680186880008</v>
      </c>
      <c r="H6" s="42">
        <f>DCF!H5</f>
        <v>6790.7507394355207</v>
      </c>
      <c r="I6" s="42">
        <f>DCF!I5</f>
        <v>7062.3807690129415</v>
      </c>
      <c r="J6" s="42">
        <f>DCF!J5</f>
        <v>7344.8759997734596</v>
      </c>
    </row>
    <row r="7" spans="1:10" x14ac:dyDescent="0.3">
      <c r="A7" s="51" t="s">
        <v>4</v>
      </c>
      <c r="B7" s="52"/>
      <c r="C7" s="79">
        <f>DCF!C6</f>
        <v>3192.1</v>
      </c>
      <c r="D7" s="79">
        <f>DCF!D6</f>
        <v>801.36540000000002</v>
      </c>
      <c r="E7" s="80">
        <f>DCF!E6</f>
        <v>1992.1943844000002</v>
      </c>
      <c r="F7" s="43">
        <f>DCF!F6</f>
        <v>1799.8168256640004</v>
      </c>
      <c r="G7" s="43">
        <f>DCF!G6</f>
        <v>1871.8094986905603</v>
      </c>
      <c r="H7" s="43">
        <f>DCF!H6</f>
        <v>1946.6818786381828</v>
      </c>
      <c r="I7" s="43">
        <f>DCF!I6</f>
        <v>2024.5491537837099</v>
      </c>
      <c r="J7" s="43">
        <f>DCF!J6</f>
        <v>2105.5311199350585</v>
      </c>
    </row>
    <row r="8" spans="1:10" x14ac:dyDescent="0.3">
      <c r="A8" s="3"/>
      <c r="B8" s="3"/>
      <c r="C8" s="9"/>
      <c r="D8" s="9"/>
      <c r="E8" s="81"/>
      <c r="F8" s="9"/>
      <c r="G8" s="9"/>
      <c r="H8" s="9"/>
      <c r="I8" s="9"/>
      <c r="J8" s="9"/>
    </row>
    <row r="9" spans="1:10" x14ac:dyDescent="0.3">
      <c r="A9" s="50"/>
      <c r="B9" s="17" t="s">
        <v>47</v>
      </c>
      <c r="C9" s="77">
        <f>(C6*Assumptions!C20)/Number_of_days_in_period</f>
        <v>505</v>
      </c>
      <c r="D9" s="77">
        <f>(D6*Assumptions!D20)/Number_of_days_in_period</f>
        <v>473.79147194513712</v>
      </c>
      <c r="E9" s="78">
        <f>(E6*Assumptions!E20)/Number_of_days_in_period</f>
        <v>530.92644401079519</v>
      </c>
      <c r="F9" s="42">
        <f>(F6*Assumptions!F20)/Number_of_days_in_period</f>
        <v>583.30577320038412</v>
      </c>
      <c r="G9" s="42">
        <f>(G6*Assumptions!G20)/Number_of_days_in_period</f>
        <v>606.63800412839942</v>
      </c>
      <c r="H9" s="42">
        <f>(H6*Assumptions!H20)/Number_of_days_in_period</f>
        <v>630.90352429353538</v>
      </c>
      <c r="I9" s="42">
        <f>(I6*Assumptions!I20)/Number_of_days_in_period</f>
        <v>656.1396652652769</v>
      </c>
      <c r="J9" s="42">
        <f>(J6*Assumptions!J20)/Number_of_days_in_period</f>
        <v>682.38525187588789</v>
      </c>
    </row>
    <row r="10" spans="1:10" x14ac:dyDescent="0.3">
      <c r="A10" s="52"/>
      <c r="B10" s="17" t="s">
        <v>48</v>
      </c>
      <c r="C10" s="79">
        <f>(C7*Assumptions!C21)/Number_of_days_in_period</f>
        <v>673.40191780821908</v>
      </c>
      <c r="D10" s="79">
        <f>(D7*Assumptions!D21)/Number_of_days_in_period</f>
        <v>142.70890684931507</v>
      </c>
      <c r="E10" s="80">
        <f>(E7*Assumptions!E21)/Number_of_days_in_period</f>
        <v>387.52274326684937</v>
      </c>
      <c r="F10" s="82">
        <f>(F7*Assumptions!F21)/Number_of_days_in_period</f>
        <v>350.10135512916167</v>
      </c>
      <c r="G10" s="82">
        <f>(G7*Assumptions!G21)/Number_of_days_in_period</f>
        <v>364.10540933432816</v>
      </c>
      <c r="H10" s="82">
        <f>(H7*Assumptions!H21)/Number_of_days_in_period</f>
        <v>378.6696257077013</v>
      </c>
      <c r="I10" s="82">
        <f>(I7*Assumptions!I21)/Number_of_days_in_period</f>
        <v>393.81641073600935</v>
      </c>
      <c r="J10" s="82">
        <f>(J7*Assumptions!J21)/Number_of_days_in_period</f>
        <v>409.56906716544972</v>
      </c>
    </row>
    <row r="11" spans="1:10" x14ac:dyDescent="0.3">
      <c r="A11" s="52"/>
      <c r="B11" s="17" t="s">
        <v>49</v>
      </c>
      <c r="C11" s="79">
        <f>C6*Assumptions!C24</f>
        <v>247.33500000000001</v>
      </c>
      <c r="D11" s="79">
        <f>D6*Assumptions!D24</f>
        <v>293.83398000000005</v>
      </c>
      <c r="E11" s="80">
        <f>E6*Assumptions!E24</f>
        <v>307.88458667999998</v>
      </c>
      <c r="F11" s="43">
        <f>F6*Assumptions!F24</f>
        <v>326.47840093440004</v>
      </c>
      <c r="G11" s="43">
        <f>G6*Assumptions!G24</f>
        <v>339.53753697177603</v>
      </c>
      <c r="H11" s="43">
        <f>H6*Assumptions!H24</f>
        <v>353.11903845064705</v>
      </c>
      <c r="I11" s="43">
        <f>I6*Assumptions!I24</f>
        <v>367.24379998867295</v>
      </c>
      <c r="J11" s="43">
        <f>J6*Assumptions!J24</f>
        <v>381.9335519882199</v>
      </c>
    </row>
    <row r="12" spans="1:10" x14ac:dyDescent="0.3">
      <c r="B12" s="53" t="s">
        <v>50</v>
      </c>
      <c r="C12" s="83">
        <f t="shared" ref="C12:E12" si="0">SUM(C9:C11)</f>
        <v>1425.736917808219</v>
      </c>
      <c r="D12" s="83">
        <f t="shared" si="0"/>
        <v>910.33435879445233</v>
      </c>
      <c r="E12" s="84">
        <f t="shared" si="0"/>
        <v>1226.3337739576446</v>
      </c>
      <c r="F12" s="83">
        <f>SUM(F9:F11)</f>
        <v>1259.885529263946</v>
      </c>
      <c r="G12" s="83">
        <f t="shared" ref="G12:J12" si="1">SUM(G9:G11)</f>
        <v>1310.2809504345037</v>
      </c>
      <c r="H12" s="83">
        <f t="shared" si="1"/>
        <v>1362.6921884518838</v>
      </c>
      <c r="I12" s="83">
        <f t="shared" si="1"/>
        <v>1417.1998759899591</v>
      </c>
      <c r="J12" s="83">
        <f t="shared" si="1"/>
        <v>1473.8878710295576</v>
      </c>
    </row>
    <row r="13" spans="1:10" x14ac:dyDescent="0.3">
      <c r="B13" s="3"/>
      <c r="E13" s="67"/>
    </row>
    <row r="14" spans="1:10" x14ac:dyDescent="0.3">
      <c r="B14" s="17" t="s">
        <v>51</v>
      </c>
      <c r="C14" s="77">
        <f>(C7*Assumptions!C22)/Number_of_days_in_period</f>
        <v>384.80109589041092</v>
      </c>
      <c r="D14" s="77">
        <f>(D7*Assumptions!D22)/Number_of_days_in_period</f>
        <v>120.75369041095891</v>
      </c>
      <c r="E14" s="78">
        <f>(E7*Assumptions!E22)/Number_of_days_in_period</f>
        <v>360.23240923397265</v>
      </c>
      <c r="F14" s="42">
        <f>(F7*Assumptions!F22)/Number_of_days_in_period</f>
        <v>271.20527510005485</v>
      </c>
      <c r="G14" s="42">
        <f>(G7*Assumptions!G22)/Number_of_days_in_period</f>
        <v>282.05348610405701</v>
      </c>
      <c r="H14" s="42">
        <f>(H7*Assumptions!H22)/Number_of_days_in_period</f>
        <v>293.33562554821935</v>
      </c>
      <c r="I14" s="42">
        <f>(I7*Assumptions!I22)/Number_of_days_in_period</f>
        <v>305.06905057014808</v>
      </c>
      <c r="J14" s="42">
        <f>(J7*Assumptions!J22)/Number_of_days_in_period</f>
        <v>317.27181259295401</v>
      </c>
    </row>
    <row r="15" spans="1:10" x14ac:dyDescent="0.3">
      <c r="A15" s="52"/>
      <c r="B15" s="17" t="s">
        <v>52</v>
      </c>
      <c r="C15" s="79">
        <f>C6*Assumptions!C25</f>
        <v>395.73599999999999</v>
      </c>
      <c r="D15" s="79">
        <f>D6*Assumptions!D25</f>
        <v>587.66796000000011</v>
      </c>
      <c r="E15" s="80">
        <f>E6*Assumptions!E25</f>
        <v>422.58668760000006</v>
      </c>
      <c r="F15" s="82">
        <f>F6*Assumptions!F25</f>
        <v>544.13066822400015</v>
      </c>
      <c r="G15" s="82">
        <f>G6*Assumptions!G25</f>
        <v>565.89589495296013</v>
      </c>
      <c r="H15" s="82">
        <f>H6*Assumptions!H25</f>
        <v>588.5317307510785</v>
      </c>
      <c r="I15" s="82">
        <f>I6*Assumptions!I25</f>
        <v>612.0729999811216</v>
      </c>
      <c r="J15" s="82">
        <f>J6*Assumptions!J25</f>
        <v>636.55591998036653</v>
      </c>
    </row>
    <row r="16" spans="1:10" x14ac:dyDescent="0.3">
      <c r="B16" s="17" t="s">
        <v>53</v>
      </c>
      <c r="C16" s="79">
        <f>C6*Assumptions!C26</f>
        <v>49.466999999999999</v>
      </c>
      <c r="D16" s="79">
        <f>D6*Assumptions!D26</f>
        <v>42.739488000000009</v>
      </c>
      <c r="E16" s="80">
        <f>E6*Assumptions!E26</f>
        <v>39.542040054000005</v>
      </c>
      <c r="F16" s="43">
        <f>F6*Assumptions!F26</f>
        <v>51.378491941920011</v>
      </c>
      <c r="G16" s="43">
        <f>G6*Assumptions!G26</f>
        <v>53.43363161959681</v>
      </c>
      <c r="H16" s="43">
        <f>H6*Assumptions!H26</f>
        <v>55.570976884380684</v>
      </c>
      <c r="I16" s="43">
        <f>I6*Assumptions!I26</f>
        <v>57.793815959755911</v>
      </c>
      <c r="J16" s="43">
        <f>J6*Assumptions!J26</f>
        <v>60.105568598146149</v>
      </c>
    </row>
    <row r="17" spans="1:10" x14ac:dyDescent="0.3">
      <c r="B17" s="53" t="s">
        <v>54</v>
      </c>
      <c r="C17" s="83">
        <f>SUM(C14:C16)</f>
        <v>830.00409589041089</v>
      </c>
      <c r="D17" s="83">
        <f t="shared" ref="D17" si="2">SUM(D14:D16)</f>
        <v>751.1611384109591</v>
      </c>
      <c r="E17" s="84">
        <f t="shared" ref="E17" si="3">SUM(E14:E16)</f>
        <v>822.36113688797275</v>
      </c>
      <c r="F17" s="83">
        <f t="shared" ref="F17:J17" si="4">SUM(F14:F16)</f>
        <v>866.71443526597511</v>
      </c>
      <c r="G17" s="83">
        <f t="shared" si="4"/>
        <v>901.38301267661393</v>
      </c>
      <c r="H17" s="83">
        <f t="shared" si="4"/>
        <v>937.43833318367854</v>
      </c>
      <c r="I17" s="83">
        <f t="shared" si="4"/>
        <v>974.93586651102555</v>
      </c>
      <c r="J17" s="83">
        <f t="shared" si="4"/>
        <v>1013.9333011714667</v>
      </c>
    </row>
    <row r="18" spans="1:10" x14ac:dyDescent="0.3">
      <c r="E18" s="67"/>
    </row>
    <row r="19" spans="1:10" x14ac:dyDescent="0.3">
      <c r="A19" t="s">
        <v>55</v>
      </c>
      <c r="C19" s="42">
        <f>C12-C17</f>
        <v>595.73282191780811</v>
      </c>
      <c r="D19" s="42">
        <f t="shared" ref="D19:E19" si="5">D12-D17</f>
        <v>159.17322038349323</v>
      </c>
      <c r="E19" s="85">
        <f t="shared" si="5"/>
        <v>403.9726370696718</v>
      </c>
      <c r="F19" s="42">
        <f t="shared" ref="F19:J19" si="6">F12-F17</f>
        <v>393.17109399797084</v>
      </c>
      <c r="G19" s="42">
        <f t="shared" si="6"/>
        <v>408.89793775788974</v>
      </c>
      <c r="H19" s="42">
        <f t="shared" si="6"/>
        <v>425.25385526820526</v>
      </c>
      <c r="I19" s="42">
        <f t="shared" si="6"/>
        <v>442.26400947893353</v>
      </c>
      <c r="J19" s="42">
        <f t="shared" si="6"/>
        <v>459.95456985809085</v>
      </c>
    </row>
    <row r="20" spans="1:10" x14ac:dyDescent="0.3">
      <c r="E20" s="67"/>
    </row>
    <row r="21" spans="1:10" x14ac:dyDescent="0.3">
      <c r="A21" s="24" t="s">
        <v>65</v>
      </c>
      <c r="B21" s="24"/>
      <c r="C21" s="86"/>
      <c r="D21" s="86">
        <f t="shared" ref="D21:E21" si="7">D19-C19</f>
        <v>-436.55960153431488</v>
      </c>
      <c r="E21" s="87">
        <f t="shared" si="7"/>
        <v>244.79941668617857</v>
      </c>
      <c r="F21" s="86">
        <f t="shared" ref="F21:J21" si="8">F19-E19</f>
        <v>-10.801543071700962</v>
      </c>
      <c r="G21" s="86">
        <f t="shared" si="8"/>
        <v>15.726843759918893</v>
      </c>
      <c r="H21" s="86">
        <f t="shared" si="8"/>
        <v>16.355917510315521</v>
      </c>
      <c r="I21" s="86">
        <f t="shared" si="8"/>
        <v>17.010154210728274</v>
      </c>
      <c r="J21" s="86">
        <f t="shared" si="8"/>
        <v>17.690560379157318</v>
      </c>
    </row>
    <row r="22" spans="1:10" x14ac:dyDescent="0.3">
      <c r="E22" s="67"/>
    </row>
  </sheetData>
  <mergeCells count="2">
    <mergeCell ref="C3:E3"/>
    <mergeCell ref="F3:J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2AE72-554E-452F-B66E-C0E37F7AC504}">
  <sheetPr>
    <tabColor rgb="FF92D050"/>
  </sheetPr>
  <dimension ref="A1:Q50"/>
  <sheetViews>
    <sheetView showGridLines="0" zoomScale="80" zoomScaleNormal="80" workbookViewId="0">
      <selection activeCell="H36" sqref="H36"/>
    </sheetView>
  </sheetViews>
  <sheetFormatPr defaultRowHeight="14.4" x14ac:dyDescent="0.3"/>
  <cols>
    <col min="1" max="1" width="24.44140625" customWidth="1"/>
    <col min="2" max="2" width="31" bestFit="1" customWidth="1"/>
    <col min="3" max="3" width="11.44140625" style="1" bestFit="1" customWidth="1"/>
    <col min="4" max="4" width="8.88671875" style="1"/>
    <col min="5" max="8" width="10.6640625" style="1" customWidth="1"/>
    <col min="9" max="9" width="10" style="1" bestFit="1" customWidth="1"/>
    <col min="10" max="10" width="12" style="1" bestFit="1" customWidth="1"/>
    <col min="11" max="12" width="10" style="1" bestFit="1" customWidth="1"/>
    <col min="13" max="14" width="8.88671875" style="1"/>
  </cols>
  <sheetData>
    <row r="1" spans="1:11" x14ac:dyDescent="0.3">
      <c r="A1" s="140" t="s">
        <v>110</v>
      </c>
      <c r="B1" s="139"/>
      <c r="C1" s="139"/>
      <c r="G1" s="177" t="s">
        <v>87</v>
      </c>
      <c r="H1" s="158">
        <f>Assumptions!J5-Assumptions!E5</f>
        <v>5</v>
      </c>
    </row>
    <row r="2" spans="1:11" ht="15" thickBot="1" x14ac:dyDescent="0.35">
      <c r="A2" t="s">
        <v>43</v>
      </c>
    </row>
    <row r="3" spans="1:11" ht="15" thickBot="1" x14ac:dyDescent="0.35">
      <c r="C3" s="184" t="s">
        <v>0</v>
      </c>
      <c r="D3" s="185"/>
      <c r="E3" s="185"/>
      <c r="F3" s="184" t="s">
        <v>1</v>
      </c>
      <c r="G3" s="185"/>
      <c r="H3" s="185"/>
      <c r="I3" s="185"/>
      <c r="J3" s="186"/>
    </row>
    <row r="4" spans="1:11" x14ac:dyDescent="0.3">
      <c r="C4" s="1">
        <f>Assumptions!C5</f>
        <v>2023</v>
      </c>
      <c r="D4" s="1">
        <f>Assumptions!D5</f>
        <v>2024</v>
      </c>
      <c r="E4" s="25">
        <f>Assumptions!E5</f>
        <v>2025</v>
      </c>
      <c r="F4" s="1">
        <f>Assumptions!F5</f>
        <v>2026</v>
      </c>
      <c r="G4" s="1">
        <f>Assumptions!G5</f>
        <v>2027</v>
      </c>
      <c r="H4" s="1">
        <f>Assumptions!H5</f>
        <v>2028</v>
      </c>
      <c r="I4" s="1">
        <f>Assumptions!I5</f>
        <v>2029</v>
      </c>
      <c r="J4" s="1">
        <f>Assumptions!J5</f>
        <v>2030</v>
      </c>
      <c r="K4" s="1" t="s">
        <v>2</v>
      </c>
    </row>
    <row r="5" spans="1:11" x14ac:dyDescent="0.3">
      <c r="A5" s="2" t="s">
        <v>3</v>
      </c>
      <c r="C5" s="37">
        <v>4946.7</v>
      </c>
      <c r="D5" s="37">
        <f>C5*(1+Assumptions!D8)</f>
        <v>5342.4360000000006</v>
      </c>
      <c r="E5" s="38">
        <f>D5*(1+Assumptions!E8)</f>
        <v>6036.9526800000003</v>
      </c>
      <c r="F5" s="42">
        <f>E5*(1+Assumptions!F8)</f>
        <v>6278.4307872000009</v>
      </c>
      <c r="G5" s="42">
        <f>F5*(1+Assumptions!G8)</f>
        <v>6529.5680186880008</v>
      </c>
      <c r="H5" s="42">
        <f>G5*(1+Assumptions!H8)</f>
        <v>6790.7507394355207</v>
      </c>
      <c r="I5" s="42">
        <f>H5*(1+Assumptions!I8)</f>
        <v>7062.3807690129415</v>
      </c>
      <c r="J5" s="42">
        <f>I5*(1+Assumptions!J8)</f>
        <v>7344.8759997734596</v>
      </c>
      <c r="K5" s="48">
        <f>IFERROR(RATE($J$4-$E$4,,-E5,J5),"")</f>
        <v>4.0000000000177741E-2</v>
      </c>
    </row>
    <row r="6" spans="1:11" x14ac:dyDescent="0.3">
      <c r="A6" s="2" t="s">
        <v>6</v>
      </c>
      <c r="C6" s="39">
        <v>3192.1</v>
      </c>
      <c r="D6" s="39">
        <f>D5*Assumptions!D9</f>
        <v>801.36540000000002</v>
      </c>
      <c r="E6" s="40">
        <f>E5*Assumptions!E9</f>
        <v>1992.1943844000002</v>
      </c>
      <c r="F6" s="43">
        <f>F5*Assumptions!F9</f>
        <v>1799.8168256640004</v>
      </c>
      <c r="G6" s="43">
        <f>G5*Assumptions!G9</f>
        <v>1871.8094986905603</v>
      </c>
      <c r="H6" s="43">
        <f>H5*Assumptions!H9</f>
        <v>1946.6818786381828</v>
      </c>
      <c r="I6" s="43">
        <f>I5*Assumptions!I9</f>
        <v>2024.5491537837099</v>
      </c>
      <c r="J6" s="43">
        <f>J5*Assumptions!J9</f>
        <v>2105.5311199350585</v>
      </c>
    </row>
    <row r="7" spans="1:11" x14ac:dyDescent="0.3">
      <c r="A7" s="2" t="s">
        <v>5</v>
      </c>
      <c r="B7" s="3"/>
      <c r="C7" s="30">
        <f>C5-C6</f>
        <v>1754.6</v>
      </c>
      <c r="D7" s="30">
        <f t="shared" ref="D7" si="0">D5-D6</f>
        <v>4541.0706000000009</v>
      </c>
      <c r="E7" s="31">
        <f t="shared" ref="E7" si="1">E5-E6</f>
        <v>4044.7582956000001</v>
      </c>
      <c r="F7" s="44">
        <f t="shared" ref="F7:J7" si="2">F5-F6</f>
        <v>4478.6139615360007</v>
      </c>
      <c r="G7" s="44">
        <f t="shared" si="2"/>
        <v>4657.7585199974401</v>
      </c>
      <c r="H7" s="44">
        <f t="shared" si="2"/>
        <v>4844.0688607973379</v>
      </c>
      <c r="I7" s="44">
        <f t="shared" si="2"/>
        <v>5037.8316152292318</v>
      </c>
      <c r="J7" s="44">
        <f t="shared" si="2"/>
        <v>5239.3448798384015</v>
      </c>
      <c r="K7" s="48">
        <f>IFERROR(RATE($J$4-$E$4,,-E7,J7),"")</f>
        <v>5.3117628137378768E-2</v>
      </c>
    </row>
    <row r="8" spans="1:11" x14ac:dyDescent="0.3">
      <c r="A8" s="3"/>
      <c r="B8" s="3"/>
      <c r="C8" s="18"/>
      <c r="D8" s="18"/>
      <c r="E8" s="19"/>
      <c r="F8" s="43"/>
      <c r="G8" s="43"/>
      <c r="H8" s="43"/>
      <c r="I8" s="43"/>
      <c r="J8" s="43"/>
    </row>
    <row r="9" spans="1:11" x14ac:dyDescent="0.3">
      <c r="A9" s="2" t="s">
        <v>7</v>
      </c>
      <c r="B9" s="2"/>
      <c r="C9" s="39">
        <f>C5*Assumptions!C10</f>
        <v>742.005</v>
      </c>
      <c r="D9" s="39">
        <f>D5*Assumptions!D10</f>
        <v>694.51668000000006</v>
      </c>
      <c r="E9" s="40">
        <f>E5*Assumptions!E10</f>
        <v>1026.2819556000002</v>
      </c>
      <c r="F9" s="43">
        <f>F5*Assumptions!F10</f>
        <v>941.76461808000022</v>
      </c>
      <c r="G9" s="43">
        <f>G5*Assumptions!G10</f>
        <v>979.43520280320024</v>
      </c>
      <c r="H9" s="43">
        <f>H5*Assumptions!H10</f>
        <v>1018.6126109153282</v>
      </c>
      <c r="I9" s="43">
        <f>I5*Assumptions!I10</f>
        <v>1059.3571153519413</v>
      </c>
      <c r="J9" s="43">
        <f>J5*Assumptions!J10</f>
        <v>1101.7313999660191</v>
      </c>
    </row>
    <row r="10" spans="1:11" x14ac:dyDescent="0.3">
      <c r="A10" s="2" t="s">
        <v>8</v>
      </c>
      <c r="B10" s="2"/>
      <c r="C10" s="30">
        <f>C7-C9</f>
        <v>1012.5949999999999</v>
      </c>
      <c r="D10" s="30">
        <f t="shared" ref="D10" si="3">D7-D9</f>
        <v>3846.5539200000007</v>
      </c>
      <c r="E10" s="31">
        <f t="shared" ref="E10" si="4">E7-E9</f>
        <v>3018.4763400000002</v>
      </c>
      <c r="F10" s="44">
        <f t="shared" ref="F10:J10" si="5">F7-F9</f>
        <v>3536.8493434560005</v>
      </c>
      <c r="G10" s="44">
        <f t="shared" si="5"/>
        <v>3678.3233171942397</v>
      </c>
      <c r="H10" s="44">
        <f t="shared" si="5"/>
        <v>3825.4562498820096</v>
      </c>
      <c r="I10" s="44">
        <f t="shared" si="5"/>
        <v>3978.4744998772903</v>
      </c>
      <c r="J10" s="44">
        <f t="shared" si="5"/>
        <v>4137.6134798723824</v>
      </c>
      <c r="K10" s="48">
        <f>IFERROR(RATE($J$4-$E$4,,-E10,J10),"")</f>
        <v>6.5105012214398655E-2</v>
      </c>
    </row>
    <row r="11" spans="1:11" x14ac:dyDescent="0.3">
      <c r="A11" s="4"/>
      <c r="B11" s="5" t="s">
        <v>9</v>
      </c>
      <c r="C11" s="32">
        <f>IFERROR(C10/C5,"")</f>
        <v>0.20470111387389572</v>
      </c>
      <c r="D11" s="32">
        <f t="shared" ref="D11" si="6">IFERROR(D10/D5,"")</f>
        <v>0.72000000000000008</v>
      </c>
      <c r="E11" s="33">
        <f t="shared" ref="E11" si="7">IFERROR(E10/E5,"")</f>
        <v>0.5</v>
      </c>
      <c r="F11" s="45">
        <f t="shared" ref="F11:J11" si="8">IFERROR(F10/F5,"")</f>
        <v>0.56333333333333335</v>
      </c>
      <c r="G11" s="46">
        <f t="shared" si="8"/>
        <v>0.56333333333333324</v>
      </c>
      <c r="H11" s="46">
        <f t="shared" si="8"/>
        <v>0.56333333333333324</v>
      </c>
      <c r="I11" s="46">
        <f t="shared" si="8"/>
        <v>0.56333333333333335</v>
      </c>
      <c r="J11" s="46">
        <f t="shared" si="8"/>
        <v>0.56333333333333335</v>
      </c>
    </row>
    <row r="12" spans="1:11" x14ac:dyDescent="0.3">
      <c r="A12" s="3"/>
      <c r="B12" s="3"/>
      <c r="C12" s="18"/>
      <c r="D12" s="18"/>
      <c r="E12" s="19"/>
      <c r="F12" s="43"/>
      <c r="G12" s="43"/>
      <c r="H12" s="43"/>
      <c r="I12" s="43"/>
      <c r="J12" s="43"/>
    </row>
    <row r="13" spans="1:11" x14ac:dyDescent="0.3">
      <c r="A13" s="2" t="s">
        <v>10</v>
      </c>
      <c r="B13" s="2"/>
      <c r="C13" s="39">
        <v>199.3</v>
      </c>
      <c r="D13" s="39">
        <f>D20*Assumptions!D13</f>
        <v>88.150194000000013</v>
      </c>
      <c r="E13" s="40">
        <f>E20*Assumptions!E13</f>
        <v>166.01619870000002</v>
      </c>
      <c r="F13" s="43">
        <f>F20*Assumptions!F13</f>
        <v>138.12547731840002</v>
      </c>
      <c r="G13" s="43">
        <f>G20*Assumptions!G13</f>
        <v>143.65049641113603</v>
      </c>
      <c r="H13" s="43">
        <f>H20*Assumptions!H13</f>
        <v>149.39651626758146</v>
      </c>
      <c r="I13" s="43">
        <f>I20*Assumptions!I13</f>
        <v>155.37237691828471</v>
      </c>
      <c r="J13" s="43">
        <f>J20*Assumptions!J13</f>
        <v>161.58727199501612</v>
      </c>
    </row>
    <row r="14" spans="1:11" x14ac:dyDescent="0.3">
      <c r="A14" s="2" t="s">
        <v>11</v>
      </c>
      <c r="B14" s="2"/>
      <c r="C14" s="39">
        <v>3</v>
      </c>
      <c r="D14" s="39">
        <f>Assumptions!D16</f>
        <v>7</v>
      </c>
      <c r="E14" s="40">
        <f>Assumptions!E16</f>
        <v>7</v>
      </c>
      <c r="F14" s="43">
        <f>Assumptions!F16</f>
        <v>7</v>
      </c>
      <c r="G14" s="43">
        <f>Assumptions!G16</f>
        <v>7</v>
      </c>
      <c r="H14" s="43">
        <f>Assumptions!H16</f>
        <v>7</v>
      </c>
      <c r="I14" s="43">
        <f>Assumptions!I16</f>
        <v>7</v>
      </c>
      <c r="J14" s="43">
        <f>Assumptions!J16</f>
        <v>7</v>
      </c>
    </row>
    <row r="15" spans="1:11" x14ac:dyDescent="0.3">
      <c r="A15" s="2" t="s">
        <v>12</v>
      </c>
      <c r="B15" s="2"/>
      <c r="C15" s="30">
        <f>C10-SUM(C13:C14)</f>
        <v>810.29499999999985</v>
      </c>
      <c r="D15" s="30">
        <f t="shared" ref="D15" si="9">D10-SUM(D13:D14)</f>
        <v>3751.4037260000009</v>
      </c>
      <c r="E15" s="31">
        <f t="shared" ref="E15" si="10">E10-SUM(E13:E14)</f>
        <v>2845.4601413</v>
      </c>
      <c r="F15" s="44">
        <f t="shared" ref="F15:J15" si="11">F10-SUM(F13:F14)</f>
        <v>3391.7238661376005</v>
      </c>
      <c r="G15" s="44">
        <f t="shared" si="11"/>
        <v>3527.6728207831038</v>
      </c>
      <c r="H15" s="44">
        <f t="shared" si="11"/>
        <v>3669.0597336144283</v>
      </c>
      <c r="I15" s="44">
        <f t="shared" si="11"/>
        <v>3816.1021229590056</v>
      </c>
      <c r="J15" s="44">
        <f t="shared" si="11"/>
        <v>3969.0262078773662</v>
      </c>
      <c r="K15" s="48">
        <f>IFERROR(RATE($J$4-$E$4,,-E15,J15),"")</f>
        <v>6.8824233515883126E-2</v>
      </c>
    </row>
    <row r="16" spans="1:11" x14ac:dyDescent="0.3">
      <c r="A16" s="41" t="str">
        <f>"Less: Taxes @ "&amp;Marginal_tax_rate*100&amp;"%"</f>
        <v>Less: Taxes @ 38%</v>
      </c>
      <c r="B16" s="2"/>
      <c r="C16" s="18">
        <f t="shared" ref="C16:J16" si="12">C15*Marginal_tax_rate</f>
        <v>307.91209999999995</v>
      </c>
      <c r="D16" s="18">
        <f t="shared" si="12"/>
        <v>1425.5334158800003</v>
      </c>
      <c r="E16" s="19">
        <f t="shared" si="12"/>
        <v>1081.2748536940001</v>
      </c>
      <c r="F16" s="43">
        <f t="shared" si="12"/>
        <v>1288.8550691322882</v>
      </c>
      <c r="G16" s="43">
        <f t="shared" si="12"/>
        <v>1340.5156718975795</v>
      </c>
      <c r="H16" s="43">
        <f t="shared" si="12"/>
        <v>1394.2426987734827</v>
      </c>
      <c r="I16" s="43">
        <f t="shared" si="12"/>
        <v>1450.118806724422</v>
      </c>
      <c r="J16" s="43">
        <f t="shared" si="12"/>
        <v>1508.2299589933991</v>
      </c>
    </row>
    <row r="17" spans="1:17" x14ac:dyDescent="0.3">
      <c r="A17" s="2" t="s">
        <v>13</v>
      </c>
      <c r="B17" s="2"/>
      <c r="C17" s="30">
        <f>C15-C16</f>
        <v>502.38289999999989</v>
      </c>
      <c r="D17" s="30">
        <f t="shared" ref="D17" si="13">D15-D16</f>
        <v>2325.8703101200008</v>
      </c>
      <c r="E17" s="31">
        <f t="shared" ref="E17" si="14">E15-E16</f>
        <v>1764.185287606</v>
      </c>
      <c r="F17" s="44">
        <f t="shared" ref="F17:J17" si="15">F15-F16</f>
        <v>2102.8687970053124</v>
      </c>
      <c r="G17" s="44">
        <f t="shared" si="15"/>
        <v>2187.1571488855243</v>
      </c>
      <c r="H17" s="44">
        <f t="shared" si="15"/>
        <v>2274.8170348409458</v>
      </c>
      <c r="I17" s="44">
        <f t="shared" si="15"/>
        <v>2365.9833162345835</v>
      </c>
      <c r="J17" s="44">
        <f t="shared" si="15"/>
        <v>2460.7962488839671</v>
      </c>
      <c r="K17" s="48">
        <f>IFERROR(RATE($J$4-$E$4,,-E17,J17),"")</f>
        <v>6.882423351588321E-2</v>
      </c>
    </row>
    <row r="18" spans="1:17" x14ac:dyDescent="0.3">
      <c r="A18" s="3"/>
      <c r="B18" s="3"/>
      <c r="C18" s="18"/>
      <c r="D18" s="18"/>
      <c r="E18" s="19"/>
      <c r="F18" s="43"/>
      <c r="G18" s="43"/>
      <c r="H18" s="43"/>
      <c r="I18" s="43"/>
      <c r="J18" s="43"/>
    </row>
    <row r="19" spans="1:17" x14ac:dyDescent="0.3">
      <c r="A19" s="2" t="s">
        <v>14</v>
      </c>
      <c r="B19" s="2"/>
      <c r="C19" s="18"/>
      <c r="D19" s="18">
        <f t="shared" ref="D19:E19" si="16">D13+D14</f>
        <v>95.150194000000013</v>
      </c>
      <c r="E19" s="19">
        <f t="shared" si="16"/>
        <v>173.01619870000002</v>
      </c>
      <c r="F19" s="43">
        <f t="shared" ref="F19:J19" si="17">F13+F14</f>
        <v>145.12547731840002</v>
      </c>
      <c r="G19" s="43">
        <f t="shared" si="17"/>
        <v>150.65049641113603</v>
      </c>
      <c r="H19" s="43">
        <f t="shared" si="17"/>
        <v>156.39651626758146</v>
      </c>
      <c r="I19" s="43">
        <f t="shared" si="17"/>
        <v>162.37237691828471</v>
      </c>
      <c r="J19" s="43">
        <f t="shared" si="17"/>
        <v>168.58727199501612</v>
      </c>
    </row>
    <row r="20" spans="1:17" x14ac:dyDescent="0.3">
      <c r="A20" s="2" t="s">
        <v>15</v>
      </c>
      <c r="B20" s="2"/>
      <c r="C20" s="39"/>
      <c r="D20" s="39">
        <f>D5*Assumptions!D12</f>
        <v>160.27308000000002</v>
      </c>
      <c r="E20" s="40">
        <f>E5*Assumptions!E12</f>
        <v>301.84763400000003</v>
      </c>
      <c r="F20" s="43">
        <f>F5*Assumptions!F12</f>
        <v>251.13723148800003</v>
      </c>
      <c r="G20" s="43">
        <f>G5*Assumptions!G12</f>
        <v>261.18272074752002</v>
      </c>
      <c r="H20" s="43">
        <f>H5*Assumptions!H12</f>
        <v>271.63002957742083</v>
      </c>
      <c r="I20" s="43">
        <f>I5*Assumptions!I12</f>
        <v>282.49523076051764</v>
      </c>
      <c r="J20" s="43">
        <f>J5*Assumptions!J12</f>
        <v>293.79503999093839</v>
      </c>
    </row>
    <row r="21" spans="1:17" x14ac:dyDescent="0.3">
      <c r="A21" s="2" t="s">
        <v>16</v>
      </c>
      <c r="B21" s="2"/>
      <c r="C21" s="39"/>
      <c r="D21" s="39">
        <f>Assumptions!D15</f>
        <v>15</v>
      </c>
      <c r="E21" s="40">
        <f>Assumptions!E15</f>
        <v>15</v>
      </c>
      <c r="F21" s="43">
        <f>Assumptions!F15</f>
        <v>15</v>
      </c>
      <c r="G21" s="43">
        <f>Assumptions!G15</f>
        <v>15</v>
      </c>
      <c r="H21" s="43">
        <f>Assumptions!H15</f>
        <v>15</v>
      </c>
      <c r="I21" s="43">
        <f>Assumptions!I15</f>
        <v>15</v>
      </c>
      <c r="J21" s="43">
        <f>Assumptions!J15</f>
        <v>15</v>
      </c>
    </row>
    <row r="22" spans="1:17" x14ac:dyDescent="0.3">
      <c r="A22" s="3" t="s">
        <v>46</v>
      </c>
      <c r="B22" s="2"/>
      <c r="C22" s="39"/>
      <c r="D22" s="39">
        <f>NWC!D21</f>
        <v>-436.55960153431488</v>
      </c>
      <c r="E22" s="40">
        <f>NWC!E21</f>
        <v>244.79941668617857</v>
      </c>
      <c r="F22" s="43">
        <f>NWC!F21</f>
        <v>-10.801543071700962</v>
      </c>
      <c r="G22" s="43">
        <f>NWC!G21</f>
        <v>15.726843759918893</v>
      </c>
      <c r="H22" s="43">
        <f>NWC!H21</f>
        <v>16.355917510315521</v>
      </c>
      <c r="I22" s="43">
        <f>NWC!I21</f>
        <v>17.010154210728274</v>
      </c>
      <c r="J22" s="43">
        <f>NWC!J21</f>
        <v>17.690560379157318</v>
      </c>
    </row>
    <row r="23" spans="1:17" x14ac:dyDescent="0.3">
      <c r="A23" s="6" t="s">
        <v>17</v>
      </c>
      <c r="B23" s="6"/>
      <c r="C23" s="34"/>
      <c r="D23" s="35">
        <f>D17+D19-D20-D21-D22</f>
        <v>2682.3070256543156</v>
      </c>
      <c r="E23" s="36">
        <f t="shared" ref="E23" si="18">E17+E19-E20-E21-E22</f>
        <v>1375.5544356198213</v>
      </c>
      <c r="F23" s="47">
        <f t="shared" ref="F23" si="19">F17+F19-F20-F21-F22</f>
        <v>1992.6585859074135</v>
      </c>
      <c r="G23" s="47">
        <f t="shared" ref="G23" si="20">G17+G19-G20-G21-G22</f>
        <v>2045.8980807892215</v>
      </c>
      <c r="H23" s="47">
        <f t="shared" ref="H23" si="21">H17+H19-H20-H21-H22</f>
        <v>2128.2276040207907</v>
      </c>
      <c r="I23" s="47">
        <f t="shared" ref="I23" si="22">I17+I19-I20-I21-I22</f>
        <v>2213.8503081816225</v>
      </c>
      <c r="J23" s="47">
        <f t="shared" ref="J23" si="23">J17+J19-J20-J21-J22</f>
        <v>2302.8979205088876</v>
      </c>
      <c r="K23" s="49">
        <f>IFERROR(RATE($J$4-$E$4,,-E23,J23),"")</f>
        <v>0.10856045240158065</v>
      </c>
    </row>
    <row r="24" spans="1:17" x14ac:dyDescent="0.3">
      <c r="A24" s="7" t="s">
        <v>88</v>
      </c>
      <c r="B24" s="7"/>
      <c r="C24" s="11"/>
    </row>
    <row r="25" spans="1:17" x14ac:dyDescent="0.3">
      <c r="C25" s="9"/>
    </row>
    <row r="26" spans="1:17" ht="17.399999999999999" x14ac:dyDescent="0.3">
      <c r="B26" s="189" t="s">
        <v>66</v>
      </c>
      <c r="C26" s="190"/>
      <c r="D26" s="109"/>
      <c r="H26" s="194" t="s">
        <v>111</v>
      </c>
      <c r="I26" s="195"/>
      <c r="J26" s="195"/>
      <c r="K26" s="195"/>
      <c r="O26" s="1"/>
      <c r="P26" s="1"/>
      <c r="Q26" s="1"/>
    </row>
    <row r="27" spans="1:17" x14ac:dyDescent="0.3">
      <c r="B27" s="92"/>
      <c r="C27" s="100"/>
      <c r="D27" s="109"/>
      <c r="O27" s="1"/>
      <c r="P27" s="1"/>
      <c r="Q27" s="1"/>
    </row>
    <row r="28" spans="1:17" x14ac:dyDescent="0.3">
      <c r="B28" s="93" t="s">
        <v>44</v>
      </c>
      <c r="C28" s="101">
        <f>WACC</f>
        <v>7.5186332546009246E-2</v>
      </c>
      <c r="D28" s="109"/>
      <c r="G28" s="119"/>
      <c r="H28" s="193" t="s">
        <v>114</v>
      </c>
      <c r="O28" s="1"/>
      <c r="P28" s="1"/>
      <c r="Q28" s="1"/>
    </row>
    <row r="29" spans="1:17" x14ac:dyDescent="0.3">
      <c r="B29" s="94" t="s">
        <v>117</v>
      </c>
      <c r="C29" s="102">
        <f>NPV(C28,F23:J23)</f>
        <v>8594.6295552001811</v>
      </c>
      <c r="D29" s="191"/>
      <c r="G29" s="119"/>
      <c r="H29" s="173">
        <v>5.0000000000000001E-3</v>
      </c>
      <c r="O29" s="1"/>
      <c r="P29" s="1"/>
      <c r="Q29" s="1"/>
    </row>
    <row r="30" spans="1:17" x14ac:dyDescent="0.3">
      <c r="B30" s="95"/>
      <c r="C30" s="103"/>
      <c r="D30" s="109"/>
      <c r="G30" s="119"/>
      <c r="H30" s="193" t="s">
        <v>115</v>
      </c>
      <c r="O30" s="1"/>
      <c r="P30" s="1"/>
      <c r="Q30" s="1"/>
    </row>
    <row r="31" spans="1:17" x14ac:dyDescent="0.3">
      <c r="B31" s="96" t="s">
        <v>69</v>
      </c>
      <c r="C31" s="104">
        <v>2.5000000000000001E-2</v>
      </c>
      <c r="D31" s="109"/>
      <c r="H31" s="173">
        <v>5.0000000000000001E-3</v>
      </c>
      <c r="O31" s="1"/>
      <c r="P31" s="1"/>
      <c r="Q31" s="1"/>
    </row>
    <row r="32" spans="1:17" x14ac:dyDescent="0.3">
      <c r="B32" s="93" t="s">
        <v>70</v>
      </c>
      <c r="C32" s="105">
        <f>(UFCF_Yr5*(1+C31))/(WACC-C31)</f>
        <v>47034.127595548147</v>
      </c>
      <c r="D32" s="191"/>
      <c r="O32" s="1"/>
      <c r="P32" s="1"/>
      <c r="Q32" s="1"/>
    </row>
    <row r="33" spans="2:17" x14ac:dyDescent="0.3">
      <c r="B33" s="94" t="s">
        <v>118</v>
      </c>
      <c r="C33" s="106">
        <f>PV(WACC,H1,,-C32,0)</f>
        <v>32733.648713122981</v>
      </c>
      <c r="D33" s="191"/>
      <c r="H33" s="187" t="s">
        <v>44</v>
      </c>
      <c r="I33" s="187"/>
      <c r="J33" s="187"/>
      <c r="K33" s="187"/>
      <c r="L33" s="187"/>
      <c r="M33" s="187"/>
      <c r="N33" s="187"/>
      <c r="O33" s="187"/>
      <c r="P33" s="187"/>
      <c r="Q33" s="187"/>
    </row>
    <row r="34" spans="2:17" x14ac:dyDescent="0.3">
      <c r="B34" s="95"/>
      <c r="C34" s="103"/>
      <c r="D34" s="109"/>
      <c r="G34" s="178">
        <f>C41</f>
        <v>198.91507634158589</v>
      </c>
      <c r="H34" s="174">
        <v>4.4999999999999998E-2</v>
      </c>
      <c r="I34" s="48">
        <f>H34+$H$31</f>
        <v>4.9999999999999996E-2</v>
      </c>
      <c r="J34" s="48">
        <f>I34+$H$31</f>
        <v>5.4999999999999993E-2</v>
      </c>
      <c r="K34" s="48">
        <f>J34+$H$31</f>
        <v>5.9999999999999991E-2</v>
      </c>
      <c r="L34" s="48">
        <f>K34+$H$31</f>
        <v>6.4999999999999988E-2</v>
      </c>
      <c r="M34" s="48">
        <f>L34+$H$31</f>
        <v>6.9999999999999993E-2</v>
      </c>
      <c r="N34" s="48">
        <f>M34+$H$31</f>
        <v>7.4999999999999997E-2</v>
      </c>
      <c r="O34" s="48">
        <f>N34+$H$31</f>
        <v>0.08</v>
      </c>
      <c r="P34" s="48">
        <f>O34+$H$31</f>
        <v>8.5000000000000006E-2</v>
      </c>
      <c r="Q34" s="48">
        <f>P34+$H$31</f>
        <v>9.0000000000000011E-2</v>
      </c>
    </row>
    <row r="35" spans="2:17" x14ac:dyDescent="0.3">
      <c r="B35" s="96" t="s">
        <v>72</v>
      </c>
      <c r="C35" s="107">
        <f>C29+C33</f>
        <v>41328.278268323164</v>
      </c>
      <c r="D35" s="191"/>
      <c r="F35" s="188" t="s">
        <v>112</v>
      </c>
      <c r="G35" s="175">
        <v>2.5000000000000001E-2</v>
      </c>
      <c r="H35" s="192">
        <f>IFERROR((NPV(H$34,$F$23:$J$23) + PV(H$34,$H$1,,-(UFCF_Yr5*(1+$G35)/(H$34-$G35)),0) - $C$36)/$C$39, "Error")</f>
        <v>510.92777397039669</v>
      </c>
      <c r="I35" s="192">
        <f>IFERROR((NPV(I$34,$F$23:$J$23) + PV(I$34,$H$1,,-(UFCF_Yr5*(1+$G35)/(I$34-$G35)),0) - $C$36)/$C$39, "Error")</f>
        <v>407.1686156379983</v>
      </c>
      <c r="J35" s="192">
        <f>IFERROR((NPV(J$34,$F$23:$J$23) + PV(J$34,$H$1,,-(UFCF_Yr5*(1+$G35)/(J$34-$G35)),0) - $C$36)/$C$39, "Error")</f>
        <v>337.99985432746627</v>
      </c>
      <c r="K35" s="192">
        <f>IFERROR((NPV(K$34,$F$23:$J$23) + PV(K$34,$H$1,,-(UFCF_Yr5*(1+$G35)/(K$34-$G35)),0) - $C$36)/$C$39, "Error")</f>
        <v>288.5969479394488</v>
      </c>
      <c r="L35" s="192">
        <f>IFERROR((NPV(L$34,$F$23:$J$23) + PV(L$34,$H$1,,-(UFCF_Yr5*(1+$G35)/(L$34-$G35)),0) - $C$36)/$C$39, "Error")</f>
        <v>251.54762769770088</v>
      </c>
      <c r="M35" s="192">
        <f>IFERROR((NPV(M$34,$F$23:$J$23) + PV(M$34,$H$1,,-(UFCF_Yr5*(1+$G35)/(M$34-$G35)),0) - $C$36)/$C$39, "Error")</f>
        <v>222.73396845442349</v>
      </c>
      <c r="N35" s="192">
        <f>IFERROR((NPV(N$34,$F$23:$J$23) + PV(N$34,$H$1,,-(UFCF_Yr5*(1+$G35)/(N$34-$G35)),0) - $C$36)/$C$39, "Error")</f>
        <v>199.68521681493135</v>
      </c>
      <c r="O35" s="192">
        <f>IFERROR((NPV(O$34,$F$23:$J$23) + PV(O$34,$H$1,,-(UFCF_Yr5*(1+$G35)/(O$34-$G35)),0) - $C$36)/$C$39, "Error")</f>
        <v>180.82907665105768</v>
      </c>
      <c r="P35" s="192">
        <f>IFERROR((NPV(P$34,$F$23:$J$23) + PV(P$34,$H$1,,-(UFCF_Yr5*(1+$G35)/(P$34-$G35)),0) - $C$36)/$C$39, "Error")</f>
        <v>165.11735185978333</v>
      </c>
      <c r="Q35" s="192">
        <f>IFERROR((NPV(Q$34,$F$23:$J$23) + PV(Q$34,$H$1,,-(UFCF_Yr5*(1+$G35)/(Q$34-$G35)),0) - $C$36)/$C$39, "Error")</f>
        <v>151.82436938881045</v>
      </c>
    </row>
    <row r="36" spans="2:17" x14ac:dyDescent="0.3">
      <c r="B36" s="95" t="s">
        <v>73</v>
      </c>
      <c r="C36" s="108">
        <v>1336.8</v>
      </c>
      <c r="D36" s="109"/>
      <c r="F36" s="188"/>
      <c r="G36" s="48">
        <f>G35+$H$29</f>
        <v>3.0000000000000002E-2</v>
      </c>
      <c r="H36" s="192">
        <f>IFERROR((NPV(H$34,$F$23:$J$23) + PV(H$34,$H$1,,-(UFCF_Yr5*(1+$G36)/(H$34-$G36)),0) - $C$36)/$C$39, "Error")</f>
        <v>671.01567788554439</v>
      </c>
      <c r="I36" s="192">
        <f>IFERROR((NPV(I$34,$F$23:$J$23) + PV(I$34,$H$1,,-(UFCF_Yr5*(1+$G36)/(I$34-$G36)),0) - $C$36)/$C$39, "Error")</f>
        <v>501.40480890506603</v>
      </c>
      <c r="J36" s="192">
        <f>IFERROR((NPV(J$34,$F$23:$J$23) + PV(J$34,$H$1,,-(UFCF_Yr5*(1+$G36)/(J$34-$G36)),0) - $C$36)/$C$39, "Error")</f>
        <v>399.64144438060782</v>
      </c>
      <c r="K36" s="192">
        <f>IFERROR((NPV(K$34,$F$23:$J$23) + PV(K$34,$H$1,,-(UFCF_Yr5*(1+$G36)/(K$34-$G36)),0) - $C$36)/$C$39, "Error")</f>
        <v>331.80176540827193</v>
      </c>
      <c r="L36" s="192">
        <f>IFERROR((NPV(L$34,$F$23:$J$23) + PV(L$34,$H$1,,-(UFCF_Yr5*(1+$G36)/(L$34-$G36)),0) - $C$36)/$C$39, "Error")</f>
        <v>283.34699418845395</v>
      </c>
      <c r="M36" s="192">
        <f>IFERROR((NPV(M$34,$F$23:$J$23) + PV(M$34,$H$1,,-(UFCF_Yr5*(1+$G36)/(M$34-$G36)),0) - $C$36)/$C$39, "Error")</f>
        <v>247.00774328252476</v>
      </c>
      <c r="N36" s="192">
        <f>IFERROR((NPV(N$34,$F$23:$J$23) + PV(N$34,$H$1,,-(UFCF_Yr5*(1+$G36)/(N$34-$G36)),0) - $C$36)/$C$39, "Error")</f>
        <v>218.74546536694072</v>
      </c>
      <c r="O36" s="192">
        <f>IFERROR((NPV(O$34,$F$23:$J$23) + PV(O$34,$H$1,,-(UFCF_Yr5*(1+$G36)/(O$34-$G36)),0) - $C$36)/$C$39, "Error")</f>
        <v>196.13703313650041</v>
      </c>
      <c r="P36" s="192">
        <f>IFERROR((NPV(P$34,$F$23:$J$23) + PV(P$34,$H$1,,-(UFCF_Yr5*(1+$G36)/(P$34-$G36)),0) - $C$36)/$C$39, "Error")</f>
        <v>177.6404574435951</v>
      </c>
      <c r="Q36" s="192">
        <f>IFERROR((NPV(Q$34,$F$23:$J$23) + PV(Q$34,$H$1,,-(UFCF_Yr5*(1+$G36)/(Q$34-$G36)),0) - $C$36)/$C$39, "Error")</f>
        <v>162.22774636906286</v>
      </c>
    </row>
    <row r="37" spans="2:17" x14ac:dyDescent="0.3">
      <c r="B37" s="97" t="s">
        <v>74</v>
      </c>
      <c r="C37" s="107">
        <f>C35-C36</f>
        <v>39991.478268323161</v>
      </c>
      <c r="D37" s="191"/>
      <c r="F37" s="188"/>
      <c r="G37" s="48">
        <f>G36+$H$29</f>
        <v>3.5000000000000003E-2</v>
      </c>
      <c r="H37" s="192">
        <f>IFERROR((NPV(H$34,$F$23:$J$23) + PV(H$34,$H$1,,-(UFCF_Yr5*(1+$G37)/(H$34-$G37)),0) - $C$36)/$C$39, "Error")</f>
        <v>991.19148571583935</v>
      </c>
      <c r="I37" s="192">
        <f>IFERROR((NPV(I$34,$F$23:$J$23) + PV(I$34,$H$1,,-(UFCF_Yr5*(1+$G37)/(I$34-$G37)),0) - $C$36)/$C$39, "Error")</f>
        <v>658.46513101684548</v>
      </c>
      <c r="J37" s="192">
        <f>IFERROR((NPV(J$34,$F$23:$J$23) + PV(J$34,$H$1,,-(UFCF_Yr5*(1+$G37)/(J$34-$G37)),0) - $C$36)/$C$39, "Error")</f>
        <v>492.10382946031996</v>
      </c>
      <c r="K37" s="192">
        <f>IFERROR((NPV(K$34,$F$23:$J$23) + PV(K$34,$H$1,,-(UFCF_Yr5*(1+$G37)/(K$34-$G37)),0) - $C$36)/$C$39, "Error")</f>
        <v>392.28850986462419</v>
      </c>
      <c r="L37" s="192">
        <f>IFERROR((NPV(L$34,$F$23:$J$23) + PV(L$34,$H$1,,-(UFCF_Yr5*(1+$G37)/(L$34-$G37)),0) - $C$36)/$C$39, "Error")</f>
        <v>325.74614950945795</v>
      </c>
      <c r="M37" s="192">
        <f>IFERROR((NPV(M$34,$F$23:$J$23) + PV(M$34,$H$1,,-(UFCF_Yr5*(1+$G37)/(M$34-$G37)),0) - $C$36)/$C$39, "Error")</f>
        <v>278.21688234722632</v>
      </c>
      <c r="N37" s="192">
        <f>IFERROR((NPV(N$34,$F$23:$J$23) + PV(N$34,$H$1,,-(UFCF_Yr5*(1+$G37)/(N$34-$G37)),0) - $C$36)/$C$39, "Error")</f>
        <v>242.57077605695238</v>
      </c>
      <c r="O37" s="192">
        <f>IFERROR((NPV(O$34,$F$23:$J$23) + PV(O$34,$H$1,,-(UFCF_Yr5*(1+$G37)/(O$34-$G37)),0) - $C$36)/$C$39, "Error")</f>
        <v>214.84675772981925</v>
      </c>
      <c r="P37" s="192">
        <f>IFERROR((NPV(P$34,$F$23:$J$23) + PV(P$34,$H$1,,-(UFCF_Yr5*(1+$G37)/(P$34-$G37)),0) - $C$36)/$C$39, "Error")</f>
        <v>192.66818414416912</v>
      </c>
      <c r="Q37" s="192">
        <f>IFERROR((NPV(Q$34,$F$23:$J$23) + PV(Q$34,$H$1,,-(UFCF_Yr5*(1+$G37)/(Q$34-$G37)),0) - $C$36)/$C$39, "Error")</f>
        <v>174.52264643663381</v>
      </c>
    </row>
    <row r="38" spans="2:17" x14ac:dyDescent="0.3">
      <c r="B38" s="91"/>
      <c r="C38" s="109"/>
      <c r="D38" s="109"/>
      <c r="F38" s="188"/>
      <c r="G38" s="48">
        <f>G37+$H$29</f>
        <v>0.04</v>
      </c>
      <c r="H38" s="192">
        <f>IFERROR((NPV(H$34,$F$23:$J$23) + PV(H$34,$H$1,,-(UFCF_Yr5*(1+$G38)/(H$34-$G38)),0) - $C$36)/$C$39, "Error")</f>
        <v>1951.7189092067247</v>
      </c>
      <c r="I38" s="192">
        <f>IFERROR((NPV(I$34,$F$23:$J$23) + PV(I$34,$H$1,,-(UFCF_Yr5*(1+$G38)/(I$34-$G38)),0) - $C$36)/$C$39, "Error")</f>
        <v>972.58577524040447</v>
      </c>
      <c r="J38" s="192">
        <f>IFERROR((NPV(J$34,$F$23:$J$23) + PV(J$34,$H$1,,-(UFCF_Yr5*(1+$G38)/(J$34-$G38)),0) - $C$36)/$C$39, "Error")</f>
        <v>646.20780459317359</v>
      </c>
      <c r="K38" s="192">
        <f>IFERROR((NPV(K$34,$F$23:$J$23) + PV(K$34,$H$1,,-(UFCF_Yr5*(1+$G38)/(K$34-$G38)),0) - $C$36)/$C$39, "Error")</f>
        <v>483.01862654915254</v>
      </c>
      <c r="L38" s="192">
        <f>IFERROR((NPV(L$34,$F$23:$J$23) + PV(L$34,$H$1,,-(UFCF_Yr5*(1+$G38)/(L$34-$G38)),0) - $C$36)/$C$39, "Error")</f>
        <v>385.10496695886371</v>
      </c>
      <c r="M38" s="192">
        <f>IFERROR((NPV(M$34,$F$23:$J$23) + PV(M$34,$H$1,,-(UFCF_Yr5*(1+$G38)/(M$34-$G38)),0) - $C$36)/$C$39, "Error")</f>
        <v>319.82906776682842</v>
      </c>
      <c r="N38" s="192">
        <f>IFERROR((NPV(N$34,$F$23:$J$23) + PV(N$34,$H$1,,-(UFCF_Yr5*(1+$G38)/(N$34-$G38)),0) - $C$36)/$C$39, "Error")</f>
        <v>273.20331837268168</v>
      </c>
      <c r="O38" s="192">
        <f>IFERROR((NPV(O$34,$F$23:$J$23) + PV(O$34,$H$1,,-(UFCF_Yr5*(1+$G38)/(O$34-$G38)),0) - $C$36)/$C$39, "Error")</f>
        <v>238.23391347146782</v>
      </c>
      <c r="P38" s="192">
        <f>IFERROR((NPV(P$34,$F$23:$J$23) + PV(P$34,$H$1,,-(UFCF_Yr5*(1+$G38)/(P$34-$G38)),0) - $C$36)/$C$39, "Error")</f>
        <v>211.03540566709304</v>
      </c>
      <c r="Q38" s="192">
        <f>IFERROR((NPV(Q$34,$F$23:$J$23) + PV(Q$34,$H$1,,-(UFCF_Yr5*(1+$G38)/(Q$34-$G38)),0) - $C$36)/$C$39, "Error")</f>
        <v>189.27652651771905</v>
      </c>
    </row>
    <row r="39" spans="2:17" x14ac:dyDescent="0.3">
      <c r="B39" s="98" t="s">
        <v>75</v>
      </c>
      <c r="C39" s="110">
        <v>201.048</v>
      </c>
      <c r="D39" s="109"/>
      <c r="F39" s="188"/>
      <c r="G39" s="48">
        <f>G38+$H$29</f>
        <v>4.4999999999999998E-2</v>
      </c>
      <c r="H39" s="192" t="str">
        <f>IFERROR((NPV(H$34,$F$23:$J$23) + PV(H$34,$H$1,,-(UFCF_Yr5*(1+$G39)/(H$34-$G39)),0) - $C$36)/$C$39, "Error")</f>
        <v>Error</v>
      </c>
      <c r="I39" s="192">
        <f>IFERROR((NPV(I$34,$F$23:$J$23) + PV(I$34,$H$1,,-(UFCF_Yr5*(1+$G39)/(I$34-$G39)),0) - $C$36)/$C$39, "Error")</f>
        <v>1914.9477079110804</v>
      </c>
      <c r="J39" s="192">
        <f>IFERROR((NPV(J$34,$F$23:$J$23) + PV(J$34,$H$1,,-(UFCF_Yr5*(1+$G39)/(J$34-$G39)),0) - $C$36)/$C$39, "Error")</f>
        <v>954.41575485888097</v>
      </c>
      <c r="K39" s="192">
        <f>IFERROR((NPV(K$34,$F$23:$J$23) + PV(K$34,$H$1,,-(UFCF_Yr5*(1+$G39)/(K$34-$G39)),0) - $C$36)/$C$39, "Error")</f>
        <v>634.23548769003298</v>
      </c>
      <c r="L39" s="192">
        <f>IFERROR((NPV(L$34,$F$23:$J$23) + PV(L$34,$H$1,,-(UFCF_Yr5*(1+$G39)/(L$34-$G39)),0) - $C$36)/$C$39, "Error")</f>
        <v>474.1431931329721</v>
      </c>
      <c r="M39" s="192">
        <f>IFERROR((NPV(M$34,$F$23:$J$23) + PV(M$34,$H$1,,-(UFCF_Yr5*(1+$G39)/(M$34-$G39)),0) - $C$36)/$C$39, "Error")</f>
        <v>378.08612735427124</v>
      </c>
      <c r="N39" s="192">
        <f>IFERROR((NPV(N$34,$F$23:$J$23) + PV(N$34,$H$1,,-(UFCF_Yr5*(1+$G39)/(N$34-$G39)),0) - $C$36)/$C$39, "Error")</f>
        <v>314.04670812698731</v>
      </c>
      <c r="O39" s="192">
        <f>IFERROR((NPV(O$34,$F$23:$J$23) + PV(O$34,$H$1,,-(UFCF_Yr5*(1+$G39)/(O$34-$G39)),0) - $C$36)/$C$39, "Error")</f>
        <v>268.3031137107302</v>
      </c>
      <c r="P39" s="192">
        <f>IFERROR((NPV(P$34,$F$23:$J$23) + PV(P$34,$H$1,,-(UFCF_Yr5*(1+$G39)/(P$34-$G39)),0) - $C$36)/$C$39, "Error")</f>
        <v>233.99443257074779</v>
      </c>
      <c r="Q39" s="192">
        <f>IFERROR((NPV(Q$34,$F$23:$J$23) + PV(Q$34,$H$1,,-(UFCF_Yr5*(1+$G39)/(Q$34-$G39)),0) - $C$36)/$C$39, "Error")</f>
        <v>207.30904661682317</v>
      </c>
    </row>
    <row r="40" spans="2:17" x14ac:dyDescent="0.3">
      <c r="B40" s="91"/>
      <c r="C40" s="111"/>
      <c r="D40" s="109"/>
      <c r="F40" s="188"/>
      <c r="G40" s="48">
        <f>G39+$H$29</f>
        <v>4.9999999999999996E-2</v>
      </c>
      <c r="H40" s="192">
        <f>IFERROR((NPV(H$34,$F$23:$J$23) + PV(H$34,$H$1,,-(UFCF_Yr5*(1+$G40)/(H$34-$G40)),0) - $C$36)/$C$39, "Error")</f>
        <v>-1890.3907847568153</v>
      </c>
      <c r="I40" s="192" t="str">
        <f>IFERROR((NPV(I$34,$F$23:$J$23) + PV(I$34,$H$1,,-(UFCF_Yr5*(1+$G40)/(I$34-$G40)),0) - $C$36)/$C$39, "Error")</f>
        <v>Error</v>
      </c>
      <c r="J40" s="192">
        <f>IFERROR((NPV(J$34,$F$23:$J$23) + PV(J$34,$H$1,,-(UFCF_Yr5*(1+$G40)/(J$34-$G40)),0) - $C$36)/$C$39, "Error")</f>
        <v>1879.0396056560028</v>
      </c>
      <c r="K40" s="192">
        <f>IFERROR((NPV(K$34,$F$23:$J$23) + PV(K$34,$H$1,,-(UFCF_Yr5*(1+$G40)/(K$34-$G40)),0) - $C$36)/$C$39, "Error")</f>
        <v>936.66920997179409</v>
      </c>
      <c r="L40" s="192">
        <f>IFERROR((NPV(L$34,$F$23:$J$23) + PV(L$34,$H$1,,-(UFCF_Yr5*(1+$G40)/(L$34-$G40)),0) - $C$36)/$C$39, "Error")</f>
        <v>622.54023675648614</v>
      </c>
      <c r="M40" s="192">
        <f>IFERROR((NPV(M$34,$F$23:$J$23) + PV(M$34,$H$1,,-(UFCF_Yr5*(1+$G40)/(M$34-$G40)),0) - $C$36)/$C$39, "Error")</f>
        <v>465.47171673543551</v>
      </c>
      <c r="N40" s="192">
        <f>IFERROR((NPV(N$34,$F$23:$J$23) + PV(N$34,$H$1,,-(UFCF_Yr5*(1+$G40)/(N$34-$G40)),0) - $C$36)/$C$39, "Error")</f>
        <v>371.22745378301522</v>
      </c>
      <c r="O40" s="192">
        <f>IFERROR((NPV(O$34,$F$23:$J$23) + PV(O$34,$H$1,,-(UFCF_Yr5*(1+$G40)/(O$34-$G40)),0) - $C$36)/$C$39, "Error")</f>
        <v>308.39538069641344</v>
      </c>
      <c r="P40" s="192">
        <f>IFERROR((NPV(P$34,$F$23:$J$23) + PV(P$34,$H$1,,-(UFCF_Yr5*(1+$G40)/(P$34-$G40)),0) - $C$36)/$C$39, "Error")</f>
        <v>263.51318144687542</v>
      </c>
      <c r="Q40" s="192">
        <f>IFERROR((NPV(Q$34,$F$23:$J$23) + PV(Q$34,$H$1,,-(UFCF_Yr5*(1+$G40)/(Q$34-$G40)),0) - $C$36)/$C$39, "Error")</f>
        <v>229.84969674070328</v>
      </c>
    </row>
    <row r="41" spans="2:17" x14ac:dyDescent="0.3">
      <c r="B41" s="129" t="s">
        <v>76</v>
      </c>
      <c r="C41" s="112">
        <f>C37/C39</f>
        <v>198.91507634158589</v>
      </c>
      <c r="D41" s="191"/>
      <c r="F41" s="188"/>
      <c r="G41" s="48">
        <f>G40+$H$29</f>
        <v>5.4999999999999993E-2</v>
      </c>
      <c r="H41" s="192">
        <f>IFERROR((NPV(H$34,$F$23:$J$23) + PV(H$34,$H$1,,-(UFCF_Yr5*(1+$G41)/(H$34-$G41)),0) - $C$36)/$C$39, "Error")</f>
        <v>-929.86336126593039</v>
      </c>
      <c r="I41" s="192">
        <f>IFERROR((NPV(I$34,$F$23:$J$23) + PV(I$34,$H$1,,-(UFCF_Yr5*(1+$G41)/(I$34-$G41)),0) - $C$36)/$C$39, "Error")</f>
        <v>-1854.5000227716246</v>
      </c>
      <c r="J41" s="192" t="str">
        <f>IFERROR((NPV(J$34,$F$23:$J$23) + PV(J$34,$H$1,,-(UFCF_Yr5*(1+$G41)/(J$34-$G41)),0) - $C$36)/$C$39, "Error")</f>
        <v>Error</v>
      </c>
      <c r="K41" s="192">
        <f>IFERROR((NPV(K$34,$F$23:$J$23) + PV(K$34,$H$1,,-(UFCF_Yr5*(1+$G41)/(K$34-$G41)),0) - $C$36)/$C$39, "Error")</f>
        <v>1843.9703768170771</v>
      </c>
      <c r="L41" s="192">
        <f>IFERROR((NPV(L$34,$F$23:$J$23) + PV(L$34,$H$1,,-(UFCF_Yr5*(1+$G41)/(L$34-$G41)),0) - $C$36)/$C$39, "Error")</f>
        <v>919.33432400351433</v>
      </c>
      <c r="M41" s="192">
        <f>IFERROR((NPV(M$34,$F$23:$J$23) + PV(M$34,$H$1,,-(UFCF_Yr5*(1+$G41)/(M$34-$G41)),0) - $C$36)/$C$39, "Error")</f>
        <v>611.11436570404271</v>
      </c>
      <c r="N41" s="192">
        <f>IFERROR((NPV(N$34,$F$23:$J$23) + PV(N$34,$H$1,,-(UFCF_Yr5*(1+$G41)/(N$34-$G41)),0) - $C$36)/$C$39, "Error")</f>
        <v>456.99857226705723</v>
      </c>
      <c r="O41" s="192">
        <f>IFERROR((NPV(O$34,$F$23:$J$23) + PV(O$34,$H$1,,-(UFCF_Yr5*(1+$G41)/(O$34-$G41)),0) - $C$36)/$C$39, "Error")</f>
        <v>364.52455447636999</v>
      </c>
      <c r="P41" s="192">
        <f>IFERROR((NPV(P$34,$F$23:$J$23) + PV(P$34,$H$1,,-(UFCF_Yr5*(1+$G41)/(P$34-$G41)),0) - $C$36)/$C$39, "Error")</f>
        <v>302.87151328171223</v>
      </c>
      <c r="Q41" s="192">
        <f>IFERROR((NPV(Q$34,$F$23:$J$23) + PV(Q$34,$H$1,,-(UFCF_Yr5*(1+$G41)/(Q$34-$G41)),0) - $C$36)/$C$39, "Error")</f>
        <v>258.83053261426352</v>
      </c>
    </row>
    <row r="42" spans="2:17" x14ac:dyDescent="0.3">
      <c r="B42" s="91"/>
      <c r="C42" s="109"/>
      <c r="D42" s="109"/>
      <c r="F42" s="188"/>
      <c r="G42" s="48">
        <f>G41+$H$29</f>
        <v>5.9999999999999991E-2</v>
      </c>
      <c r="H42" s="192">
        <f>IFERROR((NPV(H$34,$F$23:$J$23) + PV(H$34,$H$1,,-(UFCF_Yr5*(1+$G42)/(H$34-$G42)),0) - $C$36)/$C$39, "Error")</f>
        <v>-609.68755343563555</v>
      </c>
      <c r="I42" s="192">
        <f>IFERROR((NPV(I$34,$F$23:$J$23) + PV(I$34,$H$1,,-(UFCF_Yr5*(1+$G42)/(I$34-$G42)),0) - $C$36)/$C$39, "Error")</f>
        <v>-912.13809010094838</v>
      </c>
      <c r="J42" s="192">
        <f>IFERROR((NPV(J$34,$F$23:$J$23) + PV(J$34,$H$1,,-(UFCF_Yr5*(1+$G42)/(J$34-$G42)),0) - $C$36)/$C$39, "Error")</f>
        <v>-1819.4557975324844</v>
      </c>
      <c r="K42" s="192" t="str">
        <f>IFERROR((NPV(K$34,$F$23:$J$23) + PV(K$34,$H$1,,-(UFCF_Yr5*(1+$G42)/(K$34-$G42)),0) - $C$36)/$C$39, "Error")</f>
        <v>Error</v>
      </c>
      <c r="L42" s="192">
        <f>IFERROR((NPV(L$34,$F$23:$J$23) + PV(L$34,$H$1,,-(UFCF_Yr5*(1+$G42)/(L$34-$G42)),0) - $C$36)/$C$39, "Error")</f>
        <v>1809.7165857445991</v>
      </c>
      <c r="M42" s="192">
        <f>IFERROR((NPV(M$34,$F$23:$J$23) + PV(M$34,$H$1,,-(UFCF_Yr5*(1+$G42)/(M$34-$G42)),0) - $C$36)/$C$39, "Error")</f>
        <v>902.39966364125712</v>
      </c>
      <c r="N42" s="192">
        <f>IFERROR((NPV(N$34,$F$23:$J$23) + PV(N$34,$H$1,,-(UFCF_Yr5*(1+$G42)/(N$34-$G42)),0) - $C$36)/$C$39, "Error")</f>
        <v>599.95043640712697</v>
      </c>
      <c r="O42" s="192">
        <f>IFERROR((NPV(O$34,$F$23:$J$23) + PV(O$34,$H$1,,-(UFCF_Yr5*(1+$G42)/(O$34-$G42)),0) - $C$36)/$C$39, "Error")</f>
        <v>448.71831514630469</v>
      </c>
      <c r="P42" s="192">
        <f>IFERROR((NPV(P$34,$F$23:$J$23) + PV(P$34,$H$1,,-(UFCF_Yr5*(1+$G42)/(P$34-$G42)),0) - $C$36)/$C$39, "Error")</f>
        <v>357.97317785048369</v>
      </c>
      <c r="Q42" s="192">
        <f>IFERROR((NPV(Q$34,$F$23:$J$23) + PV(Q$34,$H$1,,-(UFCF_Yr5*(1+$G42)/(Q$34-$G42)),0) - $C$36)/$C$39, "Error")</f>
        <v>297.47164711234376</v>
      </c>
    </row>
    <row r="43" spans="2:17" x14ac:dyDescent="0.3">
      <c r="F43" s="188"/>
      <c r="G43" s="48">
        <f>G42+$H$29</f>
        <v>6.4999999999999988E-2</v>
      </c>
      <c r="H43" s="192">
        <f>IFERROR((NPV(H$34,$F$23:$J$23) + PV(H$34,$H$1,,-(UFCF_Yr5*(1+$G43)/(H$34-$G43)),0) - $C$36)/$C$39, "Error")</f>
        <v>-449.59964952048801</v>
      </c>
      <c r="I43" s="192">
        <f>IFERROR((NPV(I$34,$F$23:$J$23) + PV(I$34,$H$1,,-(UFCF_Yr5*(1+$G43)/(I$34-$G43)),0) - $C$36)/$C$39, "Error")</f>
        <v>-598.0174458773896</v>
      </c>
      <c r="J43" s="192">
        <f>IFERROR((NPV(J$34,$F$23:$J$23) + PV(J$34,$H$1,,-(UFCF_Yr5*(1+$G43)/(J$34-$G43)),0) - $C$36)/$C$39, "Error")</f>
        <v>-894.83194673536264</v>
      </c>
      <c r="K43" s="192">
        <f>IFERROR((NPV(K$34,$F$23:$J$23) + PV(K$34,$H$1,,-(UFCF_Yr5*(1+$G43)/(K$34-$G43)),0) - $C$36)/$C$39, "Error")</f>
        <v>-1785.2342905640555</v>
      </c>
      <c r="L43" s="192" t="str">
        <f>IFERROR((NPV(L$34,$F$23:$J$23) + PV(L$34,$H$1,,-(UFCF_Yr5*(1+$G43)/(L$34-$G43)),0) - $C$36)/$C$39, "Error")</f>
        <v>Error</v>
      </c>
      <c r="M43" s="192">
        <f>IFERROR((NPV(M$34,$F$23:$J$23) + PV(M$34,$H$1,,-(UFCF_Yr5*(1+$G43)/(M$34-$G43)),0) - $C$36)/$C$39, "Error")</f>
        <v>1776.255557452899</v>
      </c>
      <c r="N43" s="192">
        <f>IFERROR((NPV(N$34,$F$23:$J$23) + PV(N$34,$H$1,,-(UFCF_Yr5*(1+$G43)/(N$34-$G43)),0) - $C$36)/$C$39, "Error")</f>
        <v>885.85416468726646</v>
      </c>
      <c r="O43" s="192">
        <f>IFERROR((NPV(O$34,$F$23:$J$23) + PV(O$34,$H$1,,-(UFCF_Yr5*(1+$G43)/(O$34-$G43)),0) - $C$36)/$C$39, "Error")</f>
        <v>589.04124959619571</v>
      </c>
      <c r="P43" s="192">
        <f>IFERROR((NPV(P$34,$F$23:$J$23) + PV(P$34,$H$1,,-(UFCF_Yr5*(1+$G43)/(P$34-$G43)),0) - $C$36)/$C$39, "Error")</f>
        <v>440.62567470364098</v>
      </c>
      <c r="Q43" s="192">
        <f>IFERROR((NPV(Q$34,$F$23:$J$23) + PV(Q$34,$H$1,,-(UFCF_Yr5*(1+$G43)/(Q$34-$G43)),0) - $C$36)/$C$39, "Error")</f>
        <v>351.56920740965609</v>
      </c>
    </row>
    <row r="44" spans="2:17" x14ac:dyDescent="0.3">
      <c r="B44" s="189" t="s">
        <v>77</v>
      </c>
      <c r="C44" s="190"/>
      <c r="F44" s="188"/>
      <c r="G44" s="48">
        <f>G43+$H$29</f>
        <v>6.9999999999999993E-2</v>
      </c>
      <c r="H44" s="192">
        <f>IFERROR((NPV(H$34,$F$23:$J$23) + PV(H$34,$H$1,,-(UFCF_Yr5*(1+$G44)/(H$34-$G44)),0) - $C$36)/$C$39, "Error")</f>
        <v>-353.54690717139948</v>
      </c>
      <c r="I44" s="192">
        <f>IFERROR((NPV(I$34,$F$23:$J$23) + PV(I$34,$H$1,,-(UFCF_Yr5*(1+$G44)/(I$34-$G44)),0) - $C$36)/$C$39, "Error")</f>
        <v>-440.95712376561005</v>
      </c>
      <c r="J44" s="192">
        <f>IFERROR((NPV(J$34,$F$23:$J$23) + PV(J$34,$H$1,,-(UFCF_Yr5*(1+$G44)/(J$34-$G44)),0) - $C$36)/$C$39, "Error")</f>
        <v>-586.62399646965525</v>
      </c>
      <c r="K44" s="192">
        <f>IFERROR((NPV(K$34,$F$23:$J$23) + PV(K$34,$H$1,,-(UFCF_Yr5*(1+$G44)/(K$34-$G44)),0) - $C$36)/$C$39, "Error")</f>
        <v>-877.93312371877175</v>
      </c>
      <c r="L44" s="192">
        <f>IFERROR((NPV(L$34,$F$23:$J$23) + PV(L$34,$H$1,,-(UFCF_Yr5*(1+$G44)/(L$34-$G44)),0) - $C$36)/$C$39, "Error")</f>
        <v>-1751.8124612197369</v>
      </c>
      <c r="M44" s="192" t="str">
        <f>IFERROR((NPV(M$34,$F$23:$J$23) + PV(M$34,$H$1,,-(UFCF_Yr5*(1+$G44)/(M$34-$G44)),0) - $C$36)/$C$39, "Error")</f>
        <v>Error</v>
      </c>
      <c r="N44" s="192">
        <f>IFERROR((NPV(N$34,$F$23:$J$23) + PV(N$34,$H$1,,-(UFCF_Yr5*(1+$G44)/(N$34-$G44)),0) - $C$36)/$C$39, "Error")</f>
        <v>1743.5653495276856</v>
      </c>
      <c r="O44" s="192">
        <f>IFERROR((NPV(O$34,$F$23:$J$23) + PV(O$34,$H$1,,-(UFCF_Yr5*(1+$G44)/(O$34-$G44)),0) - $C$36)/$C$39, "Error")</f>
        <v>869.68711849597844</v>
      </c>
      <c r="P44" s="192">
        <f>IFERROR((NPV(P$34,$F$23:$J$23) + PV(P$34,$H$1,,-(UFCF_Yr5*(1+$G44)/(P$34-$G44)),0) - $C$36)/$C$39, "Error")</f>
        <v>578.3798361255698</v>
      </c>
      <c r="Q44" s="192">
        <f>IFERROR((NPV(Q$34,$F$23:$J$23) + PV(Q$34,$H$1,,-(UFCF_Yr5*(1+$G44)/(Q$34-$G44)),0) - $C$36)/$C$39, "Error")</f>
        <v>432.71554785562466</v>
      </c>
    </row>
    <row r="45" spans="2:17" x14ac:dyDescent="0.3">
      <c r="B45" s="92" t="s">
        <v>119</v>
      </c>
      <c r="C45" s="127">
        <f>UFCF_Yr5</f>
        <v>2302.8979205088876</v>
      </c>
    </row>
    <row r="46" spans="2:17" x14ac:dyDescent="0.3">
      <c r="B46" s="95" t="s">
        <v>44</v>
      </c>
      <c r="C46" s="101">
        <f>WACC</f>
        <v>7.5186332546009246E-2</v>
      </c>
      <c r="M46" s="121"/>
      <c r="N46" s="122"/>
    </row>
    <row r="47" spans="2:17" x14ac:dyDescent="0.3">
      <c r="B47" s="95" t="s">
        <v>69</v>
      </c>
      <c r="C47" s="101">
        <f>C31</f>
        <v>2.5000000000000001E-2</v>
      </c>
    </row>
    <row r="48" spans="2:17" x14ac:dyDescent="0.3">
      <c r="B48" s="95" t="s">
        <v>80</v>
      </c>
      <c r="C48" s="113">
        <f>Yr5_EBITDA</f>
        <v>4137.6134798723824</v>
      </c>
    </row>
    <row r="49" spans="2:6" x14ac:dyDescent="0.3">
      <c r="B49" s="128" t="s">
        <v>83</v>
      </c>
      <c r="C49" s="114">
        <f>C32/Yr5_EBITDA</f>
        <v>11.367453200824073</v>
      </c>
    </row>
    <row r="50" spans="2:6" x14ac:dyDescent="0.3">
      <c r="B50" s="91"/>
      <c r="C50" s="115"/>
      <c r="E50" s="109"/>
      <c r="F50" s="115"/>
    </row>
  </sheetData>
  <mergeCells count="6">
    <mergeCell ref="F35:F44"/>
    <mergeCell ref="C3:E3"/>
    <mergeCell ref="F3:J3"/>
    <mergeCell ref="B26:C26"/>
    <mergeCell ref="B44:C44"/>
    <mergeCell ref="H33:Q33"/>
  </mergeCells>
  <conditionalFormatting sqref="C33">
    <cfRule type="cellIs" dxfId="3" priority="2" stopIfTrue="1" operator="equal">
      <formula>0.000001</formula>
    </cfRule>
  </conditionalFormatting>
  <conditionalFormatting sqref="H35:Q44">
    <cfRule type="expression" dxfId="2" priority="1">
      <formula>H35=$C$41</formula>
    </cfRule>
  </conditionalFormatting>
  <pageMargins left="0.7" right="0.7" top="0.75" bottom="0.75" header="0.3" footer="0.3"/>
  <ignoredErrors>
    <ignoredError sqref="B26:C28 B30:C31 B29 B33:C46 B32 B47:C49" unlockedFormula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BCAEE-A028-4ED5-AE96-7EF582887C95}">
  <sheetPr>
    <tabColor rgb="FF00B050"/>
  </sheetPr>
  <dimension ref="A1:Q56"/>
  <sheetViews>
    <sheetView showGridLines="0" tabSelected="1" zoomScale="80" zoomScaleNormal="80" workbookViewId="0">
      <selection activeCell="G31" sqref="G31"/>
    </sheetView>
  </sheetViews>
  <sheetFormatPr defaultRowHeight="14.4" x14ac:dyDescent="0.3"/>
  <cols>
    <col min="2" max="2" width="41" bestFit="1" customWidth="1"/>
    <col min="3" max="3" width="9.77734375" style="1" bestFit="1" customWidth="1"/>
    <col min="5" max="5" width="11.77734375" customWidth="1"/>
    <col min="6" max="6" width="8.5546875" bestFit="1" customWidth="1"/>
    <col min="7" max="7" width="12" customWidth="1"/>
    <col min="8" max="8" width="9.88671875" customWidth="1"/>
    <col min="9" max="17" width="8.5546875" bestFit="1" customWidth="1"/>
  </cols>
  <sheetData>
    <row r="1" spans="1:17" ht="15" thickBot="1" x14ac:dyDescent="0.35">
      <c r="A1" s="140" t="s">
        <v>110</v>
      </c>
      <c r="B1" s="139"/>
      <c r="C1" s="139"/>
      <c r="F1" s="177" t="s">
        <v>87</v>
      </c>
      <c r="G1" s="158">
        <f>Assumptions!J5-Assumptions!E5</f>
        <v>5</v>
      </c>
    </row>
    <row r="2" spans="1:17" x14ac:dyDescent="0.3">
      <c r="A2" s="99" t="s">
        <v>43</v>
      </c>
    </row>
    <row r="4" spans="1:17" x14ac:dyDescent="0.3">
      <c r="C4"/>
    </row>
    <row r="5" spans="1:17" ht="17.399999999999999" x14ac:dyDescent="0.3">
      <c r="B5" s="189" t="s">
        <v>67</v>
      </c>
      <c r="C5" s="190"/>
      <c r="H5" s="194" t="s">
        <v>111</v>
      </c>
      <c r="I5" s="195"/>
      <c r="J5" s="195"/>
      <c r="K5" s="195"/>
    </row>
    <row r="6" spans="1:17" x14ac:dyDescent="0.3">
      <c r="B6" s="92"/>
      <c r="C6" s="100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3">
      <c r="B7" s="93" t="s">
        <v>40</v>
      </c>
      <c r="C7" s="101">
        <f>WACC</f>
        <v>7.5186332546009246E-2</v>
      </c>
      <c r="F7" s="1"/>
      <c r="G7" s="119"/>
      <c r="H7" s="193" t="s">
        <v>116</v>
      </c>
      <c r="I7" s="1"/>
      <c r="J7" s="1"/>
      <c r="K7" s="1"/>
      <c r="L7" s="1"/>
      <c r="M7" s="1"/>
      <c r="N7" s="1"/>
      <c r="O7" s="1"/>
      <c r="P7" s="1"/>
      <c r="Q7" s="1"/>
    </row>
    <row r="8" spans="1:17" x14ac:dyDescent="0.3">
      <c r="B8" s="94" t="s">
        <v>68</v>
      </c>
      <c r="C8" s="102">
        <f>NPV(C7,DCF!F23:J23)</f>
        <v>8594.6295552001811</v>
      </c>
      <c r="F8" s="1"/>
      <c r="G8" s="119"/>
      <c r="H8" s="176">
        <v>0.5</v>
      </c>
      <c r="I8" s="1"/>
      <c r="J8" s="1"/>
      <c r="K8" s="1"/>
      <c r="L8" s="1"/>
      <c r="M8" s="1"/>
      <c r="N8" s="1"/>
      <c r="O8" s="1"/>
      <c r="P8" s="1"/>
      <c r="Q8" s="1"/>
    </row>
    <row r="9" spans="1:17" x14ac:dyDescent="0.3">
      <c r="B9" s="95"/>
      <c r="C9" s="103"/>
      <c r="F9" s="1"/>
      <c r="G9" s="119"/>
      <c r="H9" s="193" t="s">
        <v>115</v>
      </c>
      <c r="I9" s="1"/>
      <c r="J9" s="1"/>
      <c r="K9" s="1"/>
      <c r="L9" s="1"/>
      <c r="M9" s="1"/>
      <c r="N9" s="1"/>
      <c r="O9" s="1"/>
      <c r="P9" s="1"/>
      <c r="Q9" s="1"/>
    </row>
    <row r="10" spans="1:17" x14ac:dyDescent="0.3">
      <c r="B10" s="96" t="s">
        <v>86</v>
      </c>
      <c r="C10" s="118">
        <v>8.5</v>
      </c>
      <c r="F10" s="1"/>
      <c r="G10" s="1"/>
      <c r="H10" s="173">
        <v>5.0000000000000001E-3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3">
      <c r="B11" s="93" t="s">
        <v>70</v>
      </c>
      <c r="C11" s="105">
        <f>C10*Yr5_EBITDA</f>
        <v>35169.714578915249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3">
      <c r="B12" s="94" t="s">
        <v>71</v>
      </c>
      <c r="C12" s="106">
        <f>PV(WACC,G1,,-C11,0)</f>
        <v>24476.548013531727</v>
      </c>
      <c r="F12" s="1"/>
      <c r="G12" s="1"/>
      <c r="H12" s="187" t="s">
        <v>44</v>
      </c>
      <c r="I12" s="187"/>
      <c r="J12" s="187"/>
      <c r="K12" s="187"/>
      <c r="L12" s="187"/>
      <c r="M12" s="187"/>
      <c r="N12" s="187"/>
      <c r="O12" s="187"/>
      <c r="P12" s="187"/>
      <c r="Q12" s="187"/>
    </row>
    <row r="13" spans="1:17" x14ac:dyDescent="0.3">
      <c r="B13" s="95"/>
      <c r="C13" s="103"/>
      <c r="F13" s="1"/>
      <c r="G13" s="178">
        <f>C20</f>
        <v>157.84478119022279</v>
      </c>
      <c r="H13" s="196">
        <v>0.05</v>
      </c>
      <c r="I13" s="197">
        <f>H13+$H$10</f>
        <v>5.5E-2</v>
      </c>
      <c r="J13" s="197">
        <f>I13+$H$10</f>
        <v>0.06</v>
      </c>
      <c r="K13" s="197">
        <f>J13+$H$10</f>
        <v>6.5000000000000002E-2</v>
      </c>
      <c r="L13" s="197">
        <f>K13+$H$10</f>
        <v>7.0000000000000007E-2</v>
      </c>
      <c r="M13" s="197">
        <f>L13+$H$10</f>
        <v>7.5000000000000011E-2</v>
      </c>
      <c r="N13" s="197">
        <f>M13+$H$10</f>
        <v>8.0000000000000016E-2</v>
      </c>
      <c r="O13" s="197">
        <f>N13+$H$10</f>
        <v>8.500000000000002E-2</v>
      </c>
      <c r="P13" s="197">
        <f>O13+$H$10</f>
        <v>9.0000000000000024E-2</v>
      </c>
      <c r="Q13" s="197">
        <f>P13+$H$10</f>
        <v>9.5000000000000029E-2</v>
      </c>
    </row>
    <row r="14" spans="1:17" x14ac:dyDescent="0.3">
      <c r="B14" s="96" t="s">
        <v>72</v>
      </c>
      <c r="C14" s="107">
        <f>C8+C12</f>
        <v>33071.17756873191</v>
      </c>
      <c r="F14" s="188" t="s">
        <v>113</v>
      </c>
      <c r="G14" s="118">
        <v>5.5</v>
      </c>
      <c r="H14" s="198">
        <f>IFERROR((NPV(H$13,DCF!$F$23:$J$23) + PV(H$13,$G$1,,-$G14*Yr5_EBITDA,0)-$C$15)/$C$18, "Error")</f>
        <v>127.88702317631926</v>
      </c>
      <c r="I14" s="198">
        <f>IFERROR((NPV(I$13,DCF!$F$23:$J$23) + PV(I$13,$G$1,,-$G14*Yr5_EBITDA,0)-$C$15)/$C$18, "Error")</f>
        <v>125.16262400118596</v>
      </c>
      <c r="J14" s="198">
        <f>IFERROR((NPV(J$13,DCF!$F$23:$J$23) + PV(J$13,$G$1,,-$G14*Yr5_EBITDA,0)-$C$15)/$C$18, "Error")</f>
        <v>122.51057367568933</v>
      </c>
      <c r="K14" s="198">
        <f>IFERROR((NPV(K$13,DCF!$F$23:$J$23) + PV(K$13,$G$1,,-$G14*Yr5_EBITDA,0)-$C$15)/$C$18, "Error")</f>
        <v>119.92858226778364</v>
      </c>
      <c r="L14" s="198">
        <f>IFERROR((NPV(L$13,DCF!$F$23:$J$23) + PV(L$13,$G$1,,-$G14*Yr5_EBITDA,0)-$C$15)/$C$18, "Error")</f>
        <v>117.41444319942295</v>
      </c>
      <c r="M14" s="198">
        <f>IFERROR((NPV(M$13,DCF!$F$23:$J$23) + PV(M$13,$G$1,,-$G14*Yr5_EBITDA,0)-$C$15)/$C$18, "Error")</f>
        <v>114.96602982986052</v>
      </c>
      <c r="N14" s="198">
        <f>IFERROR((NPV(N$13,DCF!$F$23:$J$23) + PV(N$13,$G$1,,-$G14*Yr5_EBITDA,0)-$C$15)/$C$18, "Error")</f>
        <v>112.58129219434947</v>
      </c>
      <c r="O14" s="198">
        <f>IFERROR((NPV(O$13,DCF!$F$23:$J$23) + PV(O$13,$G$1,,-$G14*Yr5_EBITDA,0)-$C$15)/$C$18, "Error")</f>
        <v>110.25825389049292</v>
      </c>
      <c r="P14" s="198">
        <f>IFERROR((NPV(P$13,DCF!$F$23:$J$23) + PV(P$13,$G$1,,-$G14*Yr5_EBITDA,0)-$C$15)/$C$18, "Error")</f>
        <v>107.99500910490565</v>
      </c>
      <c r="Q14" s="198">
        <f>IFERROR((NPV(Q$13,DCF!$F$23:$J$23) + PV(Q$13,$G$1,,-$G14*Yr5_EBITDA,0)-$C$15)/$C$18, "Error")</f>
        <v>105.78971977325217</v>
      </c>
    </row>
    <row r="15" spans="1:17" x14ac:dyDescent="0.3">
      <c r="B15" s="95" t="s">
        <v>73</v>
      </c>
      <c r="C15" s="108">
        <v>1336.8</v>
      </c>
      <c r="F15" s="188"/>
      <c r="G15" s="116">
        <f>G14+$H$8</f>
        <v>6</v>
      </c>
      <c r="H15" s="198">
        <f>IFERROR((NPV(H$13,DCF!$F$23:$J$23) + PV(H$13,$G$1,,-$G15*Yr5_EBITDA,0)-$C$15)/$C$18, "Error")</f>
        <v>135.94959636335076</v>
      </c>
      <c r="I15" s="198">
        <f>IFERROR((NPV(I$13,DCF!$F$23:$J$23) + PV(I$13,$G$1,,-$G15*Yr5_EBITDA,0)-$C$15)/$C$18, "Error")</f>
        <v>133.03594334871929</v>
      </c>
      <c r="J15" s="198">
        <f>IFERROR((NPV(J$13,DCF!$F$23:$J$23) + PV(J$13,$G$1,,-$G15*Yr5_EBITDA,0)-$C$15)/$C$18, "Error")</f>
        <v>130.19994509195661</v>
      </c>
      <c r="K15" s="198">
        <f>IFERROR((NPV(K$13,DCF!$F$23:$J$23) + PV(K$13,$G$1,,-$G15*Yr5_EBITDA,0)-$C$15)/$C$18, "Error")</f>
        <v>127.43913892064673</v>
      </c>
      <c r="L15" s="198">
        <f>IFERROR((NPV(L$13,DCF!$F$23:$J$23) + PV(L$13,$G$1,,-$G15*Yr5_EBITDA,0)-$C$15)/$C$18, "Error")</f>
        <v>124.75115191374574</v>
      </c>
      <c r="M15" s="198">
        <f>IFERROR((NPV(M$13,DCF!$F$23:$J$23) + PV(M$13,$G$1,,-$G15*Yr5_EBITDA,0)-$C$15)/$C$18, "Error")</f>
        <v>122.1336972195717</v>
      </c>
      <c r="N15" s="198">
        <f>IFERROR((NPV(N$13,DCF!$F$23:$J$23) + PV(N$13,$G$1,,-$G15*Yr5_EBITDA,0)-$C$15)/$C$18, "Error")</f>
        <v>119.58457054136484</v>
      </c>
      <c r="O15" s="198">
        <f>IFERROR((NPV(O$13,DCF!$F$23:$J$23) + PV(O$13,$G$1,,-$G15*Yr5_EBITDA,0)-$C$15)/$C$18, "Error")</f>
        <v>117.1016467820553</v>
      </c>
      <c r="P15" s="198">
        <f>IFERROR((NPV(P$13,DCF!$F$23:$J$23) + PV(P$13,$G$1,,-$G15*Yr5_EBITDA,0)-$C$15)/$C$18, "Error")</f>
        <v>114.68287684032251</v>
      </c>
      <c r="Q15" s="198">
        <f>IFERROR((NPV(Q$13,DCF!$F$23:$J$23) + PV(Q$13,$G$1,,-$G15*Yr5_EBITDA,0)-$C$15)/$C$18, "Error")</f>
        <v>112.32628455046481</v>
      </c>
    </row>
    <row r="16" spans="1:17" x14ac:dyDescent="0.3">
      <c r="B16" s="97" t="s">
        <v>74</v>
      </c>
      <c r="C16" s="107">
        <f>C14-C15</f>
        <v>31734.37756873191</v>
      </c>
      <c r="F16" s="188"/>
      <c r="G16" s="116">
        <f>G15+$H$8</f>
        <v>6.5</v>
      </c>
      <c r="H16" s="198">
        <f>IFERROR((NPV(H$13,DCF!$F$23:$J$23) + PV(H$13,$G$1,,-$G16*Yr5_EBITDA,0)-$C$15)/$C$18, "Error")</f>
        <v>144.01216955038231</v>
      </c>
      <c r="I16" s="198">
        <f>IFERROR((NPV(I$13,DCF!$F$23:$J$23) + PV(I$13,$G$1,,-$G16*Yr5_EBITDA,0)-$C$15)/$C$18, "Error")</f>
        <v>140.9092626962526</v>
      </c>
      <c r="J16" s="198">
        <f>IFERROR((NPV(J$13,DCF!$F$23:$J$23) + PV(J$13,$G$1,,-$G16*Yr5_EBITDA,0)-$C$15)/$C$18, "Error")</f>
        <v>137.88931650822389</v>
      </c>
      <c r="K16" s="198">
        <f>IFERROR((NPV(K$13,DCF!$F$23:$J$23) + PV(K$13,$G$1,,-$G16*Yr5_EBITDA,0)-$C$15)/$C$18, "Error")</f>
        <v>134.94969557350981</v>
      </c>
      <c r="L16" s="198">
        <f>IFERROR((NPV(L$13,DCF!$F$23:$J$23) + PV(L$13,$G$1,,-$G16*Yr5_EBITDA,0)-$C$15)/$C$18, "Error")</f>
        <v>132.08786062806854</v>
      </c>
      <c r="M16" s="198">
        <f>IFERROR((NPV(M$13,DCF!$F$23:$J$23) + PV(M$13,$G$1,,-$G16*Yr5_EBITDA,0)-$C$15)/$C$18, "Error")</f>
        <v>129.3013646092829</v>
      </c>
      <c r="N16" s="198">
        <f>IFERROR((NPV(N$13,DCF!$F$23:$J$23) + PV(N$13,$G$1,,-$G16*Yr5_EBITDA,0)-$C$15)/$C$18, "Error")</f>
        <v>126.58784888838026</v>
      </c>
      <c r="O16" s="198">
        <f>IFERROR((NPV(O$13,DCF!$F$23:$J$23) + PV(O$13,$G$1,,-$G16*Yr5_EBITDA,0)-$C$15)/$C$18, "Error")</f>
        <v>123.94503967361769</v>
      </c>
      <c r="P16" s="198">
        <f>IFERROR((NPV(P$13,DCF!$F$23:$J$23) + PV(P$13,$G$1,,-$G16*Yr5_EBITDA,0)-$C$15)/$C$18, "Error")</f>
        <v>121.37074457573938</v>
      </c>
      <c r="Q16" s="198">
        <f>IFERROR((NPV(Q$13,DCF!$F$23:$J$23) + PV(Q$13,$G$1,,-$G16*Yr5_EBITDA,0)-$C$15)/$C$18, "Error")</f>
        <v>118.86284932767745</v>
      </c>
    </row>
    <row r="17" spans="2:17" x14ac:dyDescent="0.3">
      <c r="B17" s="91"/>
      <c r="C17" s="109"/>
      <c r="F17" s="188"/>
      <c r="G17" s="116">
        <f>G16+$H$8</f>
        <v>7</v>
      </c>
      <c r="H17" s="198">
        <f>IFERROR((NPV(H$13,DCF!$F$23:$J$23) + PV(H$13,$G$1,,-$G17*Yr5_EBITDA,0)-$C$15)/$C$18, "Error")</f>
        <v>152.07474273741383</v>
      </c>
      <c r="I17" s="198">
        <f>IFERROR((NPV(I$13,DCF!$F$23:$J$23) + PV(I$13,$G$1,,-$G17*Yr5_EBITDA,0)-$C$15)/$C$18, "Error")</f>
        <v>148.78258204378594</v>
      </c>
      <c r="J17" s="198">
        <f>IFERROR((NPV(J$13,DCF!$F$23:$J$23) + PV(J$13,$G$1,,-$G17*Yr5_EBITDA,0)-$C$15)/$C$18, "Error")</f>
        <v>145.57868792449113</v>
      </c>
      <c r="K17" s="198">
        <f>IFERROR((NPV(K$13,DCF!$F$23:$J$23) + PV(K$13,$G$1,,-$G17*Yr5_EBITDA,0)-$C$15)/$C$18, "Error")</f>
        <v>142.46025222637289</v>
      </c>
      <c r="L17" s="198">
        <f>IFERROR((NPV(L$13,DCF!$F$23:$J$23) + PV(L$13,$G$1,,-$G17*Yr5_EBITDA,0)-$C$15)/$C$18, "Error")</f>
        <v>139.42456934239129</v>
      </c>
      <c r="M17" s="198">
        <f>IFERROR((NPV(M$13,DCF!$F$23:$J$23) + PV(M$13,$G$1,,-$G17*Yr5_EBITDA,0)-$C$15)/$C$18, "Error")</f>
        <v>136.4690319989941</v>
      </c>
      <c r="N17" s="198">
        <f>IFERROR((NPV(N$13,DCF!$F$23:$J$23) + PV(N$13,$G$1,,-$G17*Yr5_EBITDA,0)-$C$15)/$C$18, "Error")</f>
        <v>133.59112723539562</v>
      </c>
      <c r="O17" s="198">
        <f>IFERROR((NPV(O$13,DCF!$F$23:$J$23) + PV(O$13,$G$1,,-$G17*Yr5_EBITDA,0)-$C$15)/$C$18, "Error")</f>
        <v>130.78843256518007</v>
      </c>
      <c r="P17" s="198">
        <f>IFERROR((NPV(P$13,DCF!$F$23:$J$23) + PV(P$13,$G$1,,-$G17*Yr5_EBITDA,0)-$C$15)/$C$18, "Error")</f>
        <v>128.05861231115622</v>
      </c>
      <c r="Q17" s="198">
        <f>IFERROR((NPV(Q$13,DCF!$F$23:$J$23) + PV(Q$13,$G$1,,-$G17*Yr5_EBITDA,0)-$C$15)/$C$18, "Error")</f>
        <v>125.39941410489008</v>
      </c>
    </row>
    <row r="18" spans="2:17" x14ac:dyDescent="0.3">
      <c r="B18" s="98" t="s">
        <v>75</v>
      </c>
      <c r="C18" s="120">
        <v>201.048</v>
      </c>
      <c r="F18" s="188"/>
      <c r="G18" s="116">
        <f>G17+$H$8</f>
        <v>7.5</v>
      </c>
      <c r="H18" s="198">
        <f>IFERROR((NPV(H$13,DCF!$F$23:$J$23) + PV(H$13,$G$1,,-$G18*Yr5_EBITDA,0)-$C$15)/$C$18, "Error")</f>
        <v>160.13731592444535</v>
      </c>
      <c r="I18" s="198">
        <f>IFERROR((NPV(I$13,DCF!$F$23:$J$23) + PV(I$13,$G$1,,-$G18*Yr5_EBITDA,0)-$C$15)/$C$18, "Error")</f>
        <v>156.65590139131928</v>
      </c>
      <c r="J18" s="198">
        <f>IFERROR((NPV(J$13,DCF!$F$23:$J$23) + PV(J$13,$G$1,,-$G18*Yr5_EBITDA,0)-$C$15)/$C$18, "Error")</f>
        <v>153.26805934075841</v>
      </c>
      <c r="K18" s="198">
        <f>IFERROR((NPV(K$13,DCF!$F$23:$J$23) + PV(K$13,$G$1,,-$G18*Yr5_EBITDA,0)-$C$15)/$C$18, "Error")</f>
        <v>149.97080887923599</v>
      </c>
      <c r="L18" s="198">
        <f>IFERROR((NPV(L$13,DCF!$F$23:$J$23) + PV(L$13,$G$1,,-$G18*Yr5_EBITDA,0)-$C$15)/$C$18, "Error")</f>
        <v>146.7612780567141</v>
      </c>
      <c r="M18" s="198">
        <f>IFERROR((NPV(M$13,DCF!$F$23:$J$23) + PV(M$13,$G$1,,-$G18*Yr5_EBITDA,0)-$C$15)/$C$18, "Error")</f>
        <v>143.63669938870527</v>
      </c>
      <c r="N18" s="198">
        <f>IFERROR((NPV(N$13,DCF!$F$23:$J$23) + PV(N$13,$G$1,,-$G18*Yr5_EBITDA,0)-$C$15)/$C$18, "Error")</f>
        <v>140.59440558241104</v>
      </c>
      <c r="O18" s="198">
        <f>IFERROR((NPV(O$13,DCF!$F$23:$J$23) + PV(O$13,$G$1,,-$G18*Yr5_EBITDA,0)-$C$15)/$C$18, "Error")</f>
        <v>137.63182545674246</v>
      </c>
      <c r="P18" s="198">
        <f>IFERROR((NPV(P$13,DCF!$F$23:$J$23) + PV(P$13,$G$1,,-$G18*Yr5_EBITDA,0)-$C$15)/$C$18, "Error")</f>
        <v>134.74648004657311</v>
      </c>
      <c r="Q18" s="198">
        <f>IFERROR((NPV(Q$13,DCF!$F$23:$J$23) + PV(Q$13,$G$1,,-$G18*Yr5_EBITDA,0)-$C$15)/$C$18, "Error")</f>
        <v>131.93597888210272</v>
      </c>
    </row>
    <row r="19" spans="2:17" x14ac:dyDescent="0.3">
      <c r="B19" s="91"/>
      <c r="C19" s="109"/>
      <c r="F19" s="188"/>
      <c r="G19" s="116">
        <f>G18+$H$8</f>
        <v>8</v>
      </c>
      <c r="H19" s="198">
        <f>IFERROR((NPV(H$13,DCF!$F$23:$J$23) + PV(H$13,$G$1,,-$G19*Yr5_EBITDA,0)-$C$15)/$C$18, "Error")</f>
        <v>168.19988911147686</v>
      </c>
      <c r="I19" s="198">
        <f>IFERROR((NPV(I$13,DCF!$F$23:$J$23) + PV(I$13,$G$1,,-$G19*Yr5_EBITDA,0)-$C$15)/$C$18, "Error")</f>
        <v>164.52922073885256</v>
      </c>
      <c r="J19" s="198">
        <f>IFERROR((NPV(J$13,DCF!$F$23:$J$23) + PV(J$13,$G$1,,-$G19*Yr5_EBITDA,0)-$C$15)/$C$18, "Error")</f>
        <v>160.95743075702569</v>
      </c>
      <c r="K19" s="198">
        <f>IFERROR((NPV(K$13,DCF!$F$23:$J$23) + PV(K$13,$G$1,,-$G19*Yr5_EBITDA,0)-$C$15)/$C$18, "Error")</f>
        <v>157.48136553209903</v>
      </c>
      <c r="L19" s="198">
        <f>IFERROR((NPV(L$13,DCF!$F$23:$J$23) + PV(L$13,$G$1,,-$G19*Yr5_EBITDA,0)-$C$15)/$C$18, "Error")</f>
        <v>154.09798677103689</v>
      </c>
      <c r="M19" s="198">
        <f>IFERROR((NPV(M$13,DCF!$F$23:$J$23) + PV(M$13,$G$1,,-$G19*Yr5_EBITDA,0)-$C$15)/$C$18, "Error")</f>
        <v>150.80436677841647</v>
      </c>
      <c r="N19" s="198">
        <f>IFERROR((NPV(N$13,DCF!$F$23:$J$23) + PV(N$13,$G$1,,-$G19*Yr5_EBITDA,0)-$C$15)/$C$18, "Error")</f>
        <v>147.59768392942641</v>
      </c>
      <c r="O19" s="198">
        <f>IFERROR((NPV(O$13,DCF!$F$23:$J$23) + PV(O$13,$G$1,,-$G19*Yr5_EBITDA,0)-$C$15)/$C$18, "Error")</f>
        <v>144.47521834830485</v>
      </c>
      <c r="P19" s="198">
        <f>IFERROR((NPV(P$13,DCF!$F$23:$J$23) + PV(P$13,$G$1,,-$G19*Yr5_EBITDA,0)-$C$15)/$C$18, "Error")</f>
        <v>141.43434778198997</v>
      </c>
      <c r="Q19" s="198">
        <f>IFERROR((NPV(Q$13,DCF!$F$23:$J$23) + PV(Q$13,$G$1,,-$G19*Yr5_EBITDA,0)-$C$15)/$C$18, "Error")</f>
        <v>138.47254365931536</v>
      </c>
    </row>
    <row r="20" spans="2:17" x14ac:dyDescent="0.3">
      <c r="B20" s="129" t="s">
        <v>76</v>
      </c>
      <c r="C20" s="112">
        <f>C16/C18</f>
        <v>157.84478119022279</v>
      </c>
      <c r="F20" s="188"/>
      <c r="G20" s="116">
        <f>G19+$H$8</f>
        <v>8.5</v>
      </c>
      <c r="H20" s="198">
        <f>IFERROR((NPV(H$13,DCF!$F$23:$J$23) + PV(H$13,$G$1,,-$G20*Yr5_EBITDA,0)-$C$15)/$C$18, "Error")</f>
        <v>176.26246229850838</v>
      </c>
      <c r="I20" s="198">
        <f>IFERROR((NPV(I$13,DCF!$F$23:$J$23) + PV(I$13,$G$1,,-$G20*Yr5_EBITDA,0)-$C$15)/$C$18, "Error")</f>
        <v>172.40254008638584</v>
      </c>
      <c r="J20" s="198">
        <f>IFERROR((NPV(J$13,DCF!$F$23:$J$23) + PV(J$13,$G$1,,-$G20*Yr5_EBITDA,0)-$C$15)/$C$18, "Error")</f>
        <v>168.64680217329294</v>
      </c>
      <c r="K20" s="198">
        <f>IFERROR((NPV(K$13,DCF!$F$23:$J$23) + PV(K$13,$G$1,,-$G20*Yr5_EBITDA,0)-$C$15)/$C$18, "Error")</f>
        <v>164.99192218496211</v>
      </c>
      <c r="L20" s="198">
        <f>IFERROR((NPV(L$13,DCF!$F$23:$J$23) + PV(L$13,$G$1,,-$G20*Yr5_EBITDA,0)-$C$15)/$C$18, "Error")</f>
        <v>161.43469548535967</v>
      </c>
      <c r="M20" s="198">
        <f>IFERROR((NPV(M$13,DCF!$F$23:$J$23) + PV(M$13,$G$1,,-$G20*Yr5_EBITDA,0)-$C$15)/$C$18, "Error")</f>
        <v>157.97203416812766</v>
      </c>
      <c r="N20" s="198">
        <f>IFERROR((NPV(N$13,DCF!$F$23:$J$23) + PV(N$13,$G$1,,-$G20*Yr5_EBITDA,0)-$C$15)/$C$18, "Error")</f>
        <v>154.60096227644175</v>
      </c>
      <c r="O20" s="198">
        <f>IFERROR((NPV(O$13,DCF!$F$23:$J$23) + PV(O$13,$G$1,,-$G20*Yr5_EBITDA,0)-$C$15)/$C$18, "Error")</f>
        <v>151.31861123986721</v>
      </c>
      <c r="P20" s="198">
        <f>IFERROR((NPV(P$13,DCF!$F$23:$J$23) + PV(P$13,$G$1,,-$G20*Yr5_EBITDA,0)-$C$15)/$C$18, "Error")</f>
        <v>148.12221551740683</v>
      </c>
      <c r="Q20" s="198">
        <f>IFERROR((NPV(Q$13,DCF!$F$23:$J$23) + PV(Q$13,$G$1,,-$G20*Yr5_EBITDA,0)-$C$15)/$C$18, "Error")</f>
        <v>145.00910843652798</v>
      </c>
    </row>
    <row r="21" spans="2:17" x14ac:dyDescent="0.3">
      <c r="B21" s="91"/>
      <c r="C21" s="109"/>
      <c r="F21" s="188"/>
      <c r="G21" s="116">
        <f>G20+$H$8</f>
        <v>9</v>
      </c>
      <c r="H21" s="198">
        <f>IFERROR((NPV(H$13,DCF!$F$23:$J$23) + PV(H$13,$G$1,,-$G21*Yr5_EBITDA,0)-$C$15)/$C$18, "Error")</f>
        <v>184.3250354855399</v>
      </c>
      <c r="I21" s="198">
        <f>IFERROR((NPV(I$13,DCF!$F$23:$J$23) + PV(I$13,$G$1,,-$G21*Yr5_EBITDA,0)-$C$15)/$C$18, "Error")</f>
        <v>180.27585943391918</v>
      </c>
      <c r="J21" s="198">
        <f>IFERROR((NPV(J$13,DCF!$F$23:$J$23) + PV(J$13,$G$1,,-$G21*Yr5_EBITDA,0)-$C$15)/$C$18, "Error")</f>
        <v>176.33617358956022</v>
      </c>
      <c r="K21" s="198">
        <f>IFERROR((NPV(K$13,DCF!$F$23:$J$23) + PV(K$13,$G$1,,-$G21*Yr5_EBITDA,0)-$C$15)/$C$18, "Error")</f>
        <v>172.50247883782518</v>
      </c>
      <c r="L21" s="198">
        <f>IFERROR((NPV(L$13,DCF!$F$23:$J$23) + PV(L$13,$G$1,,-$G21*Yr5_EBITDA,0)-$C$15)/$C$18, "Error")</f>
        <v>168.77140419968242</v>
      </c>
      <c r="M21" s="198">
        <f>IFERROR((NPV(M$13,DCF!$F$23:$J$23) + PV(M$13,$G$1,,-$G21*Yr5_EBITDA,0)-$C$15)/$C$18, "Error")</f>
        <v>165.13970155783883</v>
      </c>
      <c r="N21" s="198">
        <f>IFERROR((NPV(N$13,DCF!$F$23:$J$23) + PV(N$13,$G$1,,-$G21*Yr5_EBITDA,0)-$C$15)/$C$18, "Error")</f>
        <v>161.60424062345714</v>
      </c>
      <c r="O21" s="198">
        <f>IFERROR((NPV(O$13,DCF!$F$23:$J$23) + PV(O$13,$G$1,,-$G21*Yr5_EBITDA,0)-$C$15)/$C$18, "Error")</f>
        <v>158.1620041314296</v>
      </c>
      <c r="P21" s="198">
        <f>IFERROR((NPV(P$13,DCF!$F$23:$J$23) + PV(P$13,$G$1,,-$G21*Yr5_EBITDA,0)-$C$15)/$C$18, "Error")</f>
        <v>154.81008325282369</v>
      </c>
      <c r="Q21" s="198">
        <f>IFERROR((NPV(Q$13,DCF!$F$23:$J$23) + PV(Q$13,$G$1,,-$G21*Yr5_EBITDA,0)-$C$15)/$C$18, "Error")</f>
        <v>151.5456732137406</v>
      </c>
    </row>
    <row r="22" spans="2:17" x14ac:dyDescent="0.3">
      <c r="F22" s="188"/>
      <c r="G22" s="116">
        <f>G21+$H$8</f>
        <v>9.5</v>
      </c>
      <c r="H22" s="198">
        <f>IFERROR((NPV(H$13,DCF!$F$23:$J$23) + PV(H$13,$G$1,,-$G22*Yr5_EBITDA,0)-$C$15)/$C$18, "Error")</f>
        <v>192.38760867257145</v>
      </c>
      <c r="I22" s="198">
        <f>IFERROR((NPV(I$13,DCF!$F$23:$J$23) + PV(I$13,$G$1,,-$G22*Yr5_EBITDA,0)-$C$15)/$C$18, "Error")</f>
        <v>188.14917878145252</v>
      </c>
      <c r="J22" s="198">
        <f>IFERROR((NPV(J$13,DCF!$F$23:$J$23) + PV(J$13,$G$1,,-$G22*Yr5_EBITDA,0)-$C$15)/$C$18, "Error")</f>
        <v>184.0255450058275</v>
      </c>
      <c r="K22" s="198">
        <f>IFERROR((NPV(K$13,DCF!$F$23:$J$23) + PV(K$13,$G$1,,-$G22*Yr5_EBITDA,0)-$C$15)/$C$18, "Error")</f>
        <v>180.01303549068828</v>
      </c>
      <c r="L22" s="198">
        <f>IFERROR((NPV(L$13,DCF!$F$23:$J$23) + PV(L$13,$G$1,,-$G22*Yr5_EBITDA,0)-$C$15)/$C$18, "Error")</f>
        <v>176.10811291400526</v>
      </c>
      <c r="M22" s="198">
        <f>IFERROR((NPV(M$13,DCF!$F$23:$J$23) + PV(M$13,$G$1,,-$G22*Yr5_EBITDA,0)-$C$15)/$C$18, "Error")</f>
        <v>172.30736894755003</v>
      </c>
      <c r="N22" s="198">
        <f>IFERROR((NPV(N$13,DCF!$F$23:$J$23) + PV(N$13,$G$1,,-$G22*Yr5_EBITDA,0)-$C$15)/$C$18, "Error")</f>
        <v>168.60751897047254</v>
      </c>
      <c r="O22" s="198">
        <f>IFERROR((NPV(O$13,DCF!$F$23:$J$23) + PV(O$13,$G$1,,-$G22*Yr5_EBITDA,0)-$C$15)/$C$18, "Error")</f>
        <v>165.00539702299199</v>
      </c>
      <c r="P22" s="198">
        <f>IFERROR((NPV(P$13,DCF!$F$23:$J$23) + PV(P$13,$G$1,,-$G22*Yr5_EBITDA,0)-$C$15)/$C$18, "Error")</f>
        <v>161.49795098824055</v>
      </c>
      <c r="Q22" s="198">
        <f>IFERROR((NPV(Q$13,DCF!$F$23:$J$23) + PV(Q$13,$G$1,,-$G22*Yr5_EBITDA,0)-$C$15)/$C$18, "Error")</f>
        <v>158.08223799095325</v>
      </c>
    </row>
    <row r="23" spans="2:17" x14ac:dyDescent="0.3">
      <c r="B23" s="189" t="s">
        <v>78</v>
      </c>
      <c r="C23" s="190"/>
      <c r="F23" s="188"/>
      <c r="G23" s="116">
        <f>G22+$H$8</f>
        <v>10</v>
      </c>
      <c r="H23" s="198">
        <f>IFERROR((NPV(H$13,DCF!$F$23:$J$23) + PV(H$13,$G$1,,-$G23*Yr5_EBITDA,0)-$C$15)/$C$18, "Error")</f>
        <v>200.45018185960296</v>
      </c>
      <c r="I23" s="198">
        <f>IFERROR((NPV(I$13,DCF!$F$23:$J$23) + PV(I$13,$G$1,,-$G23*Yr5_EBITDA,0)-$C$15)/$C$18, "Error")</f>
        <v>196.02249812898583</v>
      </c>
      <c r="J23" s="198">
        <f>IFERROR((NPV(J$13,DCF!$F$23:$J$23) + PV(J$13,$G$1,,-$G23*Yr5_EBITDA,0)-$C$15)/$C$18, "Error")</f>
        <v>191.71491642209477</v>
      </c>
      <c r="K23" s="198">
        <f>IFERROR((NPV(K$13,DCF!$F$23:$J$23) + PV(K$13,$G$1,,-$G23*Yr5_EBITDA,0)-$C$15)/$C$18, "Error")</f>
        <v>187.52359214355135</v>
      </c>
      <c r="L23" s="198">
        <f>IFERROR((NPV(L$13,DCF!$F$23:$J$23) + PV(L$13,$G$1,,-$G23*Yr5_EBITDA,0)-$C$15)/$C$18, "Error")</f>
        <v>183.44482162832801</v>
      </c>
      <c r="M23" s="198">
        <f>IFERROR((NPV(M$13,DCF!$F$23:$J$23) + PV(M$13,$G$1,,-$G23*Yr5_EBITDA,0)-$C$15)/$C$18, "Error")</f>
        <v>179.4750363372612</v>
      </c>
      <c r="N23" s="198">
        <f>IFERROR((NPV(N$13,DCF!$F$23:$J$23) + PV(N$13,$G$1,,-$G23*Yr5_EBITDA,0)-$C$15)/$C$18, "Error")</f>
        <v>175.61079731748794</v>
      </c>
      <c r="O23" s="198">
        <f>IFERROR((NPV(O$13,DCF!$F$23:$J$23) + PV(O$13,$G$1,,-$G23*Yr5_EBITDA,0)-$C$15)/$C$18, "Error")</f>
        <v>171.84878991455437</v>
      </c>
      <c r="P23" s="198">
        <f>IFERROR((NPV(P$13,DCF!$F$23:$J$23) + PV(P$13,$G$1,,-$G23*Yr5_EBITDA,0)-$C$15)/$C$18, "Error")</f>
        <v>168.18581872365738</v>
      </c>
      <c r="Q23" s="198">
        <f>IFERROR((NPV(Q$13,DCF!$F$23:$J$23) + PV(Q$13,$G$1,,-$G23*Yr5_EBITDA,0)-$C$15)/$C$18, "Error")</f>
        <v>164.61880276816586</v>
      </c>
    </row>
    <row r="24" spans="2:17" x14ac:dyDescent="0.3">
      <c r="B24" s="92" t="s">
        <v>80</v>
      </c>
      <c r="C24" s="127">
        <f>Yr5_EBITDA</f>
        <v>4137.6134798723824</v>
      </c>
      <c r="G24" s="1"/>
      <c r="H24" s="1"/>
    </row>
    <row r="25" spans="2:17" x14ac:dyDescent="0.3">
      <c r="B25" s="95" t="s">
        <v>81</v>
      </c>
      <c r="C25" s="101">
        <f>WACC</f>
        <v>7.5186332546009246E-2</v>
      </c>
      <c r="G25" s="1"/>
      <c r="H25" s="1"/>
    </row>
    <row r="26" spans="2:17" x14ac:dyDescent="0.3">
      <c r="B26" s="95" t="s">
        <v>82</v>
      </c>
      <c r="C26" s="116">
        <f>C10</f>
        <v>8.5</v>
      </c>
      <c r="G26" s="1"/>
      <c r="H26" s="1"/>
    </row>
    <row r="27" spans="2:17" x14ac:dyDescent="0.3">
      <c r="B27" s="95" t="s">
        <v>79</v>
      </c>
      <c r="C27" s="113">
        <f>UFCF_Yr5</f>
        <v>2302.8979205088876</v>
      </c>
      <c r="E27" s="88" t="s">
        <v>88</v>
      </c>
      <c r="F27" s="123" t="s">
        <v>89</v>
      </c>
      <c r="G27" s="124" t="s">
        <v>90</v>
      </c>
      <c r="H27" s="124" t="s">
        <v>91</v>
      </c>
    </row>
    <row r="28" spans="2:17" x14ac:dyDescent="0.3">
      <c r="B28" s="128" t="s">
        <v>84</v>
      </c>
      <c r="C28" s="117">
        <v>2.4501600205049712E-2</v>
      </c>
      <c r="E28" s="125">
        <f>C11</f>
        <v>35169.714578915249</v>
      </c>
      <c r="F28" s="123" t="s">
        <v>89</v>
      </c>
      <c r="G28" s="126">
        <f>C27*(1+C28)/(WACC-C28)</f>
        <v>46548.980249099834</v>
      </c>
      <c r="H28" s="124"/>
    </row>
    <row r="29" spans="2:17" x14ac:dyDescent="0.3">
      <c r="C29"/>
    </row>
    <row r="30" spans="2:17" x14ac:dyDescent="0.3">
      <c r="C30"/>
    </row>
    <row r="31" spans="2:17" x14ac:dyDescent="0.3">
      <c r="C31"/>
    </row>
    <row r="41" ht="14.4" customHeight="1" x14ac:dyDescent="0.3"/>
    <row r="51" spans="3:15" x14ac:dyDescent="0.3">
      <c r="C51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</row>
    <row r="52" spans="3:15" x14ac:dyDescent="0.3">
      <c r="C52"/>
      <c r="D52" s="130"/>
      <c r="E52" s="130"/>
      <c r="F52" s="130"/>
      <c r="G52" s="130"/>
      <c r="H52" s="1"/>
      <c r="I52" s="1"/>
      <c r="J52" s="1"/>
      <c r="K52" s="1"/>
      <c r="L52" s="1"/>
      <c r="M52" s="1"/>
      <c r="N52" s="1"/>
      <c r="O52" s="1"/>
    </row>
    <row r="53" spans="3:15" x14ac:dyDescent="0.3">
      <c r="C53"/>
    </row>
    <row r="54" spans="3:15" x14ac:dyDescent="0.3">
      <c r="C54"/>
    </row>
    <row r="55" spans="3:15" x14ac:dyDescent="0.3">
      <c r="C55"/>
    </row>
    <row r="56" spans="3:15" x14ac:dyDescent="0.3">
      <c r="C56"/>
    </row>
  </sheetData>
  <protectedRanges>
    <protectedRange sqref="C10" name="Range1_1"/>
  </protectedRanges>
  <mergeCells count="4">
    <mergeCell ref="B5:C5"/>
    <mergeCell ref="B23:C23"/>
    <mergeCell ref="H12:Q12"/>
    <mergeCell ref="F14:F23"/>
  </mergeCells>
  <conditionalFormatting sqref="S12 C12">
    <cfRule type="cellIs" dxfId="1" priority="2" stopIfTrue="1" operator="equal">
      <formula>0.000001</formula>
    </cfRule>
  </conditionalFormatting>
  <conditionalFormatting sqref="H14:Q23">
    <cfRule type="expression" dxfId="0" priority="1">
      <formula>H14=$C$20</formula>
    </cfRule>
  </conditionalFormatting>
  <pageMargins left="0.7" right="0.7" top="0.75" bottom="0.75" header="0.3" footer="0.3"/>
  <ignoredErrors>
    <ignoredError sqref="C24:C28 C7:C19" unlockedFormula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15</vt:i4>
      </vt:variant>
    </vt:vector>
  </HeadingPairs>
  <TitlesOfParts>
    <vt:vector size="21" baseType="lpstr">
      <vt:lpstr>Instructions</vt:lpstr>
      <vt:lpstr>WACC</vt:lpstr>
      <vt:lpstr>Assumptions</vt:lpstr>
      <vt:lpstr>NWC</vt:lpstr>
      <vt:lpstr>DCF</vt:lpstr>
      <vt:lpstr>Multiples</vt:lpstr>
      <vt:lpstr>After_tax_cost_of_debt</vt:lpstr>
      <vt:lpstr>Beta</vt:lpstr>
      <vt:lpstr>Comp_multiple</vt:lpstr>
      <vt:lpstr>Cost_of_debt</vt:lpstr>
      <vt:lpstr>Cost_of_equity</vt:lpstr>
      <vt:lpstr>Marginal_tax_rate</vt:lpstr>
      <vt:lpstr>Market_risk_premium</vt:lpstr>
      <vt:lpstr>Market_value_of_equity</vt:lpstr>
      <vt:lpstr>Number_of_days_in_period</vt:lpstr>
      <vt:lpstr>Risk_free_rate</vt:lpstr>
      <vt:lpstr>Total_capital</vt:lpstr>
      <vt:lpstr>Total_debt</vt:lpstr>
      <vt:lpstr>UFCF_Yr5</vt:lpstr>
      <vt:lpstr>WACC</vt:lpstr>
      <vt:lpstr>Yr5_EBITDA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2026-01-17T22:24:32Z</dcterms:created>
  <dcterms:modified xsi:type="dcterms:W3CDTF">2026-01-18T20:26:43Z</dcterms:modified>
</cp:coreProperties>
</file>