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GGai\OneDrive\Desktop\Freelance\Jerry Sprouse\"/>
    </mc:Choice>
  </mc:AlternateContent>
  <xr:revisionPtr revIDLastSave="0" documentId="13_ncr:1_{9416C22F-7732-4922-9313-7F0A1255972D}" xr6:coauthVersionLast="47" xr6:coauthVersionMax="47" xr10:uidLastSave="{00000000-0000-0000-0000-000000000000}"/>
  <bookViews>
    <workbookView xWindow="-108" yWindow="-108" windowWidth="23256" windowHeight="12456" xr2:uid="{D966F667-7C6C-4311-B1E7-F3DF7875915A}"/>
  </bookViews>
  <sheets>
    <sheet name="Model" sheetId="1" r:id="rId1"/>
    <sheet name="Lookup Table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1" i="1" l="1" a="1"/>
  <c r="A21" i="1" s="1"/>
  <c r="A12" i="1" l="1" a="1"/>
  <c r="A6" i="3"/>
  <c r="A7" i="3" s="1"/>
  <c r="A8" i="3" s="1"/>
  <c r="H16" i="1" l="1"/>
  <c r="H15" i="1"/>
  <c r="N15" i="1"/>
  <c r="N16" i="1"/>
  <c r="N13" i="1"/>
  <c r="N14" i="1"/>
  <c r="H14" i="1"/>
  <c r="H13" i="1"/>
  <c r="A12" i="1"/>
  <c r="E16" i="1"/>
  <c r="E13" i="1"/>
  <c r="E15" i="1"/>
  <c r="B24" i="1" s="1"/>
  <c r="E14" i="1"/>
  <c r="L12" i="1" l="1"/>
  <c r="I13" i="1"/>
  <c r="J13" i="1" s="1"/>
  <c r="C22" i="1" s="1"/>
  <c r="B22" i="1"/>
  <c r="M16" i="1"/>
  <c r="D25" i="1" s="1"/>
  <c r="B25" i="1"/>
  <c r="I14" i="1"/>
  <c r="J14" i="1" s="1"/>
  <c r="C23" i="1" s="1"/>
  <c r="B23" i="1"/>
  <c r="O16" i="1"/>
  <c r="P16" i="1" s="1"/>
  <c r="E25" i="1" s="1"/>
  <c r="I15" i="1"/>
  <c r="J15" i="1" s="1"/>
  <c r="C24" i="1" s="1"/>
  <c r="M15" i="1"/>
  <c r="D24" i="1" s="1"/>
  <c r="O15" i="1"/>
  <c r="P15" i="1" s="1"/>
  <c r="E24" i="1" s="1"/>
  <c r="M13" i="1"/>
  <c r="D22" i="1" s="1"/>
  <c r="G12" i="1"/>
  <c r="M14" i="1"/>
  <c r="D23" i="1" s="1"/>
  <c r="O14" i="1"/>
  <c r="P14" i="1" s="1"/>
  <c r="E23" i="1" s="1"/>
  <c r="H12" i="1"/>
  <c r="N12" i="1"/>
  <c r="O13" i="1"/>
  <c r="P13" i="1" s="1"/>
  <c r="E22" i="1" s="1"/>
  <c r="I16" i="1"/>
  <c r="J16" i="1" s="1"/>
  <c r="C25" i="1" s="1"/>
  <c r="E12" i="1"/>
  <c r="I12" i="1" l="1"/>
  <c r="J12" i="1" s="1"/>
  <c r="C21" i="1" s="1"/>
  <c r="B21" i="1"/>
  <c r="M12" i="1"/>
  <c r="D21" i="1" s="1"/>
  <c r="O12" i="1"/>
  <c r="P12" i="1" s="1"/>
  <c r="E2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<sst xmlns="http://schemas.openxmlformats.org/spreadsheetml/2006/main" count="53" uniqueCount="42">
  <si>
    <t>Term (# years)</t>
  </si>
  <si>
    <t>Beeline</t>
  </si>
  <si>
    <t>Total Spend</t>
  </si>
  <si>
    <t>Base</t>
  </si>
  <si>
    <t>Additional</t>
  </si>
  <si>
    <t>Service Fee</t>
  </si>
  <si>
    <t>Spend</t>
  </si>
  <si>
    <t>Additional Service Fee</t>
  </si>
  <si>
    <t>#Multiplier</t>
  </si>
  <si>
    <t>Implementation</t>
  </si>
  <si>
    <t>Excess Implementation rate</t>
  </si>
  <si>
    <t>Charge</t>
  </si>
  <si>
    <t>Implementation Hours (750 hrs)</t>
  </si>
  <si>
    <t>hrs</t>
  </si>
  <si>
    <t>Total Cost</t>
  </si>
  <si>
    <t>VNDLY</t>
  </si>
  <si>
    <t>Transactional</t>
  </si>
  <si>
    <t>Sow &amp; Contingent</t>
  </si>
  <si>
    <t>Annual</t>
  </si>
  <si>
    <t>Fee</t>
  </si>
  <si>
    <t>%Fee</t>
  </si>
  <si>
    <t>Subscritpion</t>
  </si>
  <si>
    <t>Billed at</t>
  </si>
  <si>
    <t>Minimum</t>
  </si>
  <si>
    <t>Included hours</t>
  </si>
  <si>
    <t>5000-15000 depending</t>
  </si>
  <si>
    <t>Additional Hours (hoursly)</t>
  </si>
  <si>
    <t>Overage</t>
  </si>
  <si>
    <t>Base (Annual)</t>
  </si>
  <si>
    <t>Subscription (Annual)</t>
  </si>
  <si>
    <t>Workday Connector</t>
  </si>
  <si>
    <t>Implementation (hrs)</t>
  </si>
  <si>
    <t>NOTE:</t>
  </si>
  <si>
    <t>Only Yellow Cells are changeable</t>
  </si>
  <si>
    <t>North America</t>
  </si>
  <si>
    <t>Europe</t>
  </si>
  <si>
    <t>Africa</t>
  </si>
  <si>
    <t>Option A</t>
  </si>
  <si>
    <t>Option B</t>
  </si>
  <si>
    <t>Pricing: Option A</t>
  </si>
  <si>
    <t>Pricing: Option B</t>
  </si>
  <si>
    <t>Option B (V2)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</si>
</sst>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2" borderId="1" xfId="0" applyFill="1" applyBorder="1" applyAlignment="1">
      <alignment horizontal="center"/>
    </xf>
    <xf numFmtId="164" fontId="0" fillId="0" borderId="0" xfId="0" applyNumberFormat="1"/>
    <xf numFmtId="6" fontId="0" fillId="0" borderId="0" xfId="0" applyNumberFormat="1"/>
    <xf numFmtId="164" fontId="0" fillId="0" borderId="0" xfId="0" applyNumberFormat="1" applyAlignment="1">
      <alignment horizontal="center"/>
    </xf>
    <xf numFmtId="10" fontId="0" fillId="0" borderId="0" xfId="0" applyNumberFormat="1"/>
    <xf numFmtId="164" fontId="0" fillId="0" borderId="0" xfId="1" applyNumberFormat="1" applyFont="1"/>
    <xf numFmtId="0" fontId="2" fillId="3" borderId="0" xfId="0" applyFont="1" applyFill="1"/>
    <xf numFmtId="0" fontId="2" fillId="0" borderId="1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" xfId="0" applyFont="1" applyBorder="1"/>
    <xf numFmtId="6" fontId="0" fillId="2" borderId="1" xfId="0" applyNumberFormat="1" applyFill="1" applyBorder="1" applyAlignment="1">
      <alignment horizontal="center"/>
    </xf>
    <xf numFmtId="0" fontId="0" fillId="4" borderId="0" xfId="0" applyFill="1"/>
    <xf numFmtId="0" fontId="3" fillId="4" borderId="0" xfId="0" applyFont="1" applyFill="1" applyAlignment="1">
      <alignment horizontal="right"/>
    </xf>
    <xf numFmtId="0" fontId="3" fillId="4" borderId="0" xfId="0" applyFont="1" applyFill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5" xfId="0" applyFont="1" applyBorder="1" applyAlignment="1">
      <alignment horizontal="center"/>
    </xf>
  </cellXfs>
  <cellStyles count="2">
    <cellStyle name="Currency" xfId="1" builtinId="4"/>
    <cellStyle name="Normal" xfId="0" builtinId="0"/>
  </cellStyles>
  <dxfs count="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Pricing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Model!$B$20</c:f>
              <c:strCache>
                <c:ptCount val="1"/>
                <c:pt idx="0">
                  <c:v>Total Spend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Model!$A$21:$A$25</c:f>
              <c:strCache>
                <c:ptCount val="3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</c:strCache>
            </c:strRef>
          </c:cat>
          <c:val>
            <c:numRef>
              <c:f>Model!$B$21:$B$25</c:f>
              <c:numCache>
                <c:formatCode>_("$"* #,##0_);_("$"* \(#,##0\);_("$"* "-"??_);_(@_)</c:formatCode>
                <c:ptCount val="5"/>
                <c:pt idx="0">
                  <c:v>25892463</c:v>
                </c:pt>
                <c:pt idx="1">
                  <c:v>27040022</c:v>
                </c:pt>
                <c:pt idx="2">
                  <c:v>47088603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EF-4EFD-A617-423A43D2E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24667823"/>
        <c:axId val="567141487"/>
      </c:barChart>
      <c:lineChart>
        <c:grouping val="standard"/>
        <c:varyColors val="0"/>
        <c:ser>
          <c:idx val="1"/>
          <c:order val="1"/>
          <c:tx>
            <c:strRef>
              <c:f>Model!$C$20</c:f>
              <c:strCache>
                <c:ptCount val="1"/>
                <c:pt idx="0">
                  <c:v>Option 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Model!$A$21:$A$25</c:f>
              <c:strCache>
                <c:ptCount val="3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</c:strCache>
            </c:strRef>
          </c:cat>
          <c:val>
            <c:numRef>
              <c:f>Model!$C$21:$C$25</c:f>
              <c:numCache>
                <c:formatCode>_("$"* #,##0_);_("$"* \(#,##0\);_("$"* "-"??_);_(@_)</c:formatCode>
                <c:ptCount val="5"/>
                <c:pt idx="0">
                  <c:v>177000</c:v>
                </c:pt>
                <c:pt idx="1">
                  <c:v>132000</c:v>
                </c:pt>
                <c:pt idx="2">
                  <c:v>174000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EF-4EFD-A617-423A43D2E8FB}"/>
            </c:ext>
          </c:extLst>
        </c:ser>
        <c:ser>
          <c:idx val="2"/>
          <c:order val="2"/>
          <c:tx>
            <c:strRef>
              <c:f>Model!$D$20</c:f>
              <c:strCache>
                <c:ptCount val="1"/>
                <c:pt idx="0">
                  <c:v>Option B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Model!$A$21:$A$25</c:f>
              <c:strCache>
                <c:ptCount val="3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</c:strCache>
            </c:strRef>
          </c:cat>
          <c:val>
            <c:numRef>
              <c:f>Model!$D$21:$D$25</c:f>
              <c:numCache>
                <c:formatCode>_("$"* #,##0_);_("$"* \(#,##0\);_("$"* "-"??_);_(@_)</c:formatCode>
                <c:ptCount val="5"/>
                <c:pt idx="0">
                  <c:v>154640.8076</c:v>
                </c:pt>
                <c:pt idx="1">
                  <c:v>140608.11439999999</c:v>
                </c:pt>
                <c:pt idx="2">
                  <c:v>244860.73559999999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EF-4EFD-A617-423A43D2E8FB}"/>
            </c:ext>
          </c:extLst>
        </c:ser>
        <c:ser>
          <c:idx val="3"/>
          <c:order val="3"/>
          <c:tx>
            <c:strRef>
              <c:f>Model!$E$20</c:f>
              <c:strCache>
                <c:ptCount val="1"/>
                <c:pt idx="0">
                  <c:v>Option B (V2)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Model!$A$21:$A$25</c:f>
              <c:strCache>
                <c:ptCount val="3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</c:strCache>
            </c:strRef>
          </c:cat>
          <c:val>
            <c:numRef>
              <c:f>Model!$E$21:$E$25</c:f>
              <c:numCache>
                <c:formatCode>_("$"* #,##0_);_("$"* \(#,##0\);_("$"* "-"??_);_(@_)</c:formatCode>
                <c:ptCount val="5"/>
                <c:pt idx="0">
                  <c:v>147000</c:v>
                </c:pt>
                <c:pt idx="1">
                  <c:v>147000</c:v>
                </c:pt>
                <c:pt idx="2">
                  <c:v>197772.13260000001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EF-4EFD-A617-423A43D2E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686383"/>
        <c:axId val="567144367"/>
      </c:lineChart>
      <c:catAx>
        <c:axId val="7246863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144367"/>
        <c:crosses val="autoZero"/>
        <c:auto val="1"/>
        <c:lblAlgn val="ctr"/>
        <c:lblOffset val="100"/>
        <c:noMultiLvlLbl val="0"/>
      </c:catAx>
      <c:valAx>
        <c:axId val="567144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686383"/>
        <c:crosses val="autoZero"/>
        <c:crossBetween val="between"/>
      </c:valAx>
      <c:valAx>
        <c:axId val="567141487"/>
        <c:scaling>
          <c:orientation val="minMax"/>
        </c:scaling>
        <c:delete val="0"/>
        <c:axPos val="r"/>
        <c:numFmt formatCode="_(&quot;$&quot;* #,##0_);_(&quot;$&quot;* \(#,##0\);_(&quot;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667823"/>
        <c:crosses val="max"/>
        <c:crossBetween val="between"/>
      </c:valAx>
      <c:catAx>
        <c:axId val="7246678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6714148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101600</xdr:colOff>
      <xdr:row>0</xdr:row>
      <xdr:rowOff>50799</xdr:rowOff>
    </xdr:from>
    <xdr:to>
      <xdr:col>6</xdr:col>
      <xdr:colOff>1007533</xdr:colOff>
      <xdr:row>1</xdr:row>
      <xdr:rowOff>135465</xdr:rowOff>
    </xdr:to>
    <xdr:sp macro="[0]!Res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C81BE88-DA98-5E5F-5DFE-97A97B533AFE}"/>
            </a:ext>
          </a:extLst>
        </xdr:cNvPr>
        <xdr:cNvSpPr/>
      </xdr:nvSpPr>
      <xdr:spPr>
        <a:xfrm>
          <a:off x="6248400" y="50799"/>
          <a:ext cx="905933" cy="27093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Reset</a:t>
          </a:r>
        </a:p>
      </xdr:txBody>
    </xdr:sp>
    <xdr:clientData/>
  </xdr:twoCellAnchor>
  <xdr:twoCellAnchor>
    <xdr:from>
      <xdr:col>6</xdr:col>
      <xdr:colOff>76199</xdr:colOff>
      <xdr:row>18</xdr:row>
      <xdr:rowOff>118534</xdr:rowOff>
    </xdr:from>
    <xdr:to>
      <xdr:col>15</xdr:col>
      <xdr:colOff>270932</xdr:colOff>
      <xdr:row>34</xdr:row>
      <xdr:rowOff>186266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9EFB49A-21ED-503E-A143-34808F2558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FAD38-3BD1-4066-BB8A-7D1BB85363F7}">
  <sheetPr codeName="Sheet1"/>
  <dimension ref="A1:P25"/>
  <sheetViews>
    <sheetView showGridLines="0" tabSelected="1" zoomScale="80" zoomScaleNormal="80" workbookViewId="0">
      <selection activeCell="K15" sqref="K15"/>
    </sheetView>
  </sheetViews>
  <sheetFormatPr defaultRowHeight="14.4" x14ac:dyDescent="0.3"/>
  <cols>
    <col min="1" max="1" width="24.6640625" style="2" bestFit="1" customWidth="1"/>
    <col min="2" max="3" width="14.6640625" bestFit="1" customWidth="1"/>
    <col min="4" max="4" width="13.44140625" bestFit="1" customWidth="1"/>
    <col min="5" max="5" width="13.33203125" bestFit="1" customWidth="1"/>
    <col min="7" max="7" width="15.44140625" bestFit="1" customWidth="1"/>
    <col min="8" max="9" width="11.21875" bestFit="1" customWidth="1"/>
    <col min="10" max="10" width="10.5546875" bestFit="1" customWidth="1"/>
    <col min="12" max="12" width="15.44140625" bestFit="1" customWidth="1"/>
    <col min="13" max="13" width="12.33203125" bestFit="1" customWidth="1"/>
    <col min="14" max="14" width="11.6640625" bestFit="1" customWidth="1"/>
    <col min="15" max="15" width="14.5546875" bestFit="1" customWidth="1"/>
    <col min="16" max="16" width="10.5546875" customWidth="1"/>
  </cols>
  <sheetData>
    <row r="1" spans="1:16" x14ac:dyDescent="0.3">
      <c r="A1" s="17" t="s">
        <v>32</v>
      </c>
      <c r="B1" s="18" t="s">
        <v>33</v>
      </c>
      <c r="C1" s="16"/>
    </row>
    <row r="3" spans="1:16" ht="15" thickBot="1" x14ac:dyDescent="0.35"/>
    <row r="4" spans="1:16" ht="15" thickBot="1" x14ac:dyDescent="0.35">
      <c r="A4" s="2" t="s">
        <v>0</v>
      </c>
      <c r="B4" s="5">
        <v>3</v>
      </c>
      <c r="C4" s="3"/>
      <c r="D4" s="3"/>
    </row>
    <row r="5" spans="1:16" ht="15" thickBot="1" x14ac:dyDescent="0.35">
      <c r="A5" s="2" t="s">
        <v>31</v>
      </c>
      <c r="B5" s="5">
        <v>500</v>
      </c>
      <c r="C5" s="3"/>
      <c r="D5" s="3"/>
    </row>
    <row r="6" spans="1:16" ht="15" thickBot="1" x14ac:dyDescent="0.35">
      <c r="A6" s="2" t="s">
        <v>30</v>
      </c>
      <c r="B6" s="15">
        <v>10000</v>
      </c>
      <c r="C6" s="3"/>
      <c r="D6" s="3"/>
    </row>
    <row r="7" spans="1:16" x14ac:dyDescent="0.3">
      <c r="B7" s="3"/>
      <c r="C7" s="3"/>
      <c r="D7" s="3"/>
    </row>
    <row r="8" spans="1:16" ht="15" thickBot="1" x14ac:dyDescent="0.35">
      <c r="B8" s="3"/>
      <c r="C8" s="3"/>
      <c r="D8" s="3"/>
    </row>
    <row r="9" spans="1:16" ht="15" thickBot="1" x14ac:dyDescent="0.35">
      <c r="B9" s="3"/>
      <c r="C9" s="3"/>
      <c r="D9" s="3"/>
      <c r="G9" s="19" t="s">
        <v>39</v>
      </c>
      <c r="H9" s="20"/>
      <c r="I9" s="20"/>
      <c r="J9" s="21"/>
      <c r="L9" s="19" t="s">
        <v>40</v>
      </c>
      <c r="M9" s="20"/>
      <c r="N9" s="20"/>
      <c r="O9" s="20"/>
      <c r="P9" s="21"/>
    </row>
    <row r="10" spans="1:16" ht="15" thickBot="1" x14ac:dyDescent="0.35">
      <c r="B10" s="3"/>
      <c r="C10" s="3"/>
      <c r="D10" s="3"/>
      <c r="H10" s="22" t="s">
        <v>5</v>
      </c>
      <c r="I10" s="23"/>
      <c r="M10" s="13" t="s">
        <v>16</v>
      </c>
      <c r="N10" s="22" t="s">
        <v>29</v>
      </c>
      <c r="O10" s="24"/>
      <c r="P10" s="23"/>
    </row>
    <row r="11" spans="1:16" s="1" customFormat="1" ht="15" thickBot="1" x14ac:dyDescent="0.35">
      <c r="A11" s="2"/>
      <c r="B11" s="4" t="s">
        <v>34</v>
      </c>
      <c r="C11" s="4" t="s">
        <v>35</v>
      </c>
      <c r="D11" s="4" t="s">
        <v>36</v>
      </c>
      <c r="E11" s="4" t="s">
        <v>2</v>
      </c>
      <c r="G11" s="14" t="s">
        <v>9</v>
      </c>
      <c r="H11" s="12" t="s">
        <v>3</v>
      </c>
      <c r="I11" s="12" t="s">
        <v>4</v>
      </c>
      <c r="J11" s="12" t="s">
        <v>14</v>
      </c>
      <c r="L11" s="14" t="s">
        <v>9</v>
      </c>
      <c r="M11" s="12" t="s">
        <v>14</v>
      </c>
      <c r="N11" s="12" t="s">
        <v>3</v>
      </c>
      <c r="O11" s="12" t="s">
        <v>27</v>
      </c>
      <c r="P11" s="12" t="s">
        <v>14</v>
      </c>
    </row>
    <row r="12" spans="1:16" x14ac:dyDescent="0.3">
      <c r="A12" s="2" t="str" cm="1">
        <f t="array" ref="A12:A14">IFERROR("Year "&amp;_xlfn.SEQUENCE(B4,1,1,1),"")</f>
        <v>Year 1</v>
      </c>
      <c r="B12" s="8">
        <v>24242463</v>
      </c>
      <c r="C12" s="8">
        <v>1500000</v>
      </c>
      <c r="D12" s="8">
        <v>150000</v>
      </c>
      <c r="E12" s="6">
        <f>IF($B$4="","",IF(A12&lt;&gt;"",SUM(B12:D12),""))</f>
        <v>25892463</v>
      </c>
      <c r="G12" s="6">
        <f>IF(A12="","",IF(B5&lt;='Lookup Tables'!$C$11,'Lookup Tables'!$B$11,'Lookup Tables'!$B$11+($B$5-'Lookup Tables'!$C$11)*'Lookup Tables'!$B$12))</f>
        <v>45000</v>
      </c>
      <c r="H12" s="6">
        <f>IF($B$4="","",IF(A12&lt;&gt;"",'Lookup Tables'!$B$13,""))</f>
        <v>90000</v>
      </c>
      <c r="I12" s="6">
        <f>IF(A12="","",'Lookup Tables'!$B$3*IF(E12&gt;'Lookup Tables'!$A$8,'Lookup Tables'!$C$8,IF(E12&gt;'Lookup Tables'!$A$7,'Lookup Tables'!$C$7,IF(E12&gt;'Lookup Tables'!$A$6,'Lookup Tables'!$C$6,IF(E12&gt;'Lookup Tables'!$A$5,'Lookup Tables'!$C$5,0)))))</f>
        <v>42000</v>
      </c>
      <c r="J12" s="6">
        <f>IF(H12="","",SUM(G12:I12))</f>
        <v>177000</v>
      </c>
      <c r="L12" s="6">
        <f>IF(A12="","",IF($B$5&lt;='Lookup Tables'!$B$25,0,($B$5-'Lookup Tables'!$B$25)*'Lookup Tables'!$B$27)+$B$6)</f>
        <v>20000</v>
      </c>
      <c r="M12" s="6">
        <f>IF($B$4="","",IF(IF(A12&lt;&gt;"",E12*'Lookup Tables'!$B$21,"")&lt;'Lookup Tables'!$B$22,'Lookup Tables'!$B$22,IF(A12&lt;&gt;"",E12*'Lookup Tables'!$B$21+L12,"")))</f>
        <v>154640.8076</v>
      </c>
      <c r="N12" s="6">
        <f>IF($B$4="","",IF(A12&lt;&gt;"",'Lookup Tables'!$D$20,""))</f>
        <v>147000</v>
      </c>
      <c r="O12" s="6">
        <f>IF(A12="","",IF(E12&gt;'Lookup Tables'!$D$19,(E12-'Lookup Tables'!$D$19)*'Lookup Tables'!$D$21,0))</f>
        <v>0</v>
      </c>
      <c r="P12" s="6">
        <f>IF(N12="","",SUM(N12:O12))</f>
        <v>147000</v>
      </c>
    </row>
    <row r="13" spans="1:16" x14ac:dyDescent="0.3">
      <c r="A13" s="2" t="str">
        <v>Year 2</v>
      </c>
      <c r="B13" s="8">
        <v>25840022</v>
      </c>
      <c r="C13" s="8">
        <v>700000</v>
      </c>
      <c r="D13" s="8">
        <v>500000</v>
      </c>
      <c r="E13" s="6">
        <f t="shared" ref="E13:E16" si="0">IF($B$4="","",IF(A13&lt;&gt;"",SUM(B13:D13),""))</f>
        <v>27040022</v>
      </c>
      <c r="H13" s="6">
        <f>IF($B$4="","",IF(A13&lt;&gt;"",'Lookup Tables'!$B$13,""))</f>
        <v>90000</v>
      </c>
      <c r="I13" s="6">
        <f>IF(A13="","",'Lookup Tables'!$B$3*IF(E13&gt;'Lookup Tables'!$A$8,'Lookup Tables'!$C$8,IF(E13&gt;'Lookup Tables'!$A$7,'Lookup Tables'!$C$7,IF(E13&gt;'Lookup Tables'!$A$6,'Lookup Tables'!$C$6,IF(E13&gt;'Lookup Tables'!$A$5,'Lookup Tables'!$C$5,0)))))</f>
        <v>42000</v>
      </c>
      <c r="J13" s="6">
        <f t="shared" ref="J13:J16" si="1">IF(H13="","",SUM(G13:I13))</f>
        <v>132000</v>
      </c>
      <c r="M13" s="6">
        <f>IF($B$4="","",IF(IF(A13&lt;&gt;"",E13*'Lookup Tables'!$B$21,"")&lt;'Lookup Tables'!$B$22,'Lookup Tables'!$B$22,IF(A13&lt;&gt;"",E13*'Lookup Tables'!$B$21+L13,"")))</f>
        <v>140608.11439999999</v>
      </c>
      <c r="N13" s="6">
        <f>IF($B$4="","",IF(A13&lt;&gt;"",'Lookup Tables'!$D$20,""))</f>
        <v>147000</v>
      </c>
      <c r="O13" s="6">
        <f>IF(A13="","",IF(E13&gt;'Lookup Tables'!$D$19,(E13-'Lookup Tables'!$D$19)*'Lookup Tables'!$D$21,0))</f>
        <v>0</v>
      </c>
      <c r="P13" s="6">
        <f t="shared" ref="P13:P16" si="2">IF(N13="","",SUM(N13:O13))</f>
        <v>147000</v>
      </c>
    </row>
    <row r="14" spans="1:16" x14ac:dyDescent="0.3">
      <c r="A14" s="2" t="str">
        <v>Year 3</v>
      </c>
      <c r="B14" s="8">
        <v>35788603</v>
      </c>
      <c r="C14" s="8">
        <v>1300000</v>
      </c>
      <c r="D14" s="8">
        <v>10000000</v>
      </c>
      <c r="E14" s="6">
        <f t="shared" si="0"/>
        <v>47088603</v>
      </c>
      <c r="H14" s="6">
        <f>IF($B$4="","",IF(A14&lt;&gt;"",'Lookup Tables'!$B$13,""))</f>
        <v>90000</v>
      </c>
      <c r="I14" s="6">
        <f>IF(A14="","",'Lookup Tables'!$B$3*IF(E14&gt;'Lookup Tables'!$A$8,'Lookup Tables'!$C$8,IF(E14&gt;'Lookup Tables'!$A$7,'Lookup Tables'!$C$7,IF(E14&gt;'Lookup Tables'!$A$6,'Lookup Tables'!$C$6,IF(E14&gt;'Lookup Tables'!$A$5,'Lookup Tables'!$C$5,0)))))</f>
        <v>84000</v>
      </c>
      <c r="J14" s="6">
        <f t="shared" si="1"/>
        <v>174000</v>
      </c>
      <c r="M14" s="6">
        <f>IF($B$4="","",IF(IF(A14&lt;&gt;"",E14*'Lookup Tables'!$B$21,"")&lt;'Lookup Tables'!$B$22,'Lookup Tables'!$B$22,IF(A14&lt;&gt;"",E14*'Lookup Tables'!$B$21+L14,"")))</f>
        <v>244860.73559999999</v>
      </c>
      <c r="N14" s="6">
        <f>IF($B$4="","",IF(A14&lt;&gt;"",'Lookup Tables'!$D$20,""))</f>
        <v>147000</v>
      </c>
      <c r="O14" s="6">
        <f>IF(A14="","",IF(E14&gt;'Lookup Tables'!$D$19,(E14-'Lookup Tables'!$D$19)*'Lookup Tables'!$D$21,0))</f>
        <v>50772.132599999997</v>
      </c>
      <c r="P14" s="6">
        <f t="shared" si="2"/>
        <v>197772.13260000001</v>
      </c>
    </row>
    <row r="15" spans="1:16" x14ac:dyDescent="0.3">
      <c r="B15" s="8"/>
      <c r="C15" s="8"/>
      <c r="D15" s="8"/>
      <c r="E15" s="6" t="str">
        <f t="shared" si="0"/>
        <v/>
      </c>
      <c r="H15" s="6" t="str">
        <f>IF($B$4="","",IF(A15&lt;&gt;"",'Lookup Tables'!$B$13,""))</f>
        <v/>
      </c>
      <c r="I15" s="6" t="str">
        <f>IF(A15="","",'Lookup Tables'!$B$3*IF(E15&gt;'Lookup Tables'!$A$8,'Lookup Tables'!$C$8,IF(E15&gt;'Lookup Tables'!$A$7,'Lookup Tables'!$C$7,IF(E15&gt;'Lookup Tables'!$A$6,'Lookup Tables'!$C$6,IF(E15&gt;'Lookup Tables'!$A$5,'Lookup Tables'!$C$5,0)))))</f>
        <v/>
      </c>
      <c r="J15" s="6" t="str">
        <f t="shared" si="1"/>
        <v/>
      </c>
      <c r="M15" s="6" t="str">
        <f>IF($B$4="","",IF(IF(A15&lt;&gt;"",E15*'Lookup Tables'!$B$21,"")&lt;'Lookup Tables'!$B$22,'Lookup Tables'!$B$22,IF(A15&lt;&gt;"",E15*'Lookup Tables'!$B$21+L15,"")))</f>
        <v/>
      </c>
      <c r="N15" s="6" t="str">
        <f>IF($B$4="","",IF(A15&lt;&gt;"",'Lookup Tables'!$D$20,""))</f>
        <v/>
      </c>
      <c r="O15" s="6" t="str">
        <f>IF(A15="","",IF(E15&gt;'Lookup Tables'!$D$19,(E15-'Lookup Tables'!$D$19)*'Lookup Tables'!$D$21,0))</f>
        <v/>
      </c>
      <c r="P15" s="6" t="str">
        <f t="shared" si="2"/>
        <v/>
      </c>
    </row>
    <row r="16" spans="1:16" x14ac:dyDescent="0.3">
      <c r="B16" s="8"/>
      <c r="C16" s="8"/>
      <c r="D16" s="8"/>
      <c r="E16" s="6" t="str">
        <f t="shared" si="0"/>
        <v/>
      </c>
      <c r="H16" s="6" t="str">
        <f>IF($B$4="","",IF(A16&lt;&gt;"",'Lookup Tables'!$B$13,""))</f>
        <v/>
      </c>
      <c r="I16" s="6" t="str">
        <f>IF(A16="","",'Lookup Tables'!$B$3*IF(E16&gt;'Lookup Tables'!$A$8,'Lookup Tables'!$C$8,IF(E16&gt;'Lookup Tables'!$A$7,'Lookup Tables'!$C$7,IF(E16&gt;'Lookup Tables'!$A$6,'Lookup Tables'!$C$6,IF(E16&gt;'Lookup Tables'!$A$5,'Lookup Tables'!$C$5,0)))))</f>
        <v/>
      </c>
      <c r="J16" s="6" t="str">
        <f t="shared" si="1"/>
        <v/>
      </c>
      <c r="M16" s="6" t="str">
        <f>IF($B$4="","",IF(IF(A16&lt;&gt;"",E16*'Lookup Tables'!$B$21,"")&lt;'Lookup Tables'!$B$22,'Lookup Tables'!$B$22,IF(A16&lt;&gt;"",E16*'Lookup Tables'!$B$21+L16,"")))</f>
        <v/>
      </c>
      <c r="N16" s="6" t="str">
        <f>IF($B$4="","",IF(A16&lt;&gt;"",'Lookup Tables'!$D$20,""))</f>
        <v/>
      </c>
      <c r="O16" s="6" t="str">
        <f>IF(A16="","",IF(E16&gt;'Lookup Tables'!$D$19,(E16-'Lookup Tables'!$D$19)*'Lookup Tables'!$D$21,0))</f>
        <v/>
      </c>
      <c r="P16" s="6" t="str">
        <f t="shared" si="2"/>
        <v/>
      </c>
    </row>
    <row r="20" spans="1:5" x14ac:dyDescent="0.3">
      <c r="B20" s="4" t="s">
        <v>2</v>
      </c>
      <c r="C20" s="1" t="s">
        <v>37</v>
      </c>
      <c r="D20" s="1" t="s">
        <v>38</v>
      </c>
      <c r="E20" s="1" t="s">
        <v>41</v>
      </c>
    </row>
    <row r="21" spans="1:5" x14ac:dyDescent="0.3">
      <c r="A21" s="2" t="str" cm="1">
        <f t="array" ref="A21:A23">IFERROR("Year "&amp;_xlfn.SEQUENCE(B4,1,1,1),"")</f>
        <v>Year 1</v>
      </c>
      <c r="B21" s="6">
        <f>E12</f>
        <v>25892463</v>
      </c>
      <c r="C21" s="6">
        <f>J12</f>
        <v>177000</v>
      </c>
      <c r="D21" s="6">
        <f>M12</f>
        <v>154640.8076</v>
      </c>
      <c r="E21" s="6">
        <f>P12</f>
        <v>147000</v>
      </c>
    </row>
    <row r="22" spans="1:5" x14ac:dyDescent="0.3">
      <c r="A22" s="2" t="str">
        <v>Year 2</v>
      </c>
      <c r="B22" s="6">
        <f t="shared" ref="B22:B25" si="3">E13</f>
        <v>27040022</v>
      </c>
      <c r="C22" s="6">
        <f t="shared" ref="C22:C25" si="4">J13</f>
        <v>132000</v>
      </c>
      <c r="D22" s="6">
        <f t="shared" ref="D22:D25" si="5">M13</f>
        <v>140608.11439999999</v>
      </c>
      <c r="E22" s="6">
        <f t="shared" ref="E22:E25" si="6">P13</f>
        <v>147000</v>
      </c>
    </row>
    <row r="23" spans="1:5" x14ac:dyDescent="0.3">
      <c r="A23" s="2" t="str">
        <v>Year 3</v>
      </c>
      <c r="B23" s="6">
        <f t="shared" si="3"/>
        <v>47088603</v>
      </c>
      <c r="C23" s="6">
        <f t="shared" si="4"/>
        <v>174000</v>
      </c>
      <c r="D23" s="6">
        <f t="shared" si="5"/>
        <v>244860.73559999999</v>
      </c>
      <c r="E23" s="6">
        <f t="shared" si="6"/>
        <v>197772.13260000001</v>
      </c>
    </row>
    <row r="24" spans="1:5" x14ac:dyDescent="0.3">
      <c r="B24" s="6" t="str">
        <f t="shared" si="3"/>
        <v/>
      </c>
      <c r="C24" s="6" t="str">
        <f t="shared" si="4"/>
        <v/>
      </c>
      <c r="D24" s="6" t="str">
        <f t="shared" si="5"/>
        <v/>
      </c>
      <c r="E24" s="6" t="str">
        <f t="shared" si="6"/>
        <v/>
      </c>
    </row>
    <row r="25" spans="1:5" x14ac:dyDescent="0.3">
      <c r="B25" s="6" t="str">
        <f t="shared" si="3"/>
        <v/>
      </c>
      <c r="C25" s="6" t="str">
        <f t="shared" si="4"/>
        <v/>
      </c>
      <c r="D25" s="6" t="str">
        <f t="shared" si="5"/>
        <v/>
      </c>
      <c r="E25" s="6" t="str">
        <f t="shared" si="6"/>
        <v/>
      </c>
    </row>
  </sheetData>
  <mergeCells count="4">
    <mergeCell ref="G9:J9"/>
    <mergeCell ref="H10:I10"/>
    <mergeCell ref="L9:P9"/>
    <mergeCell ref="N10:P10"/>
  </mergeCells>
  <conditionalFormatting sqref="B12:B16">
    <cfRule type="expression" dxfId="2" priority="4">
      <formula>A12&lt;&gt;""</formula>
    </cfRule>
  </conditionalFormatting>
  <conditionalFormatting sqref="C12:C16">
    <cfRule type="expression" dxfId="1" priority="2">
      <formula>A12&lt;&gt;""</formula>
    </cfRule>
  </conditionalFormatting>
  <conditionalFormatting sqref="D12:D16">
    <cfRule type="expression" dxfId="0" priority="1">
      <formula>A12&lt;&gt;""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964C1-7392-4CF8-94E8-3755CE64EC1C}">
  <sheetPr codeName="Sheet2"/>
  <dimension ref="A1:D27"/>
  <sheetViews>
    <sheetView workbookViewId="0">
      <selection activeCell="H22" sqref="H22"/>
    </sheetView>
  </sheetViews>
  <sheetFormatPr defaultRowHeight="14.4" x14ac:dyDescent="0.3"/>
  <cols>
    <col min="1" max="1" width="27.109375" bestFit="1" customWidth="1"/>
    <col min="2" max="2" width="19" bestFit="1" customWidth="1"/>
    <col min="3" max="3" width="9.77734375" bestFit="1" customWidth="1"/>
    <col min="4" max="4" width="19.6640625" bestFit="1" customWidth="1"/>
  </cols>
  <sheetData>
    <row r="1" spans="1:4" x14ac:dyDescent="0.3">
      <c r="A1" s="11" t="s">
        <v>1</v>
      </c>
    </row>
    <row r="3" spans="1:4" x14ac:dyDescent="0.3">
      <c r="B3" s="7">
        <v>21000</v>
      </c>
    </row>
    <row r="4" spans="1:4" x14ac:dyDescent="0.3">
      <c r="A4" s="1" t="s">
        <v>6</v>
      </c>
      <c r="B4" s="1" t="s">
        <v>7</v>
      </c>
      <c r="C4" s="1" t="s">
        <v>8</v>
      </c>
    </row>
    <row r="5" spans="1:4" x14ac:dyDescent="0.3">
      <c r="A5" s="7">
        <v>20000000</v>
      </c>
      <c r="B5" s="7">
        <v>21000</v>
      </c>
      <c r="C5">
        <v>1</v>
      </c>
    </row>
    <row r="6" spans="1:4" x14ac:dyDescent="0.3">
      <c r="A6" s="7">
        <f>A5+5000000</f>
        <v>25000000</v>
      </c>
      <c r="B6" s="7">
        <v>21000</v>
      </c>
      <c r="C6">
        <v>2</v>
      </c>
    </row>
    <row r="7" spans="1:4" x14ac:dyDescent="0.3">
      <c r="A7" s="7">
        <f t="shared" ref="A7:A8" si="0">A6+5000000</f>
        <v>30000000</v>
      </c>
      <c r="B7" s="7">
        <v>21000</v>
      </c>
      <c r="C7">
        <v>3</v>
      </c>
    </row>
    <row r="8" spans="1:4" x14ac:dyDescent="0.3">
      <c r="A8" s="7">
        <f t="shared" si="0"/>
        <v>35000000</v>
      </c>
      <c r="B8" s="7">
        <v>21000</v>
      </c>
      <c r="C8">
        <v>4</v>
      </c>
    </row>
    <row r="10" spans="1:4" x14ac:dyDescent="0.3">
      <c r="B10" s="1" t="s">
        <v>11</v>
      </c>
    </row>
    <row r="11" spans="1:4" x14ac:dyDescent="0.3">
      <c r="A11" s="1" t="s">
        <v>12</v>
      </c>
      <c r="B11" s="7">
        <v>45000</v>
      </c>
      <c r="C11">
        <v>750</v>
      </c>
      <c r="D11" t="s">
        <v>13</v>
      </c>
    </row>
    <row r="12" spans="1:4" x14ac:dyDescent="0.3">
      <c r="A12" s="1" t="s">
        <v>10</v>
      </c>
      <c r="B12" s="7">
        <v>225</v>
      </c>
      <c r="C12">
        <v>1</v>
      </c>
      <c r="D12" t="s">
        <v>13</v>
      </c>
    </row>
    <row r="13" spans="1:4" x14ac:dyDescent="0.3">
      <c r="A13" t="s">
        <v>28</v>
      </c>
      <c r="B13" s="7">
        <v>90000</v>
      </c>
    </row>
    <row r="16" spans="1:4" x14ac:dyDescent="0.3">
      <c r="A16" s="11" t="s">
        <v>15</v>
      </c>
    </row>
    <row r="17" spans="1:4" x14ac:dyDescent="0.3">
      <c r="B17" s="4" t="s">
        <v>16</v>
      </c>
      <c r="C17" s="4"/>
      <c r="D17" s="4" t="s">
        <v>21</v>
      </c>
    </row>
    <row r="18" spans="1:4" x14ac:dyDescent="0.3">
      <c r="B18" s="4" t="s">
        <v>18</v>
      </c>
      <c r="C18" s="4" t="s">
        <v>20</v>
      </c>
      <c r="D18" s="4" t="s">
        <v>18</v>
      </c>
    </row>
    <row r="19" spans="1:4" x14ac:dyDescent="0.3">
      <c r="A19" t="s">
        <v>17</v>
      </c>
      <c r="B19" s="10">
        <v>35000000</v>
      </c>
      <c r="C19" s="9">
        <v>5.1999999999999998E-3</v>
      </c>
      <c r="D19" s="10">
        <v>35000000</v>
      </c>
    </row>
    <row r="20" spans="1:4" x14ac:dyDescent="0.3">
      <c r="A20" t="s">
        <v>19</v>
      </c>
      <c r="B20" s="10">
        <v>182000</v>
      </c>
      <c r="D20" s="10">
        <v>147000</v>
      </c>
    </row>
    <row r="21" spans="1:4" x14ac:dyDescent="0.3">
      <c r="A21" t="s">
        <v>22</v>
      </c>
      <c r="B21" s="9">
        <v>5.1999999999999998E-3</v>
      </c>
      <c r="D21" s="9">
        <v>4.1999999999999997E-3</v>
      </c>
    </row>
    <row r="22" spans="1:4" x14ac:dyDescent="0.3">
      <c r="A22" t="s">
        <v>23</v>
      </c>
      <c r="B22" s="10">
        <v>80000</v>
      </c>
    </row>
    <row r="23" spans="1:4" x14ac:dyDescent="0.3">
      <c r="B23" s="10"/>
    </row>
    <row r="24" spans="1:4" s="1" customFormat="1" x14ac:dyDescent="0.3">
      <c r="A24" s="1" t="s">
        <v>9</v>
      </c>
    </row>
    <row r="25" spans="1:4" x14ac:dyDescent="0.3">
      <c r="A25" t="s">
        <v>24</v>
      </c>
      <c r="B25">
        <v>450</v>
      </c>
      <c r="D25">
        <v>450</v>
      </c>
    </row>
    <row r="26" spans="1:4" x14ac:dyDescent="0.3">
      <c r="A26" t="s">
        <v>30</v>
      </c>
      <c r="B26" t="s">
        <v>25</v>
      </c>
      <c r="D26" t="s">
        <v>25</v>
      </c>
    </row>
    <row r="27" spans="1:4" x14ac:dyDescent="0.3">
      <c r="A27" t="s">
        <v>26</v>
      </c>
      <c r="B27" s="7">
        <v>200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Model</vt:lpstr>
      <vt:lpstr>Lookup 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Isaiah Gains</dc:creator>
  <cp:lastModifiedBy>Isaiah Gains</cp:lastModifiedBy>
  <dcterms:created xsi:type="dcterms:W3CDTF">2023-03-03T22:34:25Z</dcterms:created>
  <dcterms:modified xsi:type="dcterms:W3CDTF">2024-05-27T11:38:35Z</dcterms:modified>
</cp:coreProperties>
</file>