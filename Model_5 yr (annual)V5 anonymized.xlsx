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iGGai\Desktop\Freelance\__Other\"/>
    </mc:Choice>
  </mc:AlternateContent>
  <xr:revisionPtr revIDLastSave="0" documentId="13_ncr:1_{E722AD33-2E2E-40DC-9778-16A336285F50}" xr6:coauthVersionLast="47" xr6:coauthVersionMax="47" xr10:uidLastSave="{00000000-0000-0000-0000-000000000000}"/>
  <bookViews>
    <workbookView xWindow="-108" yWindow="-108" windowWidth="23256" windowHeight="12456" tabRatio="857" firstSheet="1" activeTab="1" xr2:uid="{9DC382A9-A3FF-4DF3-A97B-0DAE7A8C12F2}"/>
  </bookViews>
  <sheets>
    <sheet name="Saas Model" sheetId="8" state="hidden" r:id="rId1"/>
    <sheet name="Model with partnerships" sheetId="18" r:id="rId2"/>
    <sheet name="Partnership breakdown" sheetId="19" r:id="rId3"/>
    <sheet name="Company Growth" sheetId="3" r:id="rId4"/>
    <sheet name="Rates" sheetId="7" r:id="rId5"/>
    <sheet name="Competitor Growth &amp; Margins" sheetId="9" r:id="rId6"/>
    <sheet name="WACC" sheetId="5" r:id="rId7"/>
    <sheet name="Scribbles" sheetId="15" state="hidden" r:id="rId8"/>
    <sheet name="NOTE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18" l="1"/>
  <c r="D23" i="18"/>
  <c r="H23" i="18"/>
  <c r="G23" i="18"/>
  <c r="F23" i="18"/>
  <c r="E23" i="18"/>
  <c r="D21" i="18"/>
  <c r="A11" i="19"/>
  <c r="A17" i="19" s="1"/>
  <c r="A12" i="19"/>
  <c r="A18" i="19" s="1"/>
  <c r="A10" i="19"/>
  <c r="A23" i="19" s="1"/>
  <c r="B22" i="19"/>
  <c r="B22" i="19" a="1"/>
  <c r="B15" i="19" a="1"/>
  <c r="B15" i="19" s="1"/>
  <c r="A16" i="19" l="1"/>
  <c r="A25" i="19"/>
  <c r="A24" i="19"/>
  <c r="D14" i="18" l="1"/>
  <c r="F21" i="18"/>
  <c r="G21" i="18"/>
  <c r="H21" i="18"/>
  <c r="E21" i="18"/>
  <c r="E14" i="18"/>
  <c r="F14" i="18"/>
  <c r="G14" i="18"/>
  <c r="H14" i="18"/>
  <c r="D12" i="18"/>
  <c r="D27" i="8"/>
  <c r="B47" i="15"/>
  <c r="H64" i="18" l="1"/>
  <c r="F12" i="19" s="1"/>
  <c r="G64" i="18"/>
  <c r="E12" i="19" s="1"/>
  <c r="F64" i="18"/>
  <c r="D12" i="19" s="1"/>
  <c r="E64" i="18"/>
  <c r="C12" i="19" s="1"/>
  <c r="D64" i="18"/>
  <c r="B12" i="19" s="1"/>
  <c r="H63" i="18"/>
  <c r="F11" i="19" s="1"/>
  <c r="G63" i="18"/>
  <c r="E11" i="19" s="1"/>
  <c r="F63" i="18"/>
  <c r="D11" i="19" s="1"/>
  <c r="E63" i="18"/>
  <c r="C11" i="19" s="1"/>
  <c r="D63" i="18"/>
  <c r="B11" i="19" s="1"/>
  <c r="H62" i="18"/>
  <c r="F10" i="19" s="1"/>
  <c r="G62" i="18"/>
  <c r="E10" i="19" s="1"/>
  <c r="F62" i="18"/>
  <c r="D10" i="19" s="1"/>
  <c r="E62" i="18"/>
  <c r="C10" i="19" s="1"/>
  <c r="D62" i="18"/>
  <c r="B10" i="19" s="1"/>
  <c r="E12" i="18"/>
  <c r="F12" i="18"/>
  <c r="G12" i="18"/>
  <c r="H12" i="18"/>
  <c r="E28" i="18"/>
  <c r="F28" i="18" s="1"/>
  <c r="D20" i="18"/>
  <c r="E19" i="18"/>
  <c r="F19" i="18" s="1"/>
  <c r="G19" i="18" s="1"/>
  <c r="H19" i="18" s="1"/>
  <c r="D18" i="18"/>
  <c r="D51" i="18"/>
  <c r="H49" i="18"/>
  <c r="G49" i="18"/>
  <c r="F49" i="18"/>
  <c r="E49" i="18"/>
  <c r="D49" i="18"/>
  <c r="N18" i="9"/>
  <c r="C21" i="5"/>
  <c r="B21" i="5"/>
  <c r="C20" i="5"/>
  <c r="B20" i="5"/>
  <c r="T12" i="5"/>
  <c r="F17" i="5" s="1"/>
  <c r="D14" i="3"/>
  <c r="D51" i="8" s="1"/>
  <c r="C14" i="3"/>
  <c r="B14" i="3"/>
  <c r="E26" i="8"/>
  <c r="C18" i="7"/>
  <c r="D18" i="7" s="1"/>
  <c r="C10" i="7"/>
  <c r="C11" i="7" s="1"/>
  <c r="D10" i="7"/>
  <c r="D11" i="7" s="1"/>
  <c r="N13" i="9"/>
  <c r="J14" i="9"/>
  <c r="K14" i="9"/>
  <c r="L14" i="9"/>
  <c r="M14" i="9"/>
  <c r="N14" i="9"/>
  <c r="U11" i="9"/>
  <c r="U12" i="9"/>
  <c r="U13" i="9"/>
  <c r="U14" i="9"/>
  <c r="U10" i="9"/>
  <c r="U15" i="9" s="1"/>
  <c r="U20" i="9"/>
  <c r="U21" i="9"/>
  <c r="U22" i="9"/>
  <c r="U19" i="9"/>
  <c r="E15" i="9"/>
  <c r="F15" i="9"/>
  <c r="G15" i="9"/>
  <c r="H15" i="9"/>
  <c r="I15" i="9"/>
  <c r="J15" i="9"/>
  <c r="K15" i="9"/>
  <c r="K16" i="9" s="1"/>
  <c r="L15" i="9"/>
  <c r="L16" i="9" s="1"/>
  <c r="M15" i="9"/>
  <c r="M16" i="9" s="1"/>
  <c r="N15" i="9"/>
  <c r="D15" i="9"/>
  <c r="C11" i="9"/>
  <c r="C15" i="9"/>
  <c r="E11" i="9"/>
  <c r="F11" i="9"/>
  <c r="G11" i="9"/>
  <c r="G12" i="9" s="1"/>
  <c r="H11" i="9"/>
  <c r="I11" i="9"/>
  <c r="J11" i="9"/>
  <c r="K11" i="9"/>
  <c r="L11" i="9"/>
  <c r="M11" i="9"/>
  <c r="N11" i="9"/>
  <c r="D11" i="9"/>
  <c r="D19" i="8"/>
  <c r="D17" i="8"/>
  <c r="D24" i="8" l="1"/>
  <c r="E60" i="18"/>
  <c r="E65" i="18"/>
  <c r="E56" i="18"/>
  <c r="F56" i="18"/>
  <c r="F60" i="18"/>
  <c r="F65" i="18"/>
  <c r="G56" i="18"/>
  <c r="G65" i="18"/>
  <c r="G60" i="18"/>
  <c r="D65" i="18"/>
  <c r="D60" i="18"/>
  <c r="D56" i="18"/>
  <c r="H65" i="18"/>
  <c r="H60" i="18"/>
  <c r="H56" i="18"/>
  <c r="D53" i="18"/>
  <c r="D11" i="18" s="1"/>
  <c r="E66" i="18"/>
  <c r="E16" i="18" s="1"/>
  <c r="D66" i="18"/>
  <c r="D16" i="18" s="1"/>
  <c r="E67" i="18"/>
  <c r="E15" i="18" s="1"/>
  <c r="D67" i="18"/>
  <c r="D15" i="18" s="1"/>
  <c r="D68" i="18"/>
  <c r="E68" i="18"/>
  <c r="E18" i="18"/>
  <c r="D29" i="18"/>
  <c r="D33" i="18" s="1"/>
  <c r="G28" i="18"/>
  <c r="E50" i="18"/>
  <c r="E20" i="18" s="1"/>
  <c r="F18" i="5"/>
  <c r="B17" i="5"/>
  <c r="B22" i="5" s="1"/>
  <c r="B23" i="5" s="1"/>
  <c r="F20" i="5" s="1"/>
  <c r="C17" i="5"/>
  <c r="C22" i="5"/>
  <c r="C23" i="5" s="1"/>
  <c r="D49" i="8"/>
  <c r="C15" i="3"/>
  <c r="E48" i="8"/>
  <c r="E10" i="7"/>
  <c r="D19" i="7"/>
  <c r="E18" i="7"/>
  <c r="C19" i="7"/>
  <c r="E12" i="9"/>
  <c r="N12" i="9"/>
  <c r="J12" i="9"/>
  <c r="F12" i="9"/>
  <c r="U23" i="9"/>
  <c r="N16" i="9"/>
  <c r="N17" i="9" s="1"/>
  <c r="L12" i="9"/>
  <c r="H12" i="9"/>
  <c r="K12" i="9"/>
  <c r="M12" i="9"/>
  <c r="I12" i="9"/>
  <c r="E18" i="8"/>
  <c r="F18" i="8" s="1"/>
  <c r="G18" i="8" s="1"/>
  <c r="H18" i="8" s="1"/>
  <c r="E17" i="8"/>
  <c r="F26" i="8"/>
  <c r="G26" i="8" s="1"/>
  <c r="H26" i="8" s="1"/>
  <c r="F67" i="18" l="1"/>
  <c r="F15" i="18" s="1"/>
  <c r="L17" i="19"/>
  <c r="L24" i="19" s="1"/>
  <c r="B17" i="19"/>
  <c r="B24" i="19" s="1"/>
  <c r="D17" i="19"/>
  <c r="D24" i="19" s="1"/>
  <c r="J17" i="19"/>
  <c r="J24" i="19" s="1"/>
  <c r="F17" i="19"/>
  <c r="F24" i="19" s="1"/>
  <c r="K17" i="19"/>
  <c r="K24" i="19" s="1"/>
  <c r="H17" i="19"/>
  <c r="H24" i="19" s="1"/>
  <c r="C17" i="19"/>
  <c r="C24" i="19" s="1"/>
  <c r="M17" i="19"/>
  <c r="M24" i="19" s="1"/>
  <c r="G17" i="19"/>
  <c r="G24" i="19" s="1"/>
  <c r="I17" i="19"/>
  <c r="I24" i="19" s="1"/>
  <c r="E17" i="19"/>
  <c r="E24" i="19" s="1"/>
  <c r="E13" i="18"/>
  <c r="I16" i="19"/>
  <c r="I23" i="19" s="1"/>
  <c r="E16" i="19"/>
  <c r="E23" i="19" s="1"/>
  <c r="D16" i="19"/>
  <c r="D23" i="19" s="1"/>
  <c r="M16" i="19"/>
  <c r="M23" i="19" s="1"/>
  <c r="F16" i="19"/>
  <c r="F23" i="19" s="1"/>
  <c r="G16" i="19"/>
  <c r="G23" i="19" s="1"/>
  <c r="J16" i="19"/>
  <c r="J23" i="19" s="1"/>
  <c r="C16" i="19"/>
  <c r="C23" i="19" s="1"/>
  <c r="H16" i="19"/>
  <c r="H23" i="19" s="1"/>
  <c r="B16" i="19"/>
  <c r="B23" i="19" s="1"/>
  <c r="L16" i="19"/>
  <c r="L23" i="19" s="1"/>
  <c r="K16" i="19"/>
  <c r="K23" i="19" s="1"/>
  <c r="D13" i="18"/>
  <c r="D17" i="18" s="1"/>
  <c r="R16" i="19"/>
  <c r="R23" i="19" s="1"/>
  <c r="X16" i="19"/>
  <c r="X23" i="19" s="1"/>
  <c r="Q16" i="19"/>
  <c r="Q23" i="19" s="1"/>
  <c r="Y16" i="19"/>
  <c r="Y23" i="19" s="1"/>
  <c r="O16" i="19"/>
  <c r="O23" i="19" s="1"/>
  <c r="N16" i="19"/>
  <c r="N23" i="19" s="1"/>
  <c r="W16" i="19"/>
  <c r="W23" i="19" s="1"/>
  <c r="U16" i="19"/>
  <c r="U23" i="19" s="1"/>
  <c r="S16" i="19"/>
  <c r="S23" i="19" s="1"/>
  <c r="P16" i="19"/>
  <c r="P23" i="19" s="1"/>
  <c r="V16" i="19"/>
  <c r="V23" i="19" s="1"/>
  <c r="T16" i="19"/>
  <c r="T23" i="19" s="1"/>
  <c r="F66" i="18"/>
  <c r="F16" i="18" s="1"/>
  <c r="F68" i="18"/>
  <c r="E29" i="18"/>
  <c r="F18" i="18"/>
  <c r="G18" i="18" s="1"/>
  <c r="H28" i="18"/>
  <c r="E51" i="18"/>
  <c r="F50" i="18"/>
  <c r="F20" i="18" s="1"/>
  <c r="E53" i="18"/>
  <c r="E49" i="8"/>
  <c r="E51" i="8"/>
  <c r="D15" i="3"/>
  <c r="D11" i="8"/>
  <c r="D10" i="8"/>
  <c r="F48" i="8"/>
  <c r="G48" i="8" s="1"/>
  <c r="F10" i="7"/>
  <c r="E11" i="7"/>
  <c r="F17" i="8"/>
  <c r="F18" i="7"/>
  <c r="E19" i="7"/>
  <c r="C16" i="8"/>
  <c r="D47" i="8"/>
  <c r="E47" i="8"/>
  <c r="F47" i="8"/>
  <c r="G47" i="8"/>
  <c r="H47" i="8"/>
  <c r="D25" i="18" l="1"/>
  <c r="D24" i="18"/>
  <c r="E25" i="18"/>
  <c r="A2" i="7"/>
  <c r="C3" i="7" s="1"/>
  <c r="C18" i="19"/>
  <c r="C25" i="19" s="1"/>
  <c r="G18" i="19"/>
  <c r="G25" i="19" s="1"/>
  <c r="M18" i="19"/>
  <c r="M25" i="19" s="1"/>
  <c r="H18" i="19"/>
  <c r="H25" i="19" s="1"/>
  <c r="B18" i="19"/>
  <c r="B25" i="19" s="1"/>
  <c r="E18" i="19"/>
  <c r="E25" i="19" s="1"/>
  <c r="F18" i="19"/>
  <c r="F25" i="19" s="1"/>
  <c r="K18" i="19"/>
  <c r="K25" i="19" s="1"/>
  <c r="L18" i="19"/>
  <c r="L25" i="19" s="1"/>
  <c r="I18" i="19"/>
  <c r="I25" i="19" s="1"/>
  <c r="D18" i="19"/>
  <c r="D25" i="19" s="1"/>
  <c r="J18" i="19"/>
  <c r="J25" i="19" s="1"/>
  <c r="T17" i="19"/>
  <c r="T24" i="19" s="1"/>
  <c r="R17" i="19"/>
  <c r="R24" i="19" s="1"/>
  <c r="Q17" i="19"/>
  <c r="Q24" i="19" s="1"/>
  <c r="X17" i="19"/>
  <c r="X24" i="19" s="1"/>
  <c r="Y17" i="19"/>
  <c r="Y24" i="19" s="1"/>
  <c r="S17" i="19"/>
  <c r="S24" i="19" s="1"/>
  <c r="N17" i="19"/>
  <c r="N24" i="19" s="1"/>
  <c r="O17" i="19"/>
  <c r="O24" i="19" s="1"/>
  <c r="V17" i="19"/>
  <c r="V24" i="19" s="1"/>
  <c r="U17" i="19"/>
  <c r="U24" i="19" s="1"/>
  <c r="P17" i="19"/>
  <c r="P24" i="19" s="1"/>
  <c r="W17" i="19"/>
  <c r="W24" i="19" s="1"/>
  <c r="G67" i="18"/>
  <c r="G15" i="18" s="1"/>
  <c r="AG16" i="19"/>
  <c r="AG23" i="19" s="1"/>
  <c r="Z16" i="19"/>
  <c r="Z23" i="19" s="1"/>
  <c r="AC16" i="19"/>
  <c r="AC23" i="19" s="1"/>
  <c r="AF16" i="19"/>
  <c r="AF23" i="19" s="1"/>
  <c r="AH16" i="19"/>
  <c r="AH23" i="19" s="1"/>
  <c r="AB16" i="19"/>
  <c r="AB23" i="19" s="1"/>
  <c r="AK16" i="19"/>
  <c r="AK23" i="19" s="1"/>
  <c r="AD16" i="19"/>
  <c r="AD23" i="19" s="1"/>
  <c r="AJ16" i="19"/>
  <c r="AJ23" i="19" s="1"/>
  <c r="AI16" i="19"/>
  <c r="AI23" i="19" s="1"/>
  <c r="AA16" i="19"/>
  <c r="AA23" i="19" s="1"/>
  <c r="AE16" i="19"/>
  <c r="AE23" i="19" s="1"/>
  <c r="F13" i="18"/>
  <c r="V18" i="19"/>
  <c r="V25" i="19" s="1"/>
  <c r="S18" i="19"/>
  <c r="S25" i="19" s="1"/>
  <c r="N18" i="19"/>
  <c r="N25" i="19" s="1"/>
  <c r="U18" i="19"/>
  <c r="U25" i="19" s="1"/>
  <c r="P18" i="19"/>
  <c r="P25" i="19" s="1"/>
  <c r="W18" i="19"/>
  <c r="W25" i="19" s="1"/>
  <c r="X18" i="19"/>
  <c r="X25" i="19" s="1"/>
  <c r="Y18" i="19"/>
  <c r="Y25" i="19" s="1"/>
  <c r="O18" i="19"/>
  <c r="O25" i="19" s="1"/>
  <c r="Q18" i="19"/>
  <c r="Q25" i="19" s="1"/>
  <c r="R18" i="19"/>
  <c r="R25" i="19" s="1"/>
  <c r="T18" i="19"/>
  <c r="T25" i="19" s="1"/>
  <c r="G66" i="18"/>
  <c r="G16" i="18" s="1"/>
  <c r="D16" i="8"/>
  <c r="G68" i="18"/>
  <c r="E10" i="18"/>
  <c r="E11" i="18"/>
  <c r="F53" i="18"/>
  <c r="F29" i="18"/>
  <c r="F33" i="18" s="1"/>
  <c r="E33" i="18"/>
  <c r="H18" i="18"/>
  <c r="F51" i="18"/>
  <c r="G50" i="18"/>
  <c r="G20" i="18" s="1"/>
  <c r="F51" i="8"/>
  <c r="F49" i="8"/>
  <c r="E11" i="8"/>
  <c r="E10" i="8"/>
  <c r="G49" i="8"/>
  <c r="H48" i="8"/>
  <c r="F11" i="7"/>
  <c r="G10" i="7"/>
  <c r="G11" i="7" s="1"/>
  <c r="G17" i="8"/>
  <c r="G18" i="7"/>
  <c r="G19" i="7" s="1"/>
  <c r="F19" i="7"/>
  <c r="D31" i="8"/>
  <c r="E17" i="18" l="1"/>
  <c r="F25" i="18"/>
  <c r="E24" i="18"/>
  <c r="E22" i="18"/>
  <c r="C4" i="7"/>
  <c r="D3" i="7"/>
  <c r="D22" i="18"/>
  <c r="D26" i="18" s="1"/>
  <c r="G13" i="18"/>
  <c r="AE18" i="19"/>
  <c r="AE25" i="19" s="1"/>
  <c r="AA18" i="19"/>
  <c r="AA25" i="19" s="1"/>
  <c r="AC18" i="19"/>
  <c r="AC25" i="19" s="1"/>
  <c r="AH18" i="19"/>
  <c r="AH25" i="19" s="1"/>
  <c r="AF18" i="19"/>
  <c r="AF25" i="19" s="1"/>
  <c r="AI18" i="19"/>
  <c r="AI25" i="19" s="1"/>
  <c r="AD18" i="19"/>
  <c r="AD25" i="19" s="1"/>
  <c r="AB18" i="19"/>
  <c r="AB25" i="19" s="1"/>
  <c r="AJ18" i="19"/>
  <c r="AJ25" i="19" s="1"/>
  <c r="AK18" i="19"/>
  <c r="AK25" i="19" s="1"/>
  <c r="AG18" i="19"/>
  <c r="AG25" i="19" s="1"/>
  <c r="Z18" i="19"/>
  <c r="Z25" i="19" s="1"/>
  <c r="AF17" i="19"/>
  <c r="AF24" i="19" s="1"/>
  <c r="Z17" i="19"/>
  <c r="Z24" i="19" s="1"/>
  <c r="AJ17" i="19"/>
  <c r="AJ24" i="19" s="1"/>
  <c r="AE17" i="19"/>
  <c r="AE24" i="19" s="1"/>
  <c r="AH17" i="19"/>
  <c r="AH24" i="19" s="1"/>
  <c r="AG17" i="19"/>
  <c r="AG24" i="19" s="1"/>
  <c r="AI17" i="19"/>
  <c r="AI24" i="19" s="1"/>
  <c r="AD17" i="19"/>
  <c r="AD24" i="19" s="1"/>
  <c r="AC17" i="19"/>
  <c r="AC24" i="19" s="1"/>
  <c r="AK17" i="19"/>
  <c r="AK24" i="19" s="1"/>
  <c r="AA17" i="19"/>
  <c r="AA24" i="19" s="1"/>
  <c r="AB17" i="19"/>
  <c r="AB24" i="19" s="1"/>
  <c r="AU16" i="19"/>
  <c r="AU23" i="19" s="1"/>
  <c r="AP16" i="19"/>
  <c r="AP23" i="19" s="1"/>
  <c r="AV16" i="19"/>
  <c r="AV23" i="19" s="1"/>
  <c r="AO16" i="19"/>
  <c r="AO23" i="19" s="1"/>
  <c r="AM16" i="19"/>
  <c r="AM23" i="19" s="1"/>
  <c r="AR16" i="19"/>
  <c r="AR23" i="19" s="1"/>
  <c r="AQ16" i="19"/>
  <c r="AQ23" i="19" s="1"/>
  <c r="AL16" i="19"/>
  <c r="AL23" i="19" s="1"/>
  <c r="AS16" i="19"/>
  <c r="AS23" i="19" s="1"/>
  <c r="AW16" i="19"/>
  <c r="AW23" i="19" s="1"/>
  <c r="AT16" i="19"/>
  <c r="AT23" i="19" s="1"/>
  <c r="AN16" i="19"/>
  <c r="AN23" i="19" s="1"/>
  <c r="H67" i="18"/>
  <c r="H15" i="18" s="1"/>
  <c r="H66" i="18"/>
  <c r="H16" i="18" s="1"/>
  <c r="E16" i="8"/>
  <c r="H68" i="18"/>
  <c r="H13" i="18" s="1"/>
  <c r="F10" i="18"/>
  <c r="F11" i="18"/>
  <c r="G29" i="18"/>
  <c r="G51" i="18"/>
  <c r="H50" i="18"/>
  <c r="H51" i="18" s="1"/>
  <c r="G53" i="18"/>
  <c r="F10" i="8"/>
  <c r="G51" i="8"/>
  <c r="F11" i="8"/>
  <c r="H49" i="8"/>
  <c r="H17" i="8"/>
  <c r="E26" i="18" l="1"/>
  <c r="E27" i="18" s="1"/>
  <c r="E34" i="18" s="1"/>
  <c r="E36" i="18" s="1"/>
  <c r="E38" i="18" s="1"/>
  <c r="E39" i="18" s="1"/>
  <c r="E40" i="18" s="1"/>
  <c r="E42" i="18" s="1"/>
  <c r="D27" i="18"/>
  <c r="F17" i="18"/>
  <c r="G25" i="18"/>
  <c r="F22" i="18"/>
  <c r="F24" i="18"/>
  <c r="D4" i="7"/>
  <c r="E3" i="7"/>
  <c r="BH17" i="19"/>
  <c r="BH24" i="19" s="1"/>
  <c r="BF17" i="19"/>
  <c r="BF24" i="19" s="1"/>
  <c r="BE17" i="19"/>
  <c r="BE24" i="19" s="1"/>
  <c r="BG17" i="19"/>
  <c r="BG24" i="19" s="1"/>
  <c r="AX17" i="19"/>
  <c r="AX24" i="19" s="1"/>
  <c r="BI17" i="19"/>
  <c r="BI24" i="19" s="1"/>
  <c r="BC17" i="19"/>
  <c r="BC24" i="19" s="1"/>
  <c r="BB17" i="19"/>
  <c r="BB24" i="19" s="1"/>
  <c r="BA17" i="19"/>
  <c r="BA24" i="19" s="1"/>
  <c r="AY17" i="19"/>
  <c r="AY24" i="19" s="1"/>
  <c r="BD17" i="19"/>
  <c r="BD24" i="19" s="1"/>
  <c r="AZ17" i="19"/>
  <c r="AZ24" i="19" s="1"/>
  <c r="AQ17" i="19"/>
  <c r="AQ24" i="19" s="1"/>
  <c r="AN17" i="19"/>
  <c r="AN24" i="19" s="1"/>
  <c r="AW17" i="19"/>
  <c r="AW24" i="19" s="1"/>
  <c r="AP17" i="19"/>
  <c r="AP24" i="19" s="1"/>
  <c r="AO17" i="19"/>
  <c r="AO24" i="19" s="1"/>
  <c r="AL17" i="19"/>
  <c r="AL24" i="19" s="1"/>
  <c r="AV17" i="19"/>
  <c r="AV24" i="19" s="1"/>
  <c r="AT17" i="19"/>
  <c r="AT24" i="19" s="1"/>
  <c r="AS17" i="19"/>
  <c r="AS24" i="19" s="1"/>
  <c r="AR17" i="19"/>
  <c r="AR24" i="19" s="1"/>
  <c r="AM17" i="19"/>
  <c r="AM24" i="19" s="1"/>
  <c r="AU17" i="19"/>
  <c r="AU24" i="19" s="1"/>
  <c r="AU18" i="19"/>
  <c r="AU25" i="19" s="1"/>
  <c r="AV18" i="19"/>
  <c r="AV25" i="19" s="1"/>
  <c r="AS18" i="19"/>
  <c r="AS25" i="19" s="1"/>
  <c r="AO18" i="19"/>
  <c r="AO25" i="19" s="1"/>
  <c r="AT18" i="19"/>
  <c r="AT25" i="19" s="1"/>
  <c r="AM18" i="19"/>
  <c r="AM25" i="19" s="1"/>
  <c r="AW18" i="19"/>
  <c r="AW25" i="19" s="1"/>
  <c r="AR18" i="19"/>
  <c r="AR25" i="19" s="1"/>
  <c r="AQ18" i="19"/>
  <c r="AQ25" i="19" s="1"/>
  <c r="AP18" i="19"/>
  <c r="AP25" i="19" s="1"/>
  <c r="AN18" i="19"/>
  <c r="AN25" i="19" s="1"/>
  <c r="AL18" i="19"/>
  <c r="AL25" i="19" s="1"/>
  <c r="BA16" i="19"/>
  <c r="BA23" i="19" s="1"/>
  <c r="AY16" i="19"/>
  <c r="AY23" i="19" s="1"/>
  <c r="BD16" i="19"/>
  <c r="BD23" i="19" s="1"/>
  <c r="BH16" i="19"/>
  <c r="BH23" i="19" s="1"/>
  <c r="BG16" i="19"/>
  <c r="BG23" i="19" s="1"/>
  <c r="BC16" i="19"/>
  <c r="BC23" i="19" s="1"/>
  <c r="AZ16" i="19"/>
  <c r="AZ23" i="19" s="1"/>
  <c r="BI16" i="19"/>
  <c r="BI23" i="19" s="1"/>
  <c r="BF16" i="19"/>
  <c r="BF23" i="19" s="1"/>
  <c r="BE16" i="19"/>
  <c r="BE23" i="19" s="1"/>
  <c r="BB16" i="19"/>
  <c r="BB23" i="19" s="1"/>
  <c r="AX16" i="19"/>
  <c r="AX23" i="19" s="1"/>
  <c r="F16" i="8"/>
  <c r="G10" i="18"/>
  <c r="G11" i="18"/>
  <c r="H53" i="18"/>
  <c r="H29" i="18"/>
  <c r="H33" i="18" s="1"/>
  <c r="G33" i="18"/>
  <c r="H20" i="18"/>
  <c r="H51" i="8"/>
  <c r="G11" i="8"/>
  <c r="G10" i="8"/>
  <c r="F26" i="18" l="1"/>
  <c r="F27" i="18" s="1"/>
  <c r="F34" i="18" s="1"/>
  <c r="F36" i="18" s="1"/>
  <c r="F38" i="18" s="1"/>
  <c r="F39" i="18" s="1"/>
  <c r="F40" i="18" s="1"/>
  <c r="F42" i="18" s="1"/>
  <c r="D54" i="18"/>
  <c r="D34" i="18"/>
  <c r="D36" i="18" s="1"/>
  <c r="D38" i="18" s="1"/>
  <c r="G17" i="18"/>
  <c r="G24" i="18"/>
  <c r="H24" i="18"/>
  <c r="H25" i="18"/>
  <c r="G22" i="18"/>
  <c r="F3" i="7"/>
  <c r="E4" i="7"/>
  <c r="BG18" i="19"/>
  <c r="BG25" i="19" s="1"/>
  <c r="AY18" i="19"/>
  <c r="AY25" i="19" s="1"/>
  <c r="BI18" i="19"/>
  <c r="BI25" i="19" s="1"/>
  <c r="BD18" i="19"/>
  <c r="BD25" i="19" s="1"/>
  <c r="BB18" i="19"/>
  <c r="BB25" i="19" s="1"/>
  <c r="BA18" i="19"/>
  <c r="BA25" i="19" s="1"/>
  <c r="BC18" i="19"/>
  <c r="BC25" i="19" s="1"/>
  <c r="AX18" i="19"/>
  <c r="AX25" i="19" s="1"/>
  <c r="BH18" i="19"/>
  <c r="BH25" i="19" s="1"/>
  <c r="BF18" i="19"/>
  <c r="BF25" i="19" s="1"/>
  <c r="BE18" i="19"/>
  <c r="BE25" i="19" s="1"/>
  <c r="AZ18" i="19"/>
  <c r="AZ25" i="19" s="1"/>
  <c r="G16" i="8"/>
  <c r="H11" i="18"/>
  <c r="H10" i="18"/>
  <c r="E54" i="18"/>
  <c r="H10" i="8"/>
  <c r="H11" i="8"/>
  <c r="E27" i="8"/>
  <c r="E19" i="8"/>
  <c r="E24" i="8" s="1"/>
  <c r="D39" i="18" l="1"/>
  <c r="D40" i="18" s="1"/>
  <c r="D42" i="18" s="1"/>
  <c r="G26" i="18"/>
  <c r="G27" i="18" s="1"/>
  <c r="G34" i="18" s="1"/>
  <c r="G36" i="18" s="1"/>
  <c r="G38" i="18" s="1"/>
  <c r="G39" i="18" s="1"/>
  <c r="G40" i="18" s="1"/>
  <c r="G42" i="18" s="1"/>
  <c r="F54" i="18"/>
  <c r="H17" i="18"/>
  <c r="H22" i="18"/>
  <c r="H26" i="18" s="1"/>
  <c r="G3" i="7"/>
  <c r="G4" i="7" s="1"/>
  <c r="F4" i="7"/>
  <c r="H16" i="8"/>
  <c r="F19" i="8"/>
  <c r="F24" i="8" s="1"/>
  <c r="F27" i="8"/>
  <c r="E31" i="8"/>
  <c r="H27" i="18" l="1"/>
  <c r="H54" i="18" s="1"/>
  <c r="G54" i="18"/>
  <c r="E25" i="8"/>
  <c r="G27" i="8"/>
  <c r="F31" i="8"/>
  <c r="G19" i="8"/>
  <c r="G24" i="8" s="1"/>
  <c r="H34" i="18" l="1"/>
  <c r="H36" i="18" s="1"/>
  <c r="H38" i="18" s="1"/>
  <c r="H39" i="18" s="1"/>
  <c r="H40" i="18" s="1"/>
  <c r="H41" i="18" s="1"/>
  <c r="H42" i="18" s="1"/>
  <c r="B44" i="18" s="1"/>
  <c r="C110" i="18" s="1"/>
  <c r="E32" i="8"/>
  <c r="E34" i="8" s="1"/>
  <c r="E36" i="8" s="1"/>
  <c r="E37" i="8" s="1"/>
  <c r="E38" i="8" s="1"/>
  <c r="E40" i="8" s="1"/>
  <c r="E52" i="8"/>
  <c r="H19" i="8"/>
  <c r="H24" i="8" s="1"/>
  <c r="F25" i="8"/>
  <c r="H27" i="8"/>
  <c r="H31" i="8" s="1"/>
  <c r="G31" i="8"/>
  <c r="C74" i="18" l="1"/>
  <c r="F32" i="8"/>
  <c r="F34" i="8" s="1"/>
  <c r="F36" i="8" s="1"/>
  <c r="F37" i="8" s="1"/>
  <c r="F38" i="8" s="1"/>
  <c r="F40" i="8" s="1"/>
  <c r="F52" i="8"/>
  <c r="H25" i="8"/>
  <c r="G25" i="8"/>
  <c r="G32" i="8" l="1"/>
  <c r="G34" i="8" s="1"/>
  <c r="G36" i="8" s="1"/>
  <c r="G37" i="8" s="1"/>
  <c r="G38" i="8" s="1"/>
  <c r="G40" i="8" s="1"/>
  <c r="G52" i="8"/>
  <c r="H32" i="8"/>
  <c r="H34" i="8" s="1"/>
  <c r="H36" i="8" s="1"/>
  <c r="H37" i="8" s="1"/>
  <c r="H52" i="8"/>
  <c r="H38" i="8" l="1"/>
  <c r="H39" i="8" l="1"/>
  <c r="H40" i="8" s="1"/>
  <c r="D25" i="8" l="1"/>
  <c r="D32" i="8" s="1"/>
  <c r="D34" i="8" s="1"/>
  <c r="D36" i="8" s="1"/>
  <c r="D37" i="8" l="1"/>
  <c r="D38" i="8" s="1"/>
  <c r="D40" i="8" s="1"/>
  <c r="B42" i="8" s="1"/>
  <c r="D52" i="8"/>
  <c r="C56" i="8" l="1"/>
  <c r="C92"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<sst xmlns="http://schemas.openxmlformats.org/spreadsheetml/2006/main" count="389" uniqueCount="272">
  <si>
    <t>Revenue</t>
  </si>
  <si>
    <t>Domains, servers</t>
  </si>
  <si>
    <t>Misc</t>
  </si>
  <si>
    <t>Salary</t>
  </si>
  <si>
    <t>IT MSFT Services 800-number</t>
  </si>
  <si>
    <t>Subscription Fees</t>
  </si>
  <si>
    <t>Total COGS</t>
  </si>
  <si>
    <t>Discount rate</t>
  </si>
  <si>
    <t>Tax rate</t>
  </si>
  <si>
    <t>Gross Profit</t>
  </si>
  <si>
    <t>Expenses</t>
  </si>
  <si>
    <t>EBITDA</t>
  </si>
  <si>
    <t>Total Revenue</t>
  </si>
  <si>
    <t>Interest</t>
  </si>
  <si>
    <t>Taxes</t>
  </si>
  <si>
    <t>Assumptions</t>
  </si>
  <si>
    <t>COGS</t>
  </si>
  <si>
    <t>Expenses: Operating, SGA,etc</t>
  </si>
  <si>
    <t>Gross profit - Expenses = EBITDA</t>
  </si>
  <si>
    <t>EBITDA - D&amp;A = EBIT</t>
  </si>
  <si>
    <t>EBIT - Taxes = NOPAT</t>
  </si>
  <si>
    <t>Add back D&amp;A, subtract CAPEX, subtract change in NWC</t>
  </si>
  <si>
    <t>NWC - CA - CA</t>
  </si>
  <si>
    <t>Integration, App Improvement, Marketing</t>
  </si>
  <si>
    <t>Total Expenses</t>
  </si>
  <si>
    <t>D&amp;A</t>
  </si>
  <si>
    <t>EBIT</t>
  </si>
  <si>
    <t>EBT</t>
  </si>
  <si>
    <t>Terminal Val</t>
  </si>
  <si>
    <t>Long term growth</t>
  </si>
  <si>
    <t>Enterprise Value</t>
  </si>
  <si>
    <t>FCF</t>
  </si>
  <si>
    <t>Discount Rate</t>
  </si>
  <si>
    <t>In 2021 we have 4,251 customers in 2022 we grew that to 25,666 currently we have currently we have 29,713 active customers we've only lost 29 customers. So total users we've had 29,742 so we have a combined growth rate right at at 92.2%. So I took a conservative approach with 30%</t>
  </si>
  <si>
    <t>SENSITIVITY (Discount Rate vs Growth Rate)</t>
  </si>
  <si>
    <t>Bill</t>
  </si>
  <si>
    <t>Paypal</t>
  </si>
  <si>
    <t>WACC</t>
  </si>
  <si>
    <t>https://taxfoundation.org/combined-federal-state-corporate-tax-rates-2022/#:~:text=Corporations%20in%20the%20United%20States,at%20a%2021%20percent%20rate.</t>
  </si>
  <si>
    <t>US corporate tax rate is 21%</t>
  </si>
  <si>
    <t>Average</t>
  </si>
  <si>
    <t>g_salary</t>
  </si>
  <si>
    <t>https://www.ssa.gov/oact/cola/awidevelop.html</t>
  </si>
  <si>
    <t>Annual Salary growth averages (used last year's)</t>
  </si>
  <si>
    <t>g_COGs</t>
  </si>
  <si>
    <t>PV(FCF)</t>
  </si>
  <si>
    <t>Year</t>
  </si>
  <si>
    <t>Month 1</t>
  </si>
  <si>
    <t>Years</t>
  </si>
  <si>
    <t>Domains, servers grow at same rate as subscriptions annually (except in yr 1)</t>
  </si>
  <si>
    <t>IT MSFT Services 800-number and Misc grow at g_COGS (E2)</t>
  </si>
  <si>
    <t>Expenses for integration, app improvement grow at same rate as subscriptions annually (except in yr 1)</t>
  </si>
  <si>
    <t>Salary in yr 1 is 155k, grows at 8.9% per year afterwards (Cell E1). Used most recent bls data to get this for the economy</t>
  </si>
  <si>
    <t>24 -36 month agreements with banks</t>
  </si>
  <si>
    <t>Subscription Fees (Saas) have 3 categories</t>
  </si>
  <si>
    <t>Server 1200 a year</t>
  </si>
  <si>
    <t>SSL monthly server and support 61700 a year</t>
  </si>
  <si>
    <t>White labeling = 10k a year</t>
  </si>
  <si>
    <t>24 - 36 month agreement</t>
  </si>
  <si>
    <t>this 10k covers COGS, paying commission</t>
  </si>
  <si>
    <t>Need to figure out breakeven from commission</t>
  </si>
  <si>
    <t>This is a revenue</t>
  </si>
  <si>
    <t>If a financial institution is signed, there's commission</t>
  </si>
  <si>
    <t>Of the 10k, if 35% goes to commissions…10k is added to revenue. 3500 is added to costs</t>
  </si>
  <si>
    <t>Commission</t>
  </si>
  <si>
    <t>35 cent transaction fee, 2 cents paid to sales rep from this for 18 months</t>
  </si>
  <si>
    <t xml:space="preserve">Assume average small - med bank has ~ 20,000..End: Customer writes 17.5 checks per month…review notes. </t>
  </si>
  <si>
    <t>Basic:</t>
  </si>
  <si>
    <t>Models</t>
  </si>
  <si>
    <t>No white label, no licensing/maintenance, whole 35 cents…bank gets 20 cents, 2 cents to agent for at least 18 months</t>
  </si>
  <si>
    <t>If relationship ends before 18 months, there are clawbacks in commission</t>
  </si>
  <si>
    <t>Figure out breakeven point so there's no need to clawback</t>
  </si>
  <si>
    <t>Licensing &amp; Maintenance</t>
  </si>
  <si>
    <t>10000 is the amount</t>
  </si>
  <si>
    <t>15000 one time as well</t>
  </si>
  <si>
    <t>All these contracts are 24 - 36 months</t>
  </si>
  <si>
    <t>10% of banks assumed to take Licensing &amp; maintenance, remaining go towards white label (out of the 50 banks)</t>
  </si>
  <si>
    <t>Q2 Banks</t>
  </si>
  <si>
    <t>Group on banks within Q2 platforms</t>
  </si>
  <si>
    <t>~400 banks on their platform. We've committed to footing their costs</t>
  </si>
  <si>
    <t>2 paid cents to banks, and 2 cents Financial Institution (FI)</t>
  </si>
  <si>
    <t>Use same logic. From 400 banks (assume 20 of those gotten), then model out 8 banks sending 17.5 checks per month</t>
  </si>
  <si>
    <t>https://www.macrotrends.net/stocks/charts/PYPL/paypal-holdings/revenue</t>
  </si>
  <si>
    <t>Sources</t>
  </si>
  <si>
    <t>Paypal:</t>
  </si>
  <si>
    <t>Growth</t>
  </si>
  <si>
    <t>Bill Holdings Revenue ($ mil)</t>
  </si>
  <si>
    <t>Paypal Revenue ($ mil)</t>
  </si>
  <si>
    <t>TTM</t>
  </si>
  <si>
    <t>Operating Revenue</t>
  </si>
  <si>
    <t>Cost of Revenue</t>
  </si>
  <si>
    <t>Gross Margin</t>
  </si>
  <si>
    <t>Bill Holdings Breakdown</t>
  </si>
  <si>
    <t>Operating Expense</t>
  </si>
  <si>
    <t>Bill:</t>
  </si>
  <si>
    <t>https://finance.yahoo.com/quote/BILL/financials?p=BILL</t>
  </si>
  <si>
    <t>https://www.macrotrends.net/stocks/charts/BILL/bill-holdings/revenue</t>
  </si>
  <si>
    <t>https://finance.yahoo.com/quote/PYPL/financials?p=PYPL</t>
  </si>
  <si>
    <t>Subscrition Fee</t>
  </si>
  <si>
    <t>Check Fee</t>
  </si>
  <si>
    <t>Growth Rates:</t>
  </si>
  <si>
    <t>The conservative case takes the average growth rate of a mature industry competitor over 10 years (Paypal)</t>
  </si>
  <si>
    <t>The optimistic case takes the average growth of an industry competitor excluding an outlier year(Bill.com)</t>
  </si>
  <si>
    <t>Revenue data is available for just 5 years</t>
  </si>
  <si>
    <t>Paypal Breakdown</t>
  </si>
  <si>
    <t>13.29 billion</t>
  </si>
  <si>
    <t>80.44 billion</t>
  </si>
  <si>
    <t>To keep things simple, this valuation mainly references two close competitors: Paypal &amp; Bill.com</t>
  </si>
  <si>
    <t>It should be noted that the average Gross margin for Paypal in the last 10 years is 52.84%, and 76.6% for Bill excluding the outlier year. Our companie's is 98%+</t>
  </si>
  <si>
    <t>Long term growth assumed to be 2.5% (conservative estimation/inflation)</t>
  </si>
  <si>
    <t>Terminal growth rate assumed to be 2.5% as well (conservative)</t>
  </si>
  <si>
    <t>2023 Projected</t>
  </si>
  <si>
    <t># of Banks</t>
  </si>
  <si>
    <t># Customers</t>
  </si>
  <si>
    <t>Growth Rate (Long term)</t>
  </si>
  <si>
    <t>Market Cap</t>
  </si>
  <si>
    <t>Source: alphaspread.com</t>
  </si>
  <si>
    <t>This case takes the projected growth rate for the company this year and extends it through years 1-5</t>
  </si>
  <si>
    <t>Users</t>
  </si>
  <si>
    <t>Avg Checks per user</t>
  </si>
  <si>
    <t>Subscription cost</t>
  </si>
  <si>
    <t>SENSITIVITY (Discount Rate vs Annual Revenue Growth)</t>
  </si>
  <si>
    <t>Annual Revenue Growth</t>
  </si>
  <si>
    <t>Refer to sensitivity analyses at the bottom of the "Model" tab to see effect of changes on key assumptions</t>
  </si>
  <si>
    <t>17259 new customers in 8 months 2021</t>
  </si>
  <si>
    <t>Jan</t>
  </si>
  <si>
    <t>Feb</t>
  </si>
  <si>
    <t>Mar</t>
  </si>
  <si>
    <t>Apr</t>
  </si>
  <si>
    <t>May</t>
  </si>
  <si>
    <t>Jun</t>
  </si>
  <si>
    <t>Jul</t>
  </si>
  <si>
    <t>Customers</t>
  </si>
  <si>
    <t>Lost</t>
  </si>
  <si>
    <t>Aug</t>
  </si>
  <si>
    <t>Sep</t>
  </si>
  <si>
    <t>Oct</t>
  </si>
  <si>
    <t>Nov</t>
  </si>
  <si>
    <t>Dec</t>
  </si>
  <si>
    <t>5 lost this year</t>
  </si>
  <si>
    <t>22 lost in 2022</t>
  </si>
  <si>
    <t>(active users)</t>
  </si>
  <si>
    <t>32166 active users</t>
  </si>
  <si>
    <t>32196 total users</t>
  </si>
  <si>
    <t>243% growth 2022</t>
  </si>
  <si>
    <t>Check Transaction Revenue Revenue</t>
  </si>
  <si>
    <t>in the middle of July</t>
  </si>
  <si>
    <t>(This is no partner activity…not including the bank stuff)</t>
  </si>
  <si>
    <t>Think how much we assume we'll get from partners…and potentially add it to model</t>
  </si>
  <si>
    <t>Can get 6 to 8 banks a year once momentum's gotten</t>
  </si>
  <si>
    <t>Space 25 banks over the 5 years (assume sign 6 banks every year, model 1 bank for this year…6 every year after). Conservative</t>
  </si>
  <si>
    <t>Of the 33 cents, revenue can be shared back to the bank (keep 20c give bank 13c)</t>
  </si>
  <si>
    <t>Out of 6 banks, model 2 doing white label…the others doing the smaller approach</t>
  </si>
  <si>
    <t xml:space="preserve">Add no white label for this year…next year add </t>
  </si>
  <si>
    <t>Year 1</t>
  </si>
  <si>
    <t>Year 2</t>
  </si>
  <si>
    <t>Year 3</t>
  </si>
  <si>
    <t>White label</t>
  </si>
  <si>
    <t>Lic</t>
  </si>
  <si>
    <t>Main</t>
  </si>
  <si>
    <t>Year 4</t>
  </si>
  <si>
    <t>Year 5</t>
  </si>
  <si>
    <t>Remainder just revenue share…no 10k cost to get started</t>
  </si>
  <si>
    <t>This model we have doesn't take strategic partnerships…we want to model some of that in here as growth</t>
  </si>
  <si>
    <t>If we get 1 bank (banks have 20000 users…out of that how many do we get?)</t>
  </si>
  <si>
    <t>If we can get 5%, that's 1000 extra users</t>
  </si>
  <si>
    <t>He wouldn't expect we get 1000 this year</t>
  </si>
  <si>
    <t>Lets call it 30 new from the bank this year then 1000 or more after</t>
  </si>
  <si>
    <t>Ne bank total</t>
  </si>
  <si>
    <t xml:space="preserve">NOTE: These are 24 to 36 month agreements </t>
  </si>
  <si>
    <t>It's a one time payment of 10k</t>
  </si>
  <si>
    <t>Still make 35  cents even though bank paid 10k</t>
  </si>
  <si>
    <t>8741 beginning march 2022</t>
  </si>
  <si>
    <t>17000+ added 2022</t>
  </si>
  <si>
    <t>add 17259 users</t>
  </si>
  <si>
    <t>from end of march at 8741</t>
  </si>
  <si>
    <t>2021 End</t>
  </si>
  <si>
    <t>2023 (Till Jul 15)</t>
  </si>
  <si>
    <t>Subscription Growth</t>
  </si>
  <si>
    <t>Check transaction growth</t>
  </si>
  <si>
    <t>Cost of debt</t>
  </si>
  <si>
    <t>Cost of Equity</t>
  </si>
  <si>
    <t>risk-free rate</t>
  </si>
  <si>
    <t>https://ycharts.com/indicators/20_year_treasury_rate#:~:text=20%20Year%20Treasury%20Rate%20is,a%20maturity%20of%2020%20years.</t>
  </si>
  <si>
    <t>riskfree rate:</t>
  </si>
  <si>
    <t>Beta (5Y Yahoo)</t>
  </si>
  <si>
    <t>SP500 returns last 10 years</t>
  </si>
  <si>
    <t>SP500 avg return (10 yr)</t>
  </si>
  <si>
    <t>Market risk premium</t>
  </si>
  <si>
    <t>Paypal cost of debt</t>
  </si>
  <si>
    <t>https://cbonds.com/bonds/1278351/</t>
  </si>
  <si>
    <t>https://s201.q4cdn.com/231198771/files/doc_financials/2023/ar/PayPal-Holdings-Inc-Combined-2023-Proxy-Statement-and-2022-Annual-Report.pdf</t>
  </si>
  <si>
    <t>10k Bill</t>
  </si>
  <si>
    <t>https://s24.q4cdn.com/404137088/files/doc_financials/2022/q4/Bill.com-10K.pdf</t>
  </si>
  <si>
    <t>"As of June 30, 2022, the interest rate on borrowings from the Class A facility was 4.35% per annum"</t>
  </si>
  <si>
    <t>D/E Ratio</t>
  </si>
  <si>
    <t>Tax Rate</t>
  </si>
  <si>
    <t>D=1.29</t>
  </si>
  <si>
    <t>E=1</t>
  </si>
  <si>
    <t>V =2.29</t>
  </si>
  <si>
    <t>D/V=1.29/2.29</t>
  </si>
  <si>
    <t>D/V</t>
  </si>
  <si>
    <t>Paypal D/E ratio</t>
  </si>
  <si>
    <t>https://www.morningstar.com/stocks/xnas/pypl/quote</t>
  </si>
  <si>
    <t>Bill D/E ratio</t>
  </si>
  <si>
    <t>https://www.wsj.com/market-data/quotes/BILL/financials</t>
  </si>
  <si>
    <t>E/V</t>
  </si>
  <si>
    <t>WACC unlevered</t>
  </si>
  <si>
    <t>WACC_unlevered = WACC_levered / (1 + ((1 - Tax Rate) * (D/E)))</t>
  </si>
  <si>
    <t>WACC_Average unlevered</t>
  </si>
  <si>
    <t>Discount rate was calculated by finding an average of unlevered WACC for Paypal &amp; Bill after researching necessary components</t>
  </si>
  <si>
    <t>Model is based on getting 25 banks on board (1% of small to medium banks in the US, this is extremely conservative)</t>
  </si>
  <si>
    <t>Average(exclude 2022)</t>
  </si>
  <si>
    <t>Our Company</t>
  </si>
  <si>
    <t>Bill Holdings</t>
  </si>
  <si>
    <t>For Model</t>
  </si>
  <si>
    <t>10k Paypal</t>
  </si>
  <si>
    <t>From Bill's 10k:</t>
  </si>
  <si>
    <t>Additional Assumptions</t>
  </si>
  <si>
    <t>License &amp; Maintenance</t>
  </si>
  <si>
    <t>Check Transaction Revenue</t>
  </si>
  <si>
    <t>Basic</t>
  </si>
  <si>
    <t>Licensing &amp; Maintenaance</t>
  </si>
  <si>
    <t>Users per bank</t>
  </si>
  <si>
    <t>Cost</t>
  </si>
  <si>
    <t>Fee Retained</t>
  </si>
  <si>
    <t>New Customers</t>
  </si>
  <si>
    <t>New Customers per bank</t>
  </si>
  <si>
    <t>New Banks</t>
  </si>
  <si>
    <t>Cumulative Customers</t>
  </si>
  <si>
    <t>35c</t>
  </si>
  <si>
    <t>2c sales rep</t>
  </si>
  <si>
    <t>13 cents bank</t>
  </si>
  <si>
    <t>20 to us</t>
  </si>
  <si>
    <t>He doesn't see total transaction fee and coming out of COGS</t>
  </si>
  <si>
    <t>Rep is only 18 months</t>
  </si>
  <si>
    <t>…across all 3</t>
  </si>
  <si>
    <t>Check Transaction Fees</t>
  </si>
  <si>
    <t>Base commission on number of years we bring bank on</t>
  </si>
  <si>
    <t>sales rep gets 2 pennies from every transaction from that bank</t>
  </si>
  <si>
    <t>Maintenance &amp; license agreement</t>
  </si>
  <si>
    <t>Rep Revenue Share</t>
  </si>
  <si>
    <t>Bank Revenue Share</t>
  </si>
  <si>
    <t>In terms of revenue growth, the conservative model averages Paypal (a mature company's)  and BILL in the last 10 years</t>
  </si>
  <si>
    <t>L &amp; M transaction fee</t>
  </si>
  <si>
    <t>Sales Rep</t>
  </si>
  <si>
    <t>License &amp; maintenance Sales Reps</t>
  </si>
  <si>
    <t>Month</t>
  </si>
  <si>
    <t>Sales Rep Breakdown</t>
  </si>
  <si>
    <t>Transactions per month</t>
  </si>
  <si>
    <t>Revenue per month</t>
  </si>
  <si>
    <t>This tab contains the breakdown of the revenues per month for each partnership type</t>
  </si>
  <si>
    <t>Total Transactions</t>
  </si>
  <si>
    <t>Our projected Growth Rate</t>
  </si>
  <si>
    <t>Competitor growth</t>
  </si>
  <si>
    <t>The "Revenue per month" table contains the present value of 18 months of future cashflows from the new transactions of that month</t>
  </si>
  <si>
    <t>These are summed up and reflected in "Model with partnerships"</t>
  </si>
  <si>
    <t>&lt;--- This average of A9 &amp; A17 is used for our valuations to keep it conservative</t>
  </si>
  <si>
    <t>License &amp; maintenance Commission</t>
  </si>
  <si>
    <t>L&amp;M: License &amp; maintenance</t>
  </si>
  <si>
    <t>13 cents - bank revenue share</t>
  </si>
  <si>
    <t>Reoccuring Commission (Sales Rep)</t>
  </si>
  <si>
    <t>Direct Marketing model</t>
  </si>
  <si>
    <t>Revenue share</t>
  </si>
  <si>
    <t>Reoccuring bank revenue share was line for 13c going back to bank</t>
  </si>
  <si>
    <t>Note: Only Yellow Cells are Changeable</t>
  </si>
  <si>
    <t>Licensing Agreement</t>
  </si>
  <si>
    <t>Private Label</t>
  </si>
  <si>
    <t>Private Label transaction fee</t>
  </si>
  <si>
    <t>Private Label Commission</t>
  </si>
  <si>
    <t>Private Label Sales Reps</t>
  </si>
  <si>
    <t>IT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</si>
</sst>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_(&quot;$&quot;* #,##0_);_(&quot;$&quot;* \(#,##0\);_(&quot;$&quot;* &quot;-&quot;??_);_(@_)"/>
    <numFmt numFmtId="166" formatCode="_(* #,##0_);_(* \(#,##0\);_(* &quot;-&quot;??_);_(@_)"/>
    <numFmt numFmtId="167" formatCode="0.0"/>
    <numFmt numFmtId="168" formatCode="_(* #,##0.0_);_(* \(#,##0.0\);_(* &quot;-&quot;?_);_(@_)"/>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8"/>
      <color rgb="FF001E00"/>
      <name val="Arial"/>
      <family val="2"/>
    </font>
    <font>
      <sz val="8"/>
      <name val="Calibri"/>
      <family val="2"/>
      <scheme val="minor"/>
    </font>
    <font>
      <sz val="8"/>
      <color rgb="FF444444"/>
      <name val="Roboto"/>
    </font>
    <font>
      <b/>
      <u/>
      <sz val="11"/>
      <color theme="1"/>
      <name val="Calibri"/>
      <family val="2"/>
      <scheme val="minor"/>
    </font>
    <font>
      <sz val="8"/>
      <color rgb="FF232A31"/>
      <name val="Arial"/>
      <family val="2"/>
    </font>
    <font>
      <b/>
      <sz val="8"/>
      <color rgb="FF232A31"/>
      <name val="Arial"/>
      <family val="2"/>
    </font>
    <font>
      <sz val="10"/>
      <name val="Segoe UI"/>
      <family val="2"/>
    </font>
    <font>
      <b/>
      <sz val="11"/>
      <color rgb="FFFF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7030A0"/>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FFFF"/>
        <bgColor indexed="64"/>
      </patternFill>
    </fill>
    <fill>
      <patternFill patternType="solid">
        <fgColor theme="5" tint="0.79998168889431442"/>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double">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style="medium">
        <color rgb="FFDDDDDD"/>
      </top>
      <bottom/>
      <diagonal/>
    </border>
    <border>
      <left/>
      <right/>
      <top/>
      <bottom style="medium">
        <color rgb="FF000000"/>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53">
    <xf numFmtId="0" fontId="0" fillId="0" borderId="0" xfId="0"/>
    <xf numFmtId="0" fontId="2" fillId="0" borderId="0" xfId="0" applyFont="1"/>
    <xf numFmtId="0" fontId="2" fillId="0" borderId="0" xfId="0" applyFont="1" applyAlignment="1">
      <alignment horizontal="right"/>
    </xf>
    <xf numFmtId="9" fontId="0" fillId="0" borderId="0" xfId="0" applyNumberFormat="1"/>
    <xf numFmtId="8" fontId="0" fillId="2" borderId="1" xfId="0" applyNumberFormat="1" applyFill="1" applyBorder="1"/>
    <xf numFmtId="9" fontId="0" fillId="2" borderId="1" xfId="1" applyFont="1" applyFill="1" applyBorder="1"/>
    <xf numFmtId="0" fontId="2" fillId="0" borderId="0" xfId="0" applyFont="1" applyAlignment="1">
      <alignment horizontal="center" vertical="center"/>
    </xf>
    <xf numFmtId="0" fontId="2" fillId="0" borderId="0" xfId="0" applyFont="1" applyAlignment="1">
      <alignment horizontal="center"/>
    </xf>
    <xf numFmtId="164" fontId="0" fillId="2" borderId="1" xfId="1" applyNumberFormat="1" applyFont="1" applyFill="1" applyBorder="1"/>
    <xf numFmtId="6" fontId="0" fillId="4" borderId="0" xfId="0" applyNumberFormat="1" applyFill="1"/>
    <xf numFmtId="0" fontId="2" fillId="0" borderId="5" xfId="0" applyFont="1" applyBorder="1"/>
    <xf numFmtId="0" fontId="2" fillId="0" borderId="5" xfId="0" applyFont="1" applyBorder="1" applyAlignment="1">
      <alignment horizontal="center" vertical="center"/>
    </xf>
    <xf numFmtId="0" fontId="0" fillId="0" borderId="5" xfId="0" applyBorder="1"/>
    <xf numFmtId="0" fontId="2" fillId="0" borderId="5" xfId="0" applyFont="1" applyBorder="1" applyAlignment="1">
      <alignment horizontal="center"/>
    </xf>
    <xf numFmtId="0" fontId="2" fillId="0" borderId="5" xfId="0" applyFont="1" applyBorder="1" applyAlignment="1">
      <alignment horizontal="right"/>
    </xf>
    <xf numFmtId="165" fontId="0" fillId="0" borderId="0" xfId="2" applyNumberFormat="1" applyFont="1" applyAlignment="1">
      <alignment horizontal="center"/>
    </xf>
    <xf numFmtId="0" fontId="3" fillId="0" borderId="0" xfId="0" applyFont="1" applyAlignment="1">
      <alignment vertical="center" wrapText="1"/>
    </xf>
    <xf numFmtId="10" fontId="0" fillId="0" borderId="0" xfId="0" applyNumberFormat="1"/>
    <xf numFmtId="10" fontId="0" fillId="5" borderId="0" xfId="0" applyNumberFormat="1" applyFill="1"/>
    <xf numFmtId="164" fontId="0" fillId="0" borderId="0" xfId="0" applyNumberFormat="1"/>
    <xf numFmtId="164" fontId="0" fillId="0" borderId="12" xfId="0" applyNumberFormat="1" applyBorder="1" applyAlignment="1">
      <alignment horizontal="center"/>
    </xf>
    <xf numFmtId="0" fontId="2" fillId="3" borderId="0" xfId="0" applyFont="1" applyFill="1"/>
    <xf numFmtId="6" fontId="0" fillId="0" borderId="0" xfId="0" applyNumberFormat="1"/>
    <xf numFmtId="165" fontId="0" fillId="0" borderId="0" xfId="2" applyNumberFormat="1" applyFont="1" applyFill="1" applyBorder="1" applyAlignment="1">
      <alignment horizontal="center"/>
    </xf>
    <xf numFmtId="164" fontId="0" fillId="0" borderId="0" xfId="0" applyNumberFormat="1" applyAlignment="1">
      <alignment horizontal="center"/>
    </xf>
    <xf numFmtId="8" fontId="0" fillId="0" borderId="0" xfId="0" applyNumberFormat="1"/>
    <xf numFmtId="6" fontId="2" fillId="0" borderId="0" xfId="0" applyNumberFormat="1" applyFont="1"/>
    <xf numFmtId="0" fontId="2" fillId="0" borderId="14" xfId="0" applyFont="1" applyBorder="1" applyAlignment="1">
      <alignment horizontal="center"/>
    </xf>
    <xf numFmtId="164" fontId="0" fillId="0" borderId="0" xfId="0" quotePrefix="1" applyNumberFormat="1"/>
    <xf numFmtId="0" fontId="5" fillId="6" borderId="15" xfId="0" applyFont="1" applyFill="1" applyBorder="1" applyAlignment="1">
      <alignment horizontal="center" vertical="center" wrapText="1"/>
    </xf>
    <xf numFmtId="6" fontId="5" fillId="6" borderId="15" xfId="0" applyNumberFormat="1" applyFont="1" applyFill="1" applyBorder="1" applyAlignment="1">
      <alignment horizontal="center" vertical="center" wrapText="1"/>
    </xf>
    <xf numFmtId="0" fontId="6" fillId="0" borderId="0" xfId="0" applyFont="1"/>
    <xf numFmtId="0" fontId="8" fillId="0" borderId="16" xfId="0" applyFont="1" applyBorder="1" applyAlignment="1">
      <alignment horizontal="center" vertical="center" wrapText="1"/>
    </xf>
    <xf numFmtId="14" fontId="8" fillId="0" borderId="16" xfId="0" applyNumberFormat="1" applyFont="1" applyBorder="1" applyAlignment="1">
      <alignment horizontal="center" vertical="center" wrapText="1"/>
    </xf>
    <xf numFmtId="0" fontId="7" fillId="0" borderId="0" xfId="0" applyFont="1" applyAlignment="1">
      <alignment horizontal="left" vertical="center"/>
    </xf>
    <xf numFmtId="3" fontId="7" fillId="0" borderId="16" xfId="0" applyNumberFormat="1" applyFont="1" applyBorder="1" applyAlignment="1">
      <alignment horizontal="center" vertical="center" wrapText="1"/>
    </xf>
    <xf numFmtId="0" fontId="8" fillId="0" borderId="0" xfId="0" applyFont="1" applyAlignment="1">
      <alignment horizontal="left" vertical="center"/>
    </xf>
    <xf numFmtId="0" fontId="0" fillId="0" borderId="0" xfId="0" applyAlignment="1">
      <alignment horizontal="center"/>
    </xf>
    <xf numFmtId="0" fontId="0" fillId="0" borderId="20" xfId="0" applyBorder="1"/>
    <xf numFmtId="166" fontId="0" fillId="0" borderId="0" xfId="3" applyNumberFormat="1" applyFont="1" applyBorder="1"/>
    <xf numFmtId="166" fontId="0" fillId="0" borderId="20" xfId="3" applyNumberFormat="1" applyFont="1" applyBorder="1"/>
    <xf numFmtId="0" fontId="0" fillId="0" borderId="14" xfId="0" applyBorder="1"/>
    <xf numFmtId="9" fontId="0" fillId="0" borderId="14" xfId="1" applyFont="1" applyBorder="1"/>
    <xf numFmtId="9" fontId="0" fillId="0" borderId="21" xfId="1" applyFont="1" applyBorder="1"/>
    <xf numFmtId="0" fontId="0" fillId="0" borderId="17" xfId="0" applyBorder="1"/>
    <xf numFmtId="0" fontId="2" fillId="0" borderId="9" xfId="0" applyFont="1" applyBorder="1"/>
    <xf numFmtId="0" fontId="0" fillId="0" borderId="10" xfId="0" applyBorder="1"/>
    <xf numFmtId="0" fontId="2" fillId="0" borderId="10" xfId="0" applyFont="1" applyBorder="1"/>
    <xf numFmtId="0" fontId="2" fillId="0" borderId="11" xfId="0" applyFont="1" applyBorder="1" applyAlignment="1">
      <alignment horizontal="right"/>
    </xf>
    <xf numFmtId="0" fontId="0" fillId="0" borderId="9" xfId="0" applyBorder="1"/>
    <xf numFmtId="0" fontId="6" fillId="0" borderId="17" xfId="0" applyFont="1" applyBorder="1"/>
    <xf numFmtId="0" fontId="6" fillId="0" borderId="18" xfId="0" applyFont="1" applyBorder="1"/>
    <xf numFmtId="0" fontId="0" fillId="0" borderId="0" xfId="0" applyAlignment="1">
      <alignment horizontal="right"/>
    </xf>
    <xf numFmtId="164" fontId="0" fillId="7" borderId="0" xfId="1" applyNumberFormat="1" applyFont="1" applyFill="1"/>
    <xf numFmtId="10" fontId="0" fillId="0" borderId="14" xfId="1" applyNumberFormat="1" applyFont="1" applyBorder="1" applyAlignment="1">
      <alignment horizontal="center"/>
    </xf>
    <xf numFmtId="0" fontId="6" fillId="0" borderId="17" xfId="0" applyFont="1" applyBorder="1" applyAlignment="1">
      <alignment horizontal="center"/>
    </xf>
    <xf numFmtId="0" fontId="2" fillId="0" borderId="11" xfId="0" applyFont="1" applyBorder="1"/>
    <xf numFmtId="1" fontId="0" fillId="2" borderId="1" xfId="1" applyNumberFormat="1" applyFont="1" applyFill="1" applyBorder="1"/>
    <xf numFmtId="10" fontId="0" fillId="0" borderId="0" xfId="0" applyNumberFormat="1" applyAlignment="1">
      <alignment horizontal="center"/>
    </xf>
    <xf numFmtId="167" fontId="0" fillId="2" borderId="1" xfId="1" applyNumberFormat="1" applyFont="1" applyFill="1" applyBorder="1"/>
    <xf numFmtId="168" fontId="0" fillId="0" borderId="0" xfId="0" applyNumberFormat="1"/>
    <xf numFmtId="2" fontId="0" fillId="0" borderId="0" xfId="0" applyNumberFormat="1" applyAlignment="1">
      <alignment horizontal="center"/>
    </xf>
    <xf numFmtId="166" fontId="0" fillId="0" borderId="0" xfId="3" applyNumberFormat="1" applyFont="1" applyAlignment="1">
      <alignment horizontal="center" vertical="center"/>
    </xf>
    <xf numFmtId="0" fontId="0" fillId="0" borderId="0" xfId="0" quotePrefix="1"/>
    <xf numFmtId="0" fontId="6" fillId="0" borderId="0" xfId="0" applyFont="1" applyAlignment="1">
      <alignment horizontal="center"/>
    </xf>
    <xf numFmtId="0" fontId="6" fillId="0" borderId="22" xfId="0" applyFont="1" applyBorder="1" applyAlignment="1">
      <alignment horizontal="center"/>
    </xf>
    <xf numFmtId="0" fontId="0" fillId="0" borderId="19" xfId="0" applyBorder="1" applyAlignment="1">
      <alignment horizontal="center"/>
    </xf>
    <xf numFmtId="0" fontId="0" fillId="0" borderId="23" xfId="0" applyBorder="1" applyAlignment="1">
      <alignment horizontal="center"/>
    </xf>
    <xf numFmtId="0" fontId="0" fillId="0" borderId="20" xfId="0" applyBorder="1" applyAlignment="1">
      <alignment horizontal="center"/>
    </xf>
    <xf numFmtId="0" fontId="0" fillId="0" borderId="0" xfId="0" applyAlignment="1">
      <alignment horizontal="left"/>
    </xf>
    <xf numFmtId="0" fontId="0" fillId="2" borderId="0" xfId="0" applyFill="1"/>
    <xf numFmtId="10" fontId="0" fillId="0" borderId="0" xfId="1" applyNumberFormat="1" applyFont="1" applyAlignment="1">
      <alignment horizontal="center"/>
    </xf>
    <xf numFmtId="0" fontId="9" fillId="0" borderId="0" xfId="0" applyFont="1"/>
    <xf numFmtId="10" fontId="0" fillId="8" borderId="0" xfId="1" applyNumberFormat="1" applyFont="1" applyFill="1"/>
    <xf numFmtId="10" fontId="2" fillId="0" borderId="0" xfId="0" applyNumberFormat="1" applyFont="1" applyAlignment="1">
      <alignment horizontal="center"/>
    </xf>
    <xf numFmtId="44" fontId="0" fillId="2" borderId="1" xfId="2" applyFont="1" applyFill="1" applyBorder="1"/>
    <xf numFmtId="0" fontId="2" fillId="9" borderId="0" xfId="0" applyFont="1" applyFill="1"/>
    <xf numFmtId="0" fontId="2" fillId="10" borderId="0" xfId="0" applyFont="1" applyFill="1"/>
    <xf numFmtId="0" fontId="2" fillId="11" borderId="0" xfId="0" applyFont="1" applyFill="1"/>
    <xf numFmtId="0" fontId="2" fillId="12" borderId="0" xfId="0" applyFont="1" applyFill="1"/>
    <xf numFmtId="0" fontId="2" fillId="13" borderId="0" xfId="0" applyFont="1" applyFill="1"/>
    <xf numFmtId="0" fontId="2" fillId="9" borderId="22" xfId="0" applyFont="1" applyFill="1" applyBorder="1" applyAlignment="1">
      <alignment horizontal="center"/>
    </xf>
    <xf numFmtId="0" fontId="2" fillId="9" borderId="17" xfId="0" applyFont="1" applyFill="1" applyBorder="1" applyAlignment="1">
      <alignment horizontal="center"/>
    </xf>
    <xf numFmtId="0" fontId="2" fillId="10" borderId="7" xfId="0" applyFont="1" applyFill="1" applyBorder="1" applyAlignment="1">
      <alignment horizontal="center"/>
    </xf>
    <xf numFmtId="0" fontId="2" fillId="11" borderId="7" xfId="0" applyFont="1" applyFill="1" applyBorder="1" applyAlignment="1">
      <alignment horizontal="center"/>
    </xf>
    <xf numFmtId="0" fontId="2" fillId="12" borderId="7" xfId="0" applyFont="1" applyFill="1" applyBorder="1" applyAlignment="1">
      <alignment horizontal="center"/>
    </xf>
    <xf numFmtId="0" fontId="2" fillId="13" borderId="7" xfId="0" applyFont="1" applyFill="1" applyBorder="1" applyAlignment="1">
      <alignment horizontal="center"/>
    </xf>
    <xf numFmtId="0" fontId="2" fillId="13" borderId="8" xfId="0" applyFont="1" applyFill="1" applyBorder="1" applyAlignment="1">
      <alignment horizontal="center"/>
    </xf>
    <xf numFmtId="1" fontId="0" fillId="0" borderId="22" xfId="0" applyNumberFormat="1" applyBorder="1" applyAlignment="1">
      <alignment horizontal="center"/>
    </xf>
    <xf numFmtId="1" fontId="0" fillId="0" borderId="17" xfId="0" applyNumberFormat="1" applyBorder="1" applyAlignment="1">
      <alignment horizontal="center"/>
    </xf>
    <xf numFmtId="1" fontId="0" fillId="0" borderId="18" xfId="0" applyNumberFormat="1" applyBorder="1" applyAlignment="1">
      <alignment horizontal="center"/>
    </xf>
    <xf numFmtId="1" fontId="0" fillId="0" borderId="19" xfId="0" applyNumberFormat="1" applyBorder="1" applyAlignment="1">
      <alignment horizontal="center"/>
    </xf>
    <xf numFmtId="1" fontId="0" fillId="0" borderId="0" xfId="0" applyNumberFormat="1" applyAlignment="1">
      <alignment horizontal="center"/>
    </xf>
    <xf numFmtId="1" fontId="0" fillId="0" borderId="20" xfId="0" applyNumberFormat="1" applyBorder="1" applyAlignment="1">
      <alignment horizontal="center"/>
    </xf>
    <xf numFmtId="1" fontId="0" fillId="0" borderId="23" xfId="0" applyNumberFormat="1" applyBorder="1" applyAlignment="1">
      <alignment horizontal="center"/>
    </xf>
    <xf numFmtId="1" fontId="0" fillId="0" borderId="14" xfId="0" applyNumberFormat="1" applyBorder="1" applyAlignment="1">
      <alignment horizontal="center"/>
    </xf>
    <xf numFmtId="1" fontId="0" fillId="0" borderId="21" xfId="0" applyNumberFormat="1" applyBorder="1" applyAlignment="1">
      <alignment horizontal="center"/>
    </xf>
    <xf numFmtId="0" fontId="2" fillId="2" borderId="0" xfId="0" applyFont="1" applyFill="1"/>
    <xf numFmtId="8" fontId="0" fillId="0" borderId="22" xfId="2" applyNumberFormat="1" applyFont="1" applyFill="1" applyBorder="1" applyAlignment="1">
      <alignment horizontal="center"/>
    </xf>
    <xf numFmtId="0" fontId="2" fillId="10" borderId="17" xfId="0" applyFont="1" applyFill="1" applyBorder="1" applyAlignment="1">
      <alignment horizontal="center"/>
    </xf>
    <xf numFmtId="0" fontId="2" fillId="11" borderId="17" xfId="0" applyFont="1" applyFill="1" applyBorder="1" applyAlignment="1">
      <alignment horizontal="center"/>
    </xf>
    <xf numFmtId="0" fontId="2" fillId="12" borderId="17" xfId="0" applyFont="1" applyFill="1" applyBorder="1" applyAlignment="1">
      <alignment horizontal="center"/>
    </xf>
    <xf numFmtId="0" fontId="2" fillId="13" borderId="17" xfId="0" applyFont="1" applyFill="1" applyBorder="1" applyAlignment="1">
      <alignment horizontal="center"/>
    </xf>
    <xf numFmtId="0" fontId="2" fillId="13" borderId="18" xfId="0" applyFont="1" applyFill="1" applyBorder="1" applyAlignment="1">
      <alignment horizontal="center"/>
    </xf>
    <xf numFmtId="8" fontId="0" fillId="0" borderId="0" xfId="2" applyNumberFormat="1" applyFont="1" applyFill="1" applyBorder="1" applyAlignment="1">
      <alignment horizontal="center"/>
    </xf>
    <xf numFmtId="8" fontId="0" fillId="0" borderId="17" xfId="2" applyNumberFormat="1" applyFont="1" applyFill="1" applyBorder="1" applyAlignment="1">
      <alignment horizontal="center"/>
    </xf>
    <xf numFmtId="8" fontId="0" fillId="0" borderId="18" xfId="2" applyNumberFormat="1" applyFont="1" applyFill="1" applyBorder="1" applyAlignment="1">
      <alignment horizontal="center"/>
    </xf>
    <xf numFmtId="8" fontId="0" fillId="0" borderId="19" xfId="2" applyNumberFormat="1" applyFont="1" applyFill="1" applyBorder="1" applyAlignment="1">
      <alignment horizontal="center"/>
    </xf>
    <xf numFmtId="8" fontId="0" fillId="0" borderId="20" xfId="2" applyNumberFormat="1" applyFont="1" applyFill="1" applyBorder="1" applyAlignment="1">
      <alignment horizontal="center"/>
    </xf>
    <xf numFmtId="8" fontId="0" fillId="0" borderId="23" xfId="2" applyNumberFormat="1" applyFont="1" applyFill="1" applyBorder="1" applyAlignment="1">
      <alignment horizontal="center"/>
    </xf>
    <xf numFmtId="8" fontId="0" fillId="0" borderId="14" xfId="2" applyNumberFormat="1" applyFont="1" applyFill="1" applyBorder="1" applyAlignment="1">
      <alignment horizontal="center"/>
    </xf>
    <xf numFmtId="8" fontId="0" fillId="0" borderId="21" xfId="2" applyNumberFormat="1" applyFont="1" applyFill="1" applyBorder="1" applyAlignment="1">
      <alignment horizontal="center"/>
    </xf>
    <xf numFmtId="0" fontId="6" fillId="0" borderId="18" xfId="0" applyFont="1" applyBorder="1" applyAlignment="1">
      <alignment horizontal="center"/>
    </xf>
    <xf numFmtId="10" fontId="0" fillId="0" borderId="21" xfId="1" applyNumberFormat="1" applyFont="1" applyBorder="1" applyAlignment="1">
      <alignment horizontal="center"/>
    </xf>
    <xf numFmtId="0" fontId="2" fillId="8" borderId="0" xfId="0" applyFont="1" applyFill="1"/>
    <xf numFmtId="9" fontId="2" fillId="8" borderId="0" xfId="0" applyNumberFormat="1" applyFont="1" applyFill="1"/>
    <xf numFmtId="0" fontId="2" fillId="2" borderId="0" xfId="0" quotePrefix="1" applyFont="1" applyFill="1"/>
    <xf numFmtId="14" fontId="0" fillId="0" borderId="0" xfId="0" applyNumberFormat="1"/>
    <xf numFmtId="165" fontId="0" fillId="0" borderId="1" xfId="2" applyNumberFormat="1" applyFont="1" applyBorder="1"/>
    <xf numFmtId="165" fontId="0" fillId="0" borderId="4" xfId="2" applyNumberFormat="1" applyFont="1" applyBorder="1"/>
    <xf numFmtId="165" fontId="0" fillId="0" borderId="0" xfId="2" applyNumberFormat="1" applyFont="1"/>
    <xf numFmtId="165" fontId="0" fillId="0" borderId="13" xfId="2" applyNumberFormat="1" applyFont="1" applyBorder="1"/>
    <xf numFmtId="0" fontId="0" fillId="0" borderId="28" xfId="0" applyBorder="1"/>
    <xf numFmtId="0" fontId="0" fillId="0" borderId="26" xfId="0" applyBorder="1"/>
    <xf numFmtId="0" fontId="0" fillId="0" borderId="24" xfId="0" applyBorder="1"/>
    <xf numFmtId="0" fontId="0" fillId="0" borderId="25" xfId="0" applyBorder="1"/>
    <xf numFmtId="0" fontId="0" fillId="0" borderId="27" xfId="0" applyBorder="1"/>
    <xf numFmtId="0" fontId="0" fillId="0" borderId="26" xfId="0" applyBorder="1" applyAlignment="1">
      <alignment horizontal="center"/>
    </xf>
    <xf numFmtId="0" fontId="0" fillId="0" borderId="27" xfId="0" applyBorder="1" applyAlignment="1">
      <alignment horizontal="center"/>
    </xf>
    <xf numFmtId="9" fontId="0" fillId="0" borderId="0" xfId="0" applyNumberFormat="1" applyAlignment="1">
      <alignment horizontal="center"/>
    </xf>
    <xf numFmtId="164" fontId="0" fillId="2" borderId="1" xfId="0" applyNumberFormat="1" applyFill="1" applyBorder="1" applyAlignment="1">
      <alignment horizontal="center"/>
    </xf>
    <xf numFmtId="0" fontId="10" fillId="5" borderId="0" xfId="0" applyFont="1" applyFill="1"/>
    <xf numFmtId="0" fontId="2" fillId="0" borderId="19" xfId="0" applyFont="1" applyBorder="1" applyAlignment="1">
      <alignment horizontal="center"/>
    </xf>
    <xf numFmtId="0" fontId="2" fillId="0" borderId="0" xfId="0" applyFont="1" applyAlignment="1">
      <alignment horizontal="center"/>
    </xf>
    <xf numFmtId="0" fontId="2" fillId="3" borderId="0" xfId="0" applyFont="1" applyFill="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3" borderId="6" xfId="0" applyFont="1" applyFill="1" applyBorder="1" applyAlignment="1">
      <alignment horizontal="left"/>
    </xf>
    <xf numFmtId="0" fontId="2" fillId="3" borderId="7" xfId="0" applyFont="1" applyFill="1" applyBorder="1" applyAlignment="1">
      <alignment horizontal="left"/>
    </xf>
    <xf numFmtId="0" fontId="2" fillId="3" borderId="8" xfId="0" applyFont="1" applyFill="1" applyBorder="1" applyAlignment="1">
      <alignment horizontal="left"/>
    </xf>
    <xf numFmtId="0" fontId="3" fillId="0" borderId="0" xfId="0" applyFont="1" applyAlignment="1">
      <alignment horizontal="center" vertical="center" wrapText="1"/>
    </xf>
  </cellXfs>
  <cellStyles count="4">
    <cellStyle name="Comma" xfId="3" builtinId="3"/>
    <cellStyle name="Currency" xfId="2" builtinId="4"/>
    <cellStyle name="Normal" xfId="0" builtinId="0"/>
    <cellStyle name="Percent" xfId="1" builtinId="5"/>
  </cellStyles>
  <dxfs count="6">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17</xdr:col>
      <xdr:colOff>49138</xdr:colOff>
      <xdr:row>13</xdr:row>
      <xdr:rowOff>106680</xdr:rowOff>
    </xdr:from>
    <xdr:to>
      <xdr:col>18</xdr:col>
      <xdr:colOff>1306031</xdr:colOff>
      <xdr:row>19</xdr:row>
      <xdr:rowOff>152076</xdr:rowOff>
    </xdr:to>
    <xdr:pic>
      <xdr:nvPicPr>
        <xdr:cNvPr id="2" name="Picture 1">
          <a:extLst>
            <a:ext uri="{FF2B5EF4-FFF2-40B4-BE49-F238E27FC236}">
              <a16:creationId xmlns:a16="http://schemas.microsoft.com/office/drawing/2014/main" id="{DE097136-2DBC-BE14-D1AD-E003D09AEE3A}"/>
            </a:ext>
          </a:extLst>
        </xdr:cNvPr>
        <xdr:cNvPicPr>
          <a:picLocks noChangeAspect="1"/>
        </xdr:cNvPicPr>
      </xdr:nvPicPr>
      <xdr:blipFill>
        <a:blip xmlns:r="http://schemas.openxmlformats.org/officeDocument/2006/relationships" r:embed="rId1"/>
        <a:stretch>
          <a:fillRect/>
        </a:stretch>
      </xdr:blipFill>
      <xdr:spPr>
        <a:xfrm>
          <a:off x="12530698" y="2484120"/>
          <a:ext cx="1861050" cy="1142676"/>
        </a:xfrm>
        <a:prstGeom prst="rect">
          <a:avLst/>
        </a:prstGeom>
      </xdr:spPr>
    </xdr:pic>
    <xdr:clientData/>
  </xdr:twoCellAnchor>
  <xdr:twoCellAnchor editAs="oneCell">
    <xdr:from>
      <xdr:col>13</xdr:col>
      <xdr:colOff>251460</xdr:colOff>
      <xdr:row>21</xdr:row>
      <xdr:rowOff>150320</xdr:rowOff>
    </xdr:from>
    <xdr:to>
      <xdr:col>17</xdr:col>
      <xdr:colOff>555636</xdr:colOff>
      <xdr:row>24</xdr:row>
      <xdr:rowOff>36096</xdr:rowOff>
    </xdr:to>
    <xdr:pic>
      <xdr:nvPicPr>
        <xdr:cNvPr id="3" name="Picture 2">
          <a:extLst>
            <a:ext uri="{FF2B5EF4-FFF2-40B4-BE49-F238E27FC236}">
              <a16:creationId xmlns:a16="http://schemas.microsoft.com/office/drawing/2014/main" id="{AFD28C28-D7AA-EB59-FA32-D813E27F6740}"/>
            </a:ext>
          </a:extLst>
        </xdr:cNvPr>
        <xdr:cNvPicPr>
          <a:picLocks noChangeAspect="1"/>
        </xdr:cNvPicPr>
      </xdr:nvPicPr>
      <xdr:blipFill>
        <a:blip xmlns:r="http://schemas.openxmlformats.org/officeDocument/2006/relationships" r:embed="rId2"/>
        <a:stretch>
          <a:fillRect/>
        </a:stretch>
      </xdr:blipFill>
      <xdr:spPr>
        <a:xfrm>
          <a:off x="10904220" y="3990800"/>
          <a:ext cx="2742576" cy="4344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314325</xdr:colOff>
      <xdr:row>0</xdr:row>
      <xdr:rowOff>9525</xdr:rowOff>
    </xdr:from>
    <xdr:to>
      <xdr:col>32</xdr:col>
      <xdr:colOff>56573</xdr:colOff>
      <xdr:row>14</xdr:row>
      <xdr:rowOff>178729</xdr:rowOff>
    </xdr:to>
    <xdr:pic>
      <xdr:nvPicPr>
        <xdr:cNvPr id="2" name="Picture 1">
          <a:extLst>
            <a:ext uri="{FF2B5EF4-FFF2-40B4-BE49-F238E27FC236}">
              <a16:creationId xmlns:a16="http://schemas.microsoft.com/office/drawing/2014/main" id="{38E44988-C5DD-4B4B-83DF-D14EC2ABA9DB}"/>
            </a:ext>
          </a:extLst>
        </xdr:cNvPr>
        <xdr:cNvPicPr>
          <a:picLocks noChangeAspect="1"/>
        </xdr:cNvPicPr>
      </xdr:nvPicPr>
      <xdr:blipFill>
        <a:blip xmlns:r="http://schemas.openxmlformats.org/officeDocument/2006/relationships" r:embed="rId1"/>
        <a:stretch>
          <a:fillRect/>
        </a:stretch>
      </xdr:blipFill>
      <xdr:spPr>
        <a:xfrm>
          <a:off x="14944725" y="9525"/>
          <a:ext cx="4619048" cy="27028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6CD10-1C71-4352-8A93-5AB1FD8339FD}">
  <dimension ref="A1:BK122"/>
  <sheetViews>
    <sheetView showGridLines="0" zoomScale="70" zoomScaleNormal="70" workbookViewId="0">
      <selection activeCell="I32" sqref="I32"/>
    </sheetView>
  </sheetViews>
  <sheetFormatPr defaultRowHeight="14.4" x14ac:dyDescent="0.3"/>
  <cols>
    <col min="1" max="1" width="22.6640625" bestFit="1" customWidth="1"/>
    <col min="2" max="2" width="40.33203125" bestFit="1" customWidth="1"/>
    <col min="3" max="3" width="18.109375" customWidth="1"/>
    <col min="4" max="4" width="16.109375" bestFit="1" customWidth="1"/>
    <col min="5" max="10" width="16.77734375" bestFit="1" customWidth="1"/>
    <col min="11" max="13" width="14.5546875" bestFit="1" customWidth="1"/>
    <col min="14" max="17" width="16.109375" bestFit="1" customWidth="1"/>
    <col min="18" max="19" width="16.33203125" bestFit="1" customWidth="1"/>
    <col min="20" max="20" width="22.77734375" bestFit="1" customWidth="1"/>
    <col min="21" max="21" width="104.88671875" bestFit="1" customWidth="1"/>
    <col min="22" max="22" width="16.5546875" bestFit="1" customWidth="1"/>
    <col min="23" max="62" width="11.5546875" bestFit="1" customWidth="1"/>
    <col min="63" max="63" width="13.77734375" bestFit="1" customWidth="1"/>
  </cols>
  <sheetData>
    <row r="1" spans="1:63" x14ac:dyDescent="0.3">
      <c r="D1" s="1" t="s">
        <v>41</v>
      </c>
      <c r="E1" s="8">
        <v>0.1</v>
      </c>
    </row>
    <row r="2" spans="1:63" x14ac:dyDescent="0.3">
      <c r="D2" s="1" t="s">
        <v>44</v>
      </c>
      <c r="E2" s="8">
        <v>0.05</v>
      </c>
      <c r="G2" s="25"/>
    </row>
    <row r="3" spans="1:63" x14ac:dyDescent="0.3">
      <c r="A3" s="1" t="s">
        <v>7</v>
      </c>
      <c r="B3" s="8">
        <v>8.8499999999999995E-2</v>
      </c>
      <c r="C3" s="1"/>
      <c r="D3" s="1" t="s">
        <v>119</v>
      </c>
      <c r="E3" s="59">
        <v>19</v>
      </c>
    </row>
    <row r="4" spans="1:63" x14ac:dyDescent="0.3">
      <c r="A4" s="1" t="s">
        <v>8</v>
      </c>
      <c r="B4" s="5">
        <v>0.21</v>
      </c>
      <c r="C4" s="1"/>
      <c r="D4" s="1" t="s">
        <v>120</v>
      </c>
      <c r="E4" s="4">
        <v>1.4</v>
      </c>
    </row>
    <row r="5" spans="1:63" x14ac:dyDescent="0.3">
      <c r="A5" s="1" t="s">
        <v>29</v>
      </c>
      <c r="B5" s="8">
        <v>2.5000000000000001E-2</v>
      </c>
      <c r="C5" s="1"/>
      <c r="D5" s="1" t="s">
        <v>145</v>
      </c>
      <c r="E5" s="4">
        <v>0.55000000000000004</v>
      </c>
    </row>
    <row r="6" spans="1:63" x14ac:dyDescent="0.3">
      <c r="A6" s="1" t="s">
        <v>112</v>
      </c>
      <c r="B6" s="57">
        <v>25</v>
      </c>
      <c r="C6" s="1"/>
    </row>
    <row r="7" spans="1:63" x14ac:dyDescent="0.3">
      <c r="A7" s="1"/>
      <c r="C7" s="1"/>
    </row>
    <row r="8" spans="1:63" x14ac:dyDescent="0.3">
      <c r="A8" s="1"/>
      <c r="B8" s="1"/>
      <c r="D8" s="134" t="s">
        <v>48</v>
      </c>
      <c r="E8" s="134"/>
      <c r="F8" s="134"/>
      <c r="G8" s="134"/>
      <c r="H8" s="134"/>
    </row>
    <row r="9" spans="1:63" ht="15" thickBot="1" x14ac:dyDescent="0.35">
      <c r="B9" s="1" t="s">
        <v>46</v>
      </c>
      <c r="C9" s="7" t="s">
        <v>47</v>
      </c>
      <c r="D9" s="27">
        <v>1</v>
      </c>
      <c r="E9" s="27">
        <v>2</v>
      </c>
      <c r="F9" s="27">
        <v>3</v>
      </c>
      <c r="G9" s="27">
        <v>4</v>
      </c>
      <c r="H9" s="27">
        <v>5</v>
      </c>
      <c r="I9" s="1"/>
      <c r="J9" s="1"/>
      <c r="L9" s="1"/>
      <c r="M9" s="1"/>
      <c r="N9" s="1"/>
      <c r="O9" s="1"/>
      <c r="P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row>
    <row r="10" spans="1:63" x14ac:dyDescent="0.3">
      <c r="A10" s="138" t="s">
        <v>0</v>
      </c>
      <c r="B10" s="10" t="s">
        <v>5</v>
      </c>
      <c r="C10" s="118"/>
      <c r="D10" s="119">
        <f>12*$E$4*D51</f>
        <v>997634.39999999979</v>
      </c>
      <c r="E10" s="119">
        <f t="shared" ref="E10:H10" si="0">12*$E$4*E51</f>
        <v>1354499.9999999998</v>
      </c>
      <c r="F10" s="119">
        <f t="shared" si="0"/>
        <v>1839011.9999999998</v>
      </c>
      <c r="G10" s="119">
        <f t="shared" si="0"/>
        <v>2496849.5999999996</v>
      </c>
      <c r="H10" s="121">
        <f t="shared" si="0"/>
        <v>3390004.7999999993</v>
      </c>
      <c r="I10" s="22"/>
      <c r="J10" s="22"/>
      <c r="K10" s="22"/>
      <c r="L10" s="22"/>
      <c r="M10" s="22"/>
      <c r="N10" s="22"/>
      <c r="O10" s="22"/>
      <c r="P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row>
    <row r="11" spans="1:63" x14ac:dyDescent="0.3">
      <c r="A11" s="139"/>
      <c r="B11" s="10" t="s">
        <v>237</v>
      </c>
      <c r="C11" s="118"/>
      <c r="D11" s="119">
        <f>12*$E$3*$E$5*D51</f>
        <v>7446628.2000000002</v>
      </c>
      <c r="E11" s="119">
        <f t="shared" ref="E11:H11" si="1">12*$E$3*$E$5*E51</f>
        <v>10110375</v>
      </c>
      <c r="F11" s="119">
        <f t="shared" si="1"/>
        <v>13726911</v>
      </c>
      <c r="G11" s="119">
        <f t="shared" si="1"/>
        <v>18637198.800000001</v>
      </c>
      <c r="H11" s="121">
        <f t="shared" si="1"/>
        <v>25303964.400000002</v>
      </c>
      <c r="I11" s="22"/>
      <c r="J11" s="22"/>
      <c r="K11" s="26"/>
      <c r="L11" s="22"/>
      <c r="M11" s="22"/>
      <c r="N11" s="22"/>
      <c r="O11" s="22"/>
      <c r="P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row>
    <row r="12" spans="1:63" hidden="1" x14ac:dyDescent="0.3">
      <c r="A12" s="6"/>
      <c r="B12" s="10"/>
      <c r="C12" s="118"/>
      <c r="D12" s="119"/>
      <c r="E12" s="119"/>
      <c r="F12" s="119"/>
      <c r="G12" s="119"/>
      <c r="H12" s="121"/>
      <c r="I12" s="22"/>
      <c r="J12" s="22"/>
      <c r="K12" s="26"/>
      <c r="L12" s="22"/>
      <c r="M12" s="22"/>
      <c r="N12" s="22"/>
      <c r="O12" s="22"/>
      <c r="P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row>
    <row r="13" spans="1:63" hidden="1" x14ac:dyDescent="0.3">
      <c r="A13" s="6"/>
      <c r="B13" s="10"/>
      <c r="C13" s="118"/>
      <c r="D13" s="119"/>
      <c r="E13" s="119"/>
      <c r="F13" s="119"/>
      <c r="G13" s="119"/>
      <c r="H13" s="121"/>
      <c r="I13" s="22"/>
      <c r="J13" s="22"/>
      <c r="K13" s="26"/>
      <c r="L13" s="22"/>
      <c r="M13" s="22"/>
      <c r="N13" s="22"/>
      <c r="O13" s="22"/>
      <c r="P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row>
    <row r="14" spans="1:63" hidden="1" x14ac:dyDescent="0.3">
      <c r="A14" s="6"/>
      <c r="B14" s="10"/>
      <c r="C14" s="118"/>
      <c r="D14" s="119"/>
      <c r="E14" s="119"/>
      <c r="F14" s="119"/>
      <c r="G14" s="119"/>
      <c r="H14" s="121"/>
      <c r="I14" s="22"/>
      <c r="J14" s="22"/>
      <c r="K14" s="26"/>
      <c r="L14" s="22"/>
      <c r="M14" s="22"/>
      <c r="N14" s="22"/>
      <c r="O14" s="22"/>
      <c r="P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row>
    <row r="15" spans="1:63" hidden="1" x14ac:dyDescent="0.3">
      <c r="A15" s="6"/>
      <c r="B15" s="10"/>
      <c r="C15" s="118"/>
      <c r="D15" s="119"/>
      <c r="E15" s="119"/>
      <c r="F15" s="119"/>
      <c r="G15" s="119"/>
      <c r="H15" s="121"/>
      <c r="I15" s="22"/>
      <c r="J15" s="22"/>
      <c r="K15" s="26"/>
      <c r="L15" s="22"/>
      <c r="M15" s="22"/>
      <c r="N15" s="22"/>
      <c r="O15" s="22"/>
      <c r="P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row>
    <row r="16" spans="1:63" x14ac:dyDescent="0.3">
      <c r="A16" s="6"/>
      <c r="B16" s="11" t="s">
        <v>12</v>
      </c>
      <c r="C16" s="118">
        <f t="shared" ref="C16" si="2">SUM(C10:C11)</f>
        <v>0</v>
      </c>
      <c r="D16" s="118">
        <f>SUM(D10:D15)</f>
        <v>8444262.5999999996</v>
      </c>
      <c r="E16" s="118">
        <f t="shared" ref="E16:H16" si="3">SUM(E10:E15)</f>
        <v>11464875</v>
      </c>
      <c r="F16" s="118">
        <f t="shared" si="3"/>
        <v>15565923</v>
      </c>
      <c r="G16" s="118">
        <f t="shared" si="3"/>
        <v>21134048.399999999</v>
      </c>
      <c r="H16" s="121">
        <f t="shared" si="3"/>
        <v>28693969.200000003</v>
      </c>
      <c r="I16" s="22"/>
      <c r="J16" s="22"/>
      <c r="K16" s="22"/>
      <c r="O16" s="22"/>
      <c r="P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row>
    <row r="17" spans="1:63" x14ac:dyDescent="0.3">
      <c r="A17" s="138" t="s">
        <v>16</v>
      </c>
      <c r="B17" s="10" t="s">
        <v>1</v>
      </c>
      <c r="C17" s="118">
        <v>4200</v>
      </c>
      <c r="D17" s="118">
        <f>C17*12</f>
        <v>50400</v>
      </c>
      <c r="E17" s="118">
        <f t="shared" ref="E17:H17" si="4">D17*(1+$E$2)</f>
        <v>52920</v>
      </c>
      <c r="F17" s="118">
        <f t="shared" si="4"/>
        <v>55566</v>
      </c>
      <c r="G17" s="118">
        <f t="shared" si="4"/>
        <v>58344.3</v>
      </c>
      <c r="H17" s="121">
        <f t="shared" si="4"/>
        <v>61261.515000000007</v>
      </c>
      <c r="I17" s="22"/>
      <c r="J17" s="22"/>
      <c r="K17" s="22"/>
      <c r="O17" s="22"/>
      <c r="P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row>
    <row r="18" spans="1:63" x14ac:dyDescent="0.3">
      <c r="A18" s="140"/>
      <c r="B18" s="10" t="s">
        <v>4</v>
      </c>
      <c r="C18" s="118">
        <v>5000</v>
      </c>
      <c r="D18" s="118">
        <v>61700</v>
      </c>
      <c r="E18" s="118">
        <f t="shared" ref="E18:H18" si="5">D18*(1+$E$2)</f>
        <v>64785</v>
      </c>
      <c r="F18" s="118">
        <f t="shared" si="5"/>
        <v>68024.25</v>
      </c>
      <c r="G18" s="118">
        <f t="shared" si="5"/>
        <v>71425.462500000009</v>
      </c>
      <c r="H18" s="121">
        <f t="shared" si="5"/>
        <v>74996.735625000016</v>
      </c>
      <c r="I18" s="22"/>
      <c r="J18" s="22"/>
      <c r="K18" s="22"/>
      <c r="O18" s="22"/>
      <c r="P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row>
    <row r="19" spans="1:63" x14ac:dyDescent="0.3">
      <c r="A19" s="140"/>
      <c r="B19" s="10" t="s">
        <v>2</v>
      </c>
      <c r="C19" s="118">
        <v>500</v>
      </c>
      <c r="D19" s="118">
        <f>C19*12</f>
        <v>6000</v>
      </c>
      <c r="E19" s="118">
        <f>D19*(1+E48)</f>
        <v>8146.2679058348995</v>
      </c>
      <c r="F19" s="118">
        <f>E19*(1+F48)</f>
        <v>11060.280132272621</v>
      </c>
      <c r="G19" s="118">
        <f>F19*(1+G48)</f>
        <v>15016.667511845972</v>
      </c>
      <c r="H19" s="121">
        <f>G19*(1+H48)</f>
        <v>20388.299434057411</v>
      </c>
      <c r="I19" s="22"/>
      <c r="J19" s="22"/>
      <c r="K19" s="22"/>
      <c r="O19" s="22"/>
      <c r="P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row>
    <row r="20" spans="1:63" hidden="1" x14ac:dyDescent="0.3">
      <c r="A20" s="6"/>
      <c r="B20" s="10"/>
      <c r="C20" s="118"/>
      <c r="D20" s="118"/>
      <c r="E20" s="118"/>
      <c r="F20" s="118"/>
      <c r="G20" s="118"/>
      <c r="H20" s="121"/>
      <c r="I20" s="22"/>
      <c r="J20" s="22"/>
      <c r="K20" s="22"/>
      <c r="O20" s="22"/>
      <c r="P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row>
    <row r="21" spans="1:63" hidden="1" x14ac:dyDescent="0.3">
      <c r="A21" s="6"/>
      <c r="B21" s="10"/>
      <c r="C21" s="118"/>
      <c r="D21" s="118"/>
      <c r="E21" s="118"/>
      <c r="F21" s="118"/>
      <c r="G21" s="118"/>
      <c r="H21" s="121"/>
      <c r="I21" s="22"/>
      <c r="J21" s="22"/>
      <c r="K21" s="22"/>
      <c r="O21" s="22"/>
      <c r="P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row>
    <row r="22" spans="1:63" hidden="1" x14ac:dyDescent="0.3">
      <c r="A22" s="6"/>
      <c r="B22" s="10"/>
      <c r="C22" s="118"/>
      <c r="D22" s="118"/>
      <c r="E22" s="118"/>
      <c r="F22" s="118"/>
      <c r="G22" s="118"/>
      <c r="H22" s="121"/>
      <c r="I22" s="22"/>
      <c r="J22" s="22"/>
      <c r="K22" s="22"/>
      <c r="O22" s="22"/>
      <c r="P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row>
    <row r="23" spans="1:63" hidden="1" x14ac:dyDescent="0.3">
      <c r="A23" s="6"/>
      <c r="B23" s="10"/>
      <c r="C23" s="118"/>
      <c r="D23" s="118"/>
      <c r="E23" s="118"/>
      <c r="F23" s="118"/>
      <c r="G23" s="118"/>
      <c r="H23" s="121"/>
      <c r="I23" s="22"/>
      <c r="J23" s="22"/>
      <c r="K23" s="22"/>
      <c r="O23" s="22"/>
      <c r="P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row>
    <row r="24" spans="1:63" x14ac:dyDescent="0.3">
      <c r="B24" s="11" t="s">
        <v>6</v>
      </c>
      <c r="C24" s="118"/>
      <c r="D24" s="118">
        <f>SUM(D17:D19)</f>
        <v>118100</v>
      </c>
      <c r="E24" s="118">
        <f>SUM(E17:E19)</f>
        <v>125851.2679058349</v>
      </c>
      <c r="F24" s="118">
        <f>SUM(F17:F19)</f>
        <v>134650.53013227263</v>
      </c>
      <c r="G24" s="118">
        <f>SUM(G17:G19)</f>
        <v>144786.43001184598</v>
      </c>
      <c r="H24" s="121">
        <f>SUM(H17:H19)</f>
        <v>156646.55005905742</v>
      </c>
      <c r="I24" s="22"/>
      <c r="J24" s="22"/>
      <c r="K24" s="22"/>
      <c r="L24" s="22"/>
      <c r="M24" s="22"/>
      <c r="N24" s="22"/>
      <c r="O24" s="22"/>
      <c r="P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row>
    <row r="25" spans="1:63" x14ac:dyDescent="0.3">
      <c r="B25" s="11" t="s">
        <v>9</v>
      </c>
      <c r="C25" s="118"/>
      <c r="D25" s="118">
        <f>D16-D24</f>
        <v>8326162.5999999996</v>
      </c>
      <c r="E25" s="118">
        <f>E16-E24</f>
        <v>11339023.732094165</v>
      </c>
      <c r="F25" s="118">
        <f>F16-F24</f>
        <v>15431272.469867727</v>
      </c>
      <c r="G25" s="118">
        <f>G16-G24</f>
        <v>20989261.969988152</v>
      </c>
      <c r="H25" s="121">
        <f>H16-H24</f>
        <v>28537322.649940945</v>
      </c>
      <c r="I25" s="22"/>
      <c r="J25" s="22"/>
      <c r="K25" s="22"/>
      <c r="L25" s="22"/>
      <c r="M25" s="22"/>
      <c r="N25" s="22"/>
      <c r="O25" s="22"/>
      <c r="P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row>
    <row r="26" spans="1:63" x14ac:dyDescent="0.3">
      <c r="A26" s="138" t="s">
        <v>10</v>
      </c>
      <c r="B26" s="10" t="s">
        <v>3</v>
      </c>
      <c r="C26" s="118"/>
      <c r="D26" s="118">
        <v>155000</v>
      </c>
      <c r="E26" s="118">
        <f>D26*(1+$E$1)</f>
        <v>170500</v>
      </c>
      <c r="F26" s="118">
        <f t="shared" ref="F26:H26" si="6">E26*(1+$E$1)</f>
        <v>187550.00000000003</v>
      </c>
      <c r="G26" s="118">
        <f t="shared" si="6"/>
        <v>206305.00000000006</v>
      </c>
      <c r="H26" s="121">
        <f t="shared" si="6"/>
        <v>226935.50000000009</v>
      </c>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row>
    <row r="27" spans="1:63" x14ac:dyDescent="0.3">
      <c r="A27" s="140"/>
      <c r="B27" s="10" t="s">
        <v>23</v>
      </c>
      <c r="C27" s="118">
        <v>31000</v>
      </c>
      <c r="D27" s="118">
        <f>C27*(1+D48)</f>
        <v>42089.050846813647</v>
      </c>
      <c r="E27" s="118">
        <f t="shared" ref="E27:H27" si="7">D27*(1+E48)</f>
        <v>57144.780683408535</v>
      </c>
      <c r="F27" s="118">
        <f t="shared" si="7"/>
        <v>77586.115477870844</v>
      </c>
      <c r="G27" s="118">
        <f t="shared" si="7"/>
        <v>105339.54707596327</v>
      </c>
      <c r="H27" s="121">
        <f t="shared" si="7"/>
        <v>143020.69526001735</v>
      </c>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row>
    <row r="28" spans="1:63" hidden="1" x14ac:dyDescent="0.3">
      <c r="A28" s="140"/>
      <c r="B28" s="12"/>
      <c r="C28" s="118"/>
      <c r="D28" s="118"/>
      <c r="E28" s="118"/>
      <c r="F28" s="118"/>
      <c r="G28" s="118"/>
      <c r="H28" s="121"/>
    </row>
    <row r="29" spans="1:63" hidden="1" x14ac:dyDescent="0.3">
      <c r="A29" s="140"/>
      <c r="B29" s="12"/>
      <c r="C29" s="118"/>
      <c r="D29" s="118"/>
      <c r="E29" s="118"/>
      <c r="F29" s="118"/>
      <c r="G29" s="118"/>
      <c r="H29" s="121"/>
    </row>
    <row r="30" spans="1:63" hidden="1" x14ac:dyDescent="0.3">
      <c r="A30" s="139"/>
      <c r="B30" s="12"/>
      <c r="C30" s="118"/>
      <c r="D30" s="118"/>
      <c r="E30" s="118"/>
      <c r="F30" s="118"/>
      <c r="G30" s="118"/>
      <c r="H30" s="121"/>
    </row>
    <row r="31" spans="1:63" x14ac:dyDescent="0.3">
      <c r="A31" s="6"/>
      <c r="B31" s="11" t="s">
        <v>24</v>
      </c>
      <c r="C31" s="118"/>
      <c r="D31" s="118">
        <f>SUM(D26:D28)</f>
        <v>197089.05084681365</v>
      </c>
      <c r="E31" s="118">
        <f t="shared" ref="E31:H31" si="8">SUM(E26:E28)</f>
        <v>227644.78068340855</v>
      </c>
      <c r="F31" s="118">
        <f t="shared" si="8"/>
        <v>265136.11547787086</v>
      </c>
      <c r="G31" s="118">
        <f t="shared" si="8"/>
        <v>311644.54707596335</v>
      </c>
      <c r="H31" s="121">
        <f t="shared" si="8"/>
        <v>369956.19526001741</v>
      </c>
      <c r="I31" s="22"/>
      <c r="J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row>
    <row r="32" spans="1:63" x14ac:dyDescent="0.3">
      <c r="B32" s="13" t="s">
        <v>11</v>
      </c>
      <c r="C32" s="118"/>
      <c r="D32" s="118">
        <f>D25-D31</f>
        <v>8129073.5491531864</v>
      </c>
      <c r="E32" s="118">
        <f t="shared" ref="E32:H32" si="9">E25-E31</f>
        <v>11111378.951410756</v>
      </c>
      <c r="F32" s="118">
        <f t="shared" si="9"/>
        <v>15166136.354389856</v>
      </c>
      <c r="G32" s="118">
        <f t="shared" si="9"/>
        <v>20677617.422912188</v>
      </c>
      <c r="H32" s="121">
        <f t="shared" si="9"/>
        <v>28167366.454680927</v>
      </c>
      <c r="I32" s="22"/>
      <c r="J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row>
    <row r="33" spans="1:63" ht="14.4" hidden="1" customHeight="1" x14ac:dyDescent="0.3">
      <c r="A33" s="6"/>
      <c r="B33" s="1" t="s">
        <v>25</v>
      </c>
      <c r="C33" s="118"/>
      <c r="D33" s="118"/>
      <c r="E33" s="118"/>
      <c r="F33" s="118"/>
      <c r="G33" s="118"/>
      <c r="H33" s="121"/>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row>
    <row r="34" spans="1:63" ht="14.4" hidden="1" customHeight="1" x14ac:dyDescent="0.3">
      <c r="A34" s="6"/>
      <c r="B34" s="13" t="s">
        <v>26</v>
      </c>
      <c r="C34" s="118"/>
      <c r="D34" s="118">
        <f t="shared" ref="D34:H34" si="10">D32-D33</f>
        <v>8129073.5491531864</v>
      </c>
      <c r="E34" s="118">
        <f t="shared" si="10"/>
        <v>11111378.951410756</v>
      </c>
      <c r="F34" s="118">
        <f t="shared" si="10"/>
        <v>15166136.354389856</v>
      </c>
      <c r="G34" s="118">
        <f t="shared" si="10"/>
        <v>20677617.422912188</v>
      </c>
      <c r="H34" s="121">
        <f t="shared" si="10"/>
        <v>28167366.454680927</v>
      </c>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row>
    <row r="35" spans="1:63" ht="14.4" hidden="1" customHeight="1" x14ac:dyDescent="0.3">
      <c r="A35" s="6"/>
      <c r="B35" s="10" t="s">
        <v>13</v>
      </c>
      <c r="C35" s="118"/>
      <c r="D35" s="118"/>
      <c r="E35" s="118"/>
      <c r="F35" s="118"/>
      <c r="G35" s="118"/>
      <c r="H35" s="121"/>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row>
    <row r="36" spans="1:63" ht="14.4" hidden="1" customHeight="1" x14ac:dyDescent="0.3">
      <c r="A36" s="6"/>
      <c r="B36" s="13" t="s">
        <v>27</v>
      </c>
      <c r="C36" s="118"/>
      <c r="D36" s="118">
        <f t="shared" ref="D36:H36" si="11">D34-D35</f>
        <v>8129073.5491531864</v>
      </c>
      <c r="E36" s="118">
        <f t="shared" si="11"/>
        <v>11111378.951410756</v>
      </c>
      <c r="F36" s="118">
        <f t="shared" si="11"/>
        <v>15166136.354389856</v>
      </c>
      <c r="G36" s="118">
        <f t="shared" si="11"/>
        <v>20677617.422912188</v>
      </c>
      <c r="H36" s="121">
        <f t="shared" si="11"/>
        <v>28167366.454680927</v>
      </c>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row>
    <row r="37" spans="1:63" x14ac:dyDescent="0.3">
      <c r="A37" s="7"/>
      <c r="B37" s="10" t="s">
        <v>14</v>
      </c>
      <c r="C37" s="118"/>
      <c r="D37" s="118">
        <f>MAX(0,$B$4*D36)</f>
        <v>1707105.445322169</v>
      </c>
      <c r="E37" s="118">
        <f t="shared" ref="E37:G37" si="12">MAX(0,$B$4*E36)</f>
        <v>2333389.5797962584</v>
      </c>
      <c r="F37" s="118">
        <f t="shared" si="12"/>
        <v>3184888.6344218696</v>
      </c>
      <c r="G37" s="118">
        <f t="shared" si="12"/>
        <v>4342299.658811559</v>
      </c>
      <c r="H37" s="121">
        <f>MAX(0,$B$4*H36)</f>
        <v>5915146.9554829942</v>
      </c>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row>
    <row r="38" spans="1:63" ht="15" customHeight="1" x14ac:dyDescent="0.3">
      <c r="B38" s="14" t="s">
        <v>31</v>
      </c>
      <c r="C38" s="118"/>
      <c r="D38" s="118">
        <f>D36-D37</f>
        <v>6421968.1038310174</v>
      </c>
      <c r="E38" s="118">
        <f t="shared" ref="E38:H38" si="13">E36-E37</f>
        <v>8777989.3716144972</v>
      </c>
      <c r="F38" s="118">
        <f t="shared" si="13"/>
        <v>11981247.719967986</v>
      </c>
      <c r="G38" s="118">
        <f t="shared" si="13"/>
        <v>16335317.76410063</v>
      </c>
      <c r="H38" s="121">
        <f t="shared" si="13"/>
        <v>22252219.499197934</v>
      </c>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row>
    <row r="39" spans="1:63" ht="15" customHeight="1" x14ac:dyDescent="0.3">
      <c r="B39" s="14" t="s">
        <v>28</v>
      </c>
      <c r="C39" s="118"/>
      <c r="D39" s="118"/>
      <c r="E39" s="118"/>
      <c r="F39" s="118"/>
      <c r="G39" s="118"/>
      <c r="H39" s="121">
        <f>H38*(1+B5)/(B3-B5)</f>
        <v>359189369.86894304</v>
      </c>
      <c r="I39" s="22"/>
      <c r="J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row>
    <row r="40" spans="1:63" ht="15" customHeight="1" x14ac:dyDescent="0.3">
      <c r="B40" s="14" t="s">
        <v>45</v>
      </c>
      <c r="C40" s="118"/>
      <c r="D40" s="118">
        <f>PV($B$3,D9,,-D38,0)</f>
        <v>5899832.8928167364</v>
      </c>
      <c r="E40" s="118">
        <f>PV($B$3,E9,,-E38,0)</f>
        <v>7408634.7426941628</v>
      </c>
      <c r="F40" s="118">
        <f>PV($B$3,F9,,-F38,0)</f>
        <v>9290022.1065906174</v>
      </c>
      <c r="G40" s="118">
        <f>PV($B$3,G9,,-G38,0)</f>
        <v>11636271.708670439</v>
      </c>
      <c r="H40" s="121">
        <f>-PV($B$3,H9,,H38+H39,0)</f>
        <v>249623734.65105265</v>
      </c>
      <c r="I40" s="22"/>
      <c r="J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row>
    <row r="42" spans="1:63" x14ac:dyDescent="0.3">
      <c r="A42" s="2" t="s">
        <v>30</v>
      </c>
      <c r="B42" s="9">
        <f>SUM(D40:H40)</f>
        <v>283858496.10182464</v>
      </c>
      <c r="E42" s="60"/>
    </row>
    <row r="46" spans="1:63" x14ac:dyDescent="0.3">
      <c r="B46" s="134" t="s">
        <v>15</v>
      </c>
      <c r="C46" s="134"/>
      <c r="D46" s="134"/>
      <c r="E46" s="134"/>
      <c r="F46" s="134"/>
      <c r="G46" s="134"/>
      <c r="H46" s="134"/>
      <c r="I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row>
    <row r="47" spans="1:63" x14ac:dyDescent="0.3">
      <c r="B47" s="1"/>
      <c r="C47" s="1"/>
      <c r="D47" s="7">
        <f>D9</f>
        <v>1</v>
      </c>
      <c r="E47" s="7">
        <f>E9</f>
        <v>2</v>
      </c>
      <c r="F47" s="7">
        <f>F9</f>
        <v>3</v>
      </c>
      <c r="G47" s="7">
        <f>G9</f>
        <v>4</v>
      </c>
      <c r="H47" s="7">
        <f>H9</f>
        <v>5</v>
      </c>
      <c r="I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row>
    <row r="48" spans="1:63" x14ac:dyDescent="0.3">
      <c r="B48" t="s">
        <v>178</v>
      </c>
      <c r="C48" s="3"/>
      <c r="D48" s="130">
        <v>0.35771131763914998</v>
      </c>
      <c r="E48" s="24">
        <f>D48</f>
        <v>0.35771131763914998</v>
      </c>
      <c r="F48" s="24">
        <f t="shared" ref="F48:H48" si="14">E48</f>
        <v>0.35771131763914998</v>
      </c>
      <c r="G48" s="24">
        <f t="shared" si="14"/>
        <v>0.35771131763914998</v>
      </c>
      <c r="H48" s="24">
        <f t="shared" si="14"/>
        <v>0.35771131763914998</v>
      </c>
      <c r="I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row>
    <row r="49" spans="2:63" x14ac:dyDescent="0.3">
      <c r="B49" t="s">
        <v>179</v>
      </c>
      <c r="D49" s="24">
        <f>D48</f>
        <v>0.35771131763914998</v>
      </c>
      <c r="E49" s="24">
        <f t="shared" ref="E49:H49" si="15">E48</f>
        <v>0.35771131763914998</v>
      </c>
      <c r="F49" s="24">
        <f t="shared" si="15"/>
        <v>0.35771131763914998</v>
      </c>
      <c r="G49" s="24">
        <f t="shared" si="15"/>
        <v>0.35771131763914998</v>
      </c>
      <c r="H49" s="24">
        <f t="shared" si="15"/>
        <v>0.35771131763914998</v>
      </c>
      <c r="I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row>
    <row r="50" spans="2:63" x14ac:dyDescent="0.3">
      <c r="D50" s="37"/>
      <c r="E50" s="37"/>
      <c r="F50" s="37"/>
      <c r="G50" s="37"/>
      <c r="H50" s="37"/>
    </row>
    <row r="51" spans="2:63" x14ac:dyDescent="0.3">
      <c r="B51" t="s">
        <v>118</v>
      </c>
      <c r="D51" s="62">
        <f>SUM('Company Growth'!D14)</f>
        <v>59383</v>
      </c>
      <c r="E51" s="62">
        <f>ROUND(D51*(1+E48),0)</f>
        <v>80625</v>
      </c>
      <c r="F51" s="62">
        <f t="shared" ref="F51:G51" si="16">ROUND(E51*(1+F48),0)</f>
        <v>109465</v>
      </c>
      <c r="G51" s="62">
        <f t="shared" si="16"/>
        <v>148622</v>
      </c>
      <c r="H51" s="62">
        <f>ROUND(G51*(1+H48),0)</f>
        <v>201786</v>
      </c>
    </row>
    <row r="52" spans="2:63" x14ac:dyDescent="0.3">
      <c r="B52" t="s">
        <v>91</v>
      </c>
      <c r="D52" s="61">
        <f>D25/D16</f>
        <v>0.98601417251045698</v>
      </c>
      <c r="E52" s="61">
        <f>E25/E16</f>
        <v>0.9890228835546977</v>
      </c>
      <c r="F52" s="61">
        <f>F25/F16</f>
        <v>0.99134965975790368</v>
      </c>
      <c r="G52" s="61">
        <f>G25/G16</f>
        <v>0.99314913890270795</v>
      </c>
      <c r="H52" s="61">
        <f>H25/H16</f>
        <v>0.99454078489569653</v>
      </c>
    </row>
    <row r="53" spans="2:63" x14ac:dyDescent="0.3">
      <c r="O53" s="23"/>
      <c r="P53" s="23"/>
      <c r="Q53" s="23"/>
      <c r="R53" s="23"/>
      <c r="S53" s="23"/>
      <c r="T53" s="23"/>
      <c r="U53" s="23"/>
      <c r="V53" s="23"/>
    </row>
    <row r="54" spans="2:63" ht="15" thickBot="1" x14ac:dyDescent="0.35">
      <c r="B54" s="21" t="s">
        <v>34</v>
      </c>
      <c r="C54" s="21"/>
      <c r="O54" s="23"/>
      <c r="P54" s="23"/>
      <c r="Q54" s="23"/>
      <c r="R54" s="23"/>
      <c r="S54" s="23"/>
      <c r="T54" s="23"/>
      <c r="U54" s="23"/>
      <c r="V54" s="23"/>
    </row>
    <row r="55" spans="2:63" ht="15" thickBot="1" x14ac:dyDescent="0.35">
      <c r="D55" s="135" t="s">
        <v>114</v>
      </c>
      <c r="E55" s="136"/>
      <c r="F55" s="136"/>
      <c r="G55" s="136"/>
      <c r="H55" s="137"/>
      <c r="I55" s="1"/>
      <c r="J55" s="1"/>
      <c r="N55" s="23"/>
      <c r="O55" s="23"/>
      <c r="P55" s="23"/>
      <c r="Q55" s="23"/>
      <c r="R55" s="23"/>
      <c r="S55" s="23"/>
      <c r="T55" s="23"/>
      <c r="U55" s="23"/>
      <c r="V55" s="23"/>
    </row>
    <row r="56" spans="2:63" ht="15" thickBot="1" x14ac:dyDescent="0.35">
      <c r="C56" s="9">
        <f>B42</f>
        <v>283858496.10182464</v>
      </c>
      <c r="D56" s="20">
        <v>0</v>
      </c>
      <c r="E56" s="20">
        <v>2.5000000000000001E-2</v>
      </c>
      <c r="F56" s="20">
        <v>0.05</v>
      </c>
      <c r="G56" s="20">
        <v>7.4999999999999997E-2</v>
      </c>
      <c r="H56" s="20">
        <v>0.1</v>
      </c>
      <c r="I56" s="24"/>
      <c r="J56" s="24"/>
      <c r="N56" s="23"/>
      <c r="O56" s="23"/>
      <c r="P56" s="23"/>
      <c r="Q56" s="23"/>
      <c r="R56" s="23"/>
      <c r="S56" s="23"/>
      <c r="T56" s="23"/>
      <c r="U56" s="23"/>
      <c r="V56" s="23"/>
    </row>
    <row r="57" spans="2:63" ht="15" thickTop="1" x14ac:dyDescent="0.3">
      <c r="B57" s="141" t="s">
        <v>32</v>
      </c>
      <c r="C57" s="3">
        <v>0.01</v>
      </c>
      <c r="D57" s="15">
        <f t="dataTable" ref="D57:H86" dt2D="1" dtr="1" r1="B5" r2="B3"/>
        <v>2180684768.8376589</v>
      </c>
      <c r="E57" s="15">
        <v>-1383306157.8034196</v>
      </c>
      <c r="F57" s="15">
        <v>-492308426.14315027</v>
      </c>
      <c r="G57" s="15">
        <v>-286693564.99078023</v>
      </c>
      <c r="H57" s="15">
        <v>-195309182.25639361</v>
      </c>
      <c r="I57" s="23"/>
      <c r="J57" s="23"/>
      <c r="N57" s="23"/>
      <c r="O57" s="23"/>
      <c r="P57" s="23"/>
      <c r="Q57" s="23"/>
      <c r="R57" s="23"/>
      <c r="S57" s="23"/>
      <c r="T57" s="23"/>
      <c r="U57" s="23"/>
      <c r="V57" s="23"/>
    </row>
    <row r="58" spans="2:63" x14ac:dyDescent="0.3">
      <c r="B58" s="142"/>
      <c r="C58" s="3">
        <v>0.02</v>
      </c>
      <c r="D58" s="15">
        <v>1068995242.5915751</v>
      </c>
      <c r="E58" s="15">
        <v>-4070407558.226429</v>
      </c>
      <c r="F58" s="15">
        <v>-644139024.34775984</v>
      </c>
      <c r="G58" s="15">
        <v>-332660066.7224263</v>
      </c>
      <c r="H58" s="15">
        <v>-215855457.61292619</v>
      </c>
      <c r="I58" s="23"/>
      <c r="J58" s="23"/>
      <c r="K58" s="23"/>
      <c r="L58" s="23"/>
      <c r="M58" s="23"/>
      <c r="N58" s="23"/>
      <c r="O58" s="23"/>
      <c r="P58" s="23"/>
      <c r="Q58" s="23"/>
      <c r="R58" s="23"/>
      <c r="S58" s="23"/>
      <c r="T58" s="23"/>
      <c r="U58" s="23"/>
      <c r="V58" s="23"/>
    </row>
    <row r="59" spans="2:63" x14ac:dyDescent="0.3">
      <c r="B59" s="142"/>
      <c r="C59" s="3">
        <v>0.03</v>
      </c>
      <c r="D59" s="15">
        <v>699014234.9516331</v>
      </c>
      <c r="E59" s="15">
        <v>3994149037.0206861</v>
      </c>
      <c r="F59" s="15">
        <v>-948553166.08289218</v>
      </c>
      <c r="G59" s="15">
        <v>-399364032.40471709</v>
      </c>
      <c r="H59" s="15">
        <v>-242452851.35380989</v>
      </c>
      <c r="I59" s="23"/>
      <c r="J59" s="23"/>
      <c r="K59" s="23"/>
      <c r="L59" s="23"/>
      <c r="M59" s="23"/>
      <c r="N59" s="23"/>
      <c r="O59" s="23"/>
      <c r="P59" s="23"/>
      <c r="Q59" s="23"/>
      <c r="R59" s="23"/>
      <c r="S59" s="23"/>
      <c r="T59" s="23"/>
      <c r="U59" s="23"/>
      <c r="V59" s="23"/>
    </row>
    <row r="60" spans="2:63" x14ac:dyDescent="0.3">
      <c r="B60" s="142"/>
      <c r="C60" s="3">
        <v>0.04</v>
      </c>
      <c r="D60" s="15">
        <v>514437759.81457233</v>
      </c>
      <c r="E60" s="15">
        <v>1306991530.1323965</v>
      </c>
      <c r="F60" s="15">
        <v>-1863223551.1388993</v>
      </c>
      <c r="G60" s="15">
        <v>-504559944.87977278</v>
      </c>
      <c r="H60" s="15">
        <v>-278116010.50325155</v>
      </c>
      <c r="I60" s="23"/>
      <c r="J60" s="23"/>
      <c r="K60" s="23"/>
      <c r="L60" s="23"/>
      <c r="M60" s="23"/>
      <c r="N60" s="23"/>
      <c r="O60" s="23"/>
      <c r="P60" s="23"/>
      <c r="Q60" s="23"/>
      <c r="R60" s="23"/>
      <c r="S60" s="23"/>
      <c r="T60" s="23"/>
      <c r="U60" s="23"/>
      <c r="V60" s="23"/>
    </row>
    <row r="61" spans="2:63" x14ac:dyDescent="0.3">
      <c r="B61" s="142"/>
      <c r="C61" s="3">
        <v>0.05</v>
      </c>
      <c r="D61" s="15">
        <v>404006134.86144394</v>
      </c>
      <c r="E61" s="15">
        <v>770145255.89349008</v>
      </c>
      <c r="F61" s="15" t="e">
        <v>#DIV/0!</v>
      </c>
      <c r="G61" s="15">
        <v>-694411228.23469484</v>
      </c>
      <c r="H61" s="15">
        <v>-328272107.20264846</v>
      </c>
      <c r="I61" s="23"/>
      <c r="J61" s="23"/>
      <c r="K61" s="23"/>
      <c r="L61" s="23"/>
      <c r="M61" s="23"/>
      <c r="N61" s="23"/>
      <c r="O61" s="23"/>
      <c r="P61" s="23"/>
      <c r="Q61" s="23"/>
      <c r="R61" s="23"/>
      <c r="S61" s="23"/>
      <c r="T61" s="23"/>
      <c r="U61" s="23"/>
      <c r="V61" s="23"/>
    </row>
    <row r="62" spans="2:63" x14ac:dyDescent="0.3">
      <c r="B62" s="142"/>
      <c r="C62" s="3">
        <v>0.06</v>
      </c>
      <c r="D62" s="15">
        <v>330633662.37986416</v>
      </c>
      <c r="E62" s="15">
        <v>540465115.45481896</v>
      </c>
      <c r="F62" s="15">
        <v>1799453833.9045482</v>
      </c>
      <c r="G62" s="15">
        <v>-1138186509.1448188</v>
      </c>
      <c r="H62" s="15">
        <v>-403776423.38247728</v>
      </c>
      <c r="I62" s="23"/>
      <c r="J62" s="23"/>
      <c r="K62" s="23"/>
      <c r="L62" s="23"/>
      <c r="M62" s="23"/>
      <c r="N62" s="23"/>
      <c r="O62" s="23"/>
      <c r="P62" s="23"/>
      <c r="Q62" s="23"/>
      <c r="R62" s="23"/>
      <c r="S62" s="23"/>
      <c r="T62" s="23"/>
      <c r="U62" s="23"/>
      <c r="V62" s="23"/>
    </row>
    <row r="63" spans="2:63" x14ac:dyDescent="0.3">
      <c r="B63" s="142"/>
      <c r="C63" s="3">
        <v>7.0000000000000007E-2</v>
      </c>
      <c r="D63" s="15">
        <v>278427159.6282866</v>
      </c>
      <c r="E63" s="15">
        <v>413158204.97248244</v>
      </c>
      <c r="F63" s="15">
        <v>884716863.67716801</v>
      </c>
      <c r="G63" s="15">
        <v>-3359311064.6650081</v>
      </c>
      <c r="H63" s="15">
        <v>-529959112.43688869</v>
      </c>
      <c r="I63" s="23"/>
      <c r="J63" s="23"/>
      <c r="K63" s="23"/>
      <c r="L63" s="23"/>
      <c r="M63" s="23"/>
      <c r="N63" s="23"/>
      <c r="O63" s="23"/>
      <c r="P63" s="23"/>
      <c r="Q63" s="23"/>
      <c r="R63" s="23"/>
      <c r="S63" s="23"/>
      <c r="T63" s="23"/>
      <c r="U63" s="23"/>
      <c r="V63" s="23"/>
    </row>
    <row r="64" spans="2:63" x14ac:dyDescent="0.3">
      <c r="B64" s="142"/>
      <c r="C64" s="3">
        <v>0.08</v>
      </c>
      <c r="D64" s="15">
        <v>239440595.04070103</v>
      </c>
      <c r="E64" s="15">
        <v>332372672.44348413</v>
      </c>
      <c r="F64" s="15">
        <v>580191545.5175724</v>
      </c>
      <c r="G64" s="15">
        <v>3306199149.3325396</v>
      </c>
      <c r="H64" s="15">
        <v>-782812256.38991284</v>
      </c>
      <c r="I64" s="23"/>
      <c r="J64" s="23"/>
      <c r="K64" s="23"/>
      <c r="L64" s="23"/>
      <c r="M64" s="23"/>
      <c r="N64" s="23"/>
      <c r="O64" s="23"/>
      <c r="P64" s="23"/>
      <c r="Q64" s="23"/>
      <c r="R64" s="23"/>
      <c r="S64" s="23"/>
      <c r="T64" s="23"/>
      <c r="U64" s="23"/>
      <c r="V64" s="23"/>
    </row>
    <row r="65" spans="2:22" x14ac:dyDescent="0.3">
      <c r="B65" s="142"/>
      <c r="C65" s="3">
        <v>0.09</v>
      </c>
      <c r="D65" s="15">
        <v>209259969.89096403</v>
      </c>
      <c r="E65" s="15">
        <v>276627633.54646993</v>
      </c>
      <c r="F65" s="15">
        <v>428204876.77135813</v>
      </c>
      <c r="G65" s="15">
        <v>1085039597.4125402</v>
      </c>
      <c r="H65" s="15">
        <v>-1542299285.1521876</v>
      </c>
      <c r="I65" s="23"/>
      <c r="J65" s="23"/>
      <c r="K65" s="23"/>
      <c r="L65" s="23"/>
      <c r="M65" s="23"/>
      <c r="N65" s="23"/>
      <c r="O65" s="23"/>
      <c r="P65" s="23"/>
      <c r="Q65" s="23"/>
      <c r="R65" s="23"/>
      <c r="S65" s="23"/>
      <c r="T65" s="23"/>
      <c r="U65" s="23"/>
      <c r="V65" s="23"/>
    </row>
    <row r="66" spans="2:22" x14ac:dyDescent="0.3">
      <c r="B66" s="142"/>
      <c r="C66" s="3">
        <v>0.1</v>
      </c>
      <c r="D66" s="15">
        <v>185237273.36513713</v>
      </c>
      <c r="E66" s="15">
        <v>235899157.79743436</v>
      </c>
      <c r="F66" s="15">
        <v>337222926.66202897</v>
      </c>
      <c r="G66" s="15">
        <v>641194233.25581229</v>
      </c>
      <c r="H66" s="15" t="e">
        <v>#DIV/0!</v>
      </c>
      <c r="I66" s="23"/>
      <c r="J66" s="23"/>
      <c r="K66" s="23"/>
      <c r="L66" s="23"/>
      <c r="M66" s="23"/>
      <c r="N66" s="23"/>
      <c r="O66" s="23"/>
      <c r="P66" s="23"/>
      <c r="Q66" s="23"/>
      <c r="R66" s="23"/>
      <c r="S66" s="23"/>
      <c r="T66" s="23"/>
      <c r="U66" s="23"/>
      <c r="V66" s="23"/>
    </row>
    <row r="67" spans="2:22" x14ac:dyDescent="0.3">
      <c r="B67" s="142"/>
      <c r="C67" s="3">
        <v>0.11</v>
      </c>
      <c r="D67" s="15">
        <v>165687736.86591047</v>
      </c>
      <c r="E67" s="15">
        <v>204880855.12151214</v>
      </c>
      <c r="F67" s="15">
        <v>276734905.25678182</v>
      </c>
      <c r="G67" s="15">
        <v>451237598.44243675</v>
      </c>
      <c r="H67" s="15">
        <v>1498253757.5563676</v>
      </c>
      <c r="I67" s="23"/>
      <c r="J67" s="23"/>
      <c r="K67" s="23"/>
      <c r="L67" s="23"/>
      <c r="M67" s="23"/>
      <c r="N67" s="23"/>
      <c r="O67" s="23"/>
      <c r="P67" s="23"/>
      <c r="Q67" s="23"/>
      <c r="R67" s="23"/>
      <c r="S67" s="23"/>
      <c r="T67" s="23"/>
      <c r="U67" s="23"/>
      <c r="V67" s="23"/>
    </row>
    <row r="68" spans="2:22" x14ac:dyDescent="0.3">
      <c r="B68" s="142"/>
      <c r="C68" s="3">
        <v>0.12</v>
      </c>
      <c r="D68" s="15">
        <v>149488462.84021136</v>
      </c>
      <c r="E68" s="15">
        <v>180500936.0340113</v>
      </c>
      <c r="F68" s="15">
        <v>233665175.79481131</v>
      </c>
      <c r="G68" s="15">
        <v>345900793.0676111</v>
      </c>
      <c r="H68" s="15">
        <v>738725453.52241111</v>
      </c>
      <c r="I68" s="23"/>
      <c r="J68" s="23"/>
      <c r="K68" s="23"/>
      <c r="L68" s="23"/>
      <c r="M68" s="23"/>
      <c r="N68" s="23"/>
      <c r="O68" s="23"/>
      <c r="P68" s="23"/>
      <c r="Q68" s="23"/>
      <c r="R68" s="23"/>
      <c r="S68" s="23"/>
      <c r="T68" s="23"/>
      <c r="U68" s="23"/>
      <c r="V68" s="23"/>
    </row>
    <row r="69" spans="2:22" x14ac:dyDescent="0.3">
      <c r="B69" s="142"/>
      <c r="C69" s="3">
        <v>0.13</v>
      </c>
      <c r="D69" s="15">
        <v>135862303.25555044</v>
      </c>
      <c r="E69" s="15">
        <v>160858096.20663154</v>
      </c>
      <c r="F69" s="15">
        <v>201476259.75213847</v>
      </c>
      <c r="G69" s="15">
        <v>279020026.52083325</v>
      </c>
      <c r="H69" s="15">
        <v>485803404.57068634</v>
      </c>
      <c r="I69" s="23"/>
      <c r="J69" s="23"/>
      <c r="K69" s="23"/>
      <c r="L69" s="23"/>
      <c r="M69" s="23"/>
      <c r="N69" s="23"/>
      <c r="O69" s="23"/>
      <c r="P69" s="23"/>
      <c r="Q69" s="23"/>
      <c r="R69" s="23"/>
      <c r="S69" s="23"/>
      <c r="T69" s="23"/>
      <c r="U69" s="23"/>
      <c r="V69" s="23"/>
    </row>
    <row r="70" spans="2:22" x14ac:dyDescent="0.3">
      <c r="B70" s="142"/>
      <c r="C70" s="3">
        <v>0.14000000000000001</v>
      </c>
      <c r="D70" s="15">
        <v>124254362.79024331</v>
      </c>
      <c r="E70" s="15">
        <v>144712593.05916792</v>
      </c>
      <c r="F70" s="15">
        <v>176536506.81082845</v>
      </c>
      <c r="G70" s="15">
        <v>232840354.21761236</v>
      </c>
      <c r="H70" s="15">
        <v>359524010.88287628</v>
      </c>
      <c r="I70" s="23"/>
      <c r="J70" s="23"/>
      <c r="K70" s="23"/>
      <c r="L70" s="23"/>
      <c r="M70" s="23"/>
      <c r="N70" s="23"/>
      <c r="O70" s="23"/>
      <c r="P70" s="23"/>
      <c r="Q70" s="23"/>
      <c r="R70" s="23"/>
      <c r="S70" s="23"/>
      <c r="T70" s="23"/>
      <c r="U70" s="23"/>
      <c r="V70" s="23"/>
    </row>
    <row r="71" spans="2:22" x14ac:dyDescent="0.3">
      <c r="B71" s="142"/>
      <c r="C71" s="3">
        <v>0.15</v>
      </c>
      <c r="D71" s="15">
        <v>114257901.77741843</v>
      </c>
      <c r="E71" s="15">
        <v>131221606.73783843</v>
      </c>
      <c r="F71" s="15">
        <v>156667164.17846844</v>
      </c>
      <c r="G71" s="15">
        <v>199076426.57951844</v>
      </c>
      <c r="H71" s="15">
        <v>283894951.3816185</v>
      </c>
      <c r="I71" s="23"/>
      <c r="J71" s="23"/>
      <c r="K71" s="23"/>
      <c r="L71" s="23"/>
      <c r="M71" s="23"/>
      <c r="N71" s="23"/>
      <c r="O71" s="23"/>
      <c r="P71" s="23"/>
      <c r="Q71" s="23"/>
      <c r="R71" s="23"/>
      <c r="S71" s="23"/>
      <c r="T71" s="23"/>
      <c r="U71" s="23"/>
      <c r="V71" s="23"/>
    </row>
    <row r="72" spans="2:22" x14ac:dyDescent="0.3">
      <c r="B72" s="142"/>
      <c r="C72" s="3">
        <v>0.16</v>
      </c>
      <c r="D72" s="15">
        <v>105568026.43078104</v>
      </c>
      <c r="E72" s="15">
        <v>119792219.4139863</v>
      </c>
      <c r="F72" s="15">
        <v>140481954.66228485</v>
      </c>
      <c r="G72" s="15">
        <v>173342122.40958253</v>
      </c>
      <c r="H72" s="15">
        <v>233585763.27962831</v>
      </c>
      <c r="I72" s="23"/>
      <c r="J72" s="23"/>
      <c r="K72" s="23"/>
      <c r="L72" s="23"/>
      <c r="M72" s="23"/>
      <c r="N72" s="23"/>
      <c r="O72" s="23"/>
      <c r="P72" s="23"/>
      <c r="Q72" s="23"/>
      <c r="R72" s="23"/>
      <c r="S72" s="23"/>
      <c r="T72" s="23"/>
      <c r="U72" s="23"/>
      <c r="V72" s="23"/>
    </row>
    <row r="73" spans="2:22" x14ac:dyDescent="0.3">
      <c r="B73" s="142"/>
      <c r="C73" s="3">
        <v>0.17</v>
      </c>
      <c r="D73" s="15">
        <v>97951724.461985528</v>
      </c>
      <c r="E73" s="15">
        <v>109995231.57054719</v>
      </c>
      <c r="F73" s="15">
        <v>127056866.6410096</v>
      </c>
      <c r="G73" s="15">
        <v>153098309.64329427</v>
      </c>
      <c r="H73" s="15">
        <v>197740783.36149666</v>
      </c>
      <c r="I73" s="23"/>
      <c r="J73" s="23"/>
      <c r="K73" s="23"/>
      <c r="L73" s="23"/>
      <c r="M73" s="23"/>
      <c r="N73" s="23"/>
      <c r="O73" s="23"/>
      <c r="P73" s="23"/>
      <c r="Q73" s="23"/>
      <c r="R73" s="23"/>
      <c r="S73" s="23"/>
      <c r="T73" s="23"/>
      <c r="U73" s="23"/>
      <c r="V73" s="23"/>
    </row>
    <row r="74" spans="2:22" x14ac:dyDescent="0.3">
      <c r="B74" s="142"/>
      <c r="C74" s="3">
        <v>0.18</v>
      </c>
      <c r="D74" s="15">
        <v>91227889.489759445</v>
      </c>
      <c r="E74" s="15">
        <v>101512340.44417287</v>
      </c>
      <c r="F74" s="15">
        <v>115752349.4579761</v>
      </c>
      <c r="G74" s="15">
        <v>136773315.14501894</v>
      </c>
      <c r="H74" s="15">
        <v>170932384.38646361</v>
      </c>
      <c r="I74" s="23"/>
      <c r="J74" s="23"/>
      <c r="K74" s="23"/>
      <c r="L74" s="23"/>
      <c r="M74" s="23"/>
      <c r="N74" s="23"/>
      <c r="O74" s="23"/>
      <c r="P74" s="23"/>
      <c r="Q74" s="23"/>
      <c r="R74" s="23"/>
      <c r="S74" s="23"/>
      <c r="T74" s="23"/>
      <c r="U74" s="23"/>
      <c r="V74" s="23"/>
    </row>
    <row r="75" spans="2:22" x14ac:dyDescent="0.3">
      <c r="B75" s="142"/>
      <c r="C75" s="3">
        <v>0.19</v>
      </c>
      <c r="D75" s="15">
        <v>85253654.108977571</v>
      </c>
      <c r="E75" s="15">
        <v>94102526.926935688</v>
      </c>
      <c r="F75" s="15">
        <v>106111711.46559317</v>
      </c>
      <c r="G75" s="15">
        <v>123342280.58627564</v>
      </c>
      <c r="H75" s="15">
        <v>150145388.1073373</v>
      </c>
      <c r="I75" s="23"/>
      <c r="J75" s="23"/>
      <c r="K75" s="23"/>
      <c r="L75" s="23"/>
      <c r="M75" s="23"/>
      <c r="N75" s="23"/>
      <c r="O75" s="23"/>
      <c r="P75" s="23"/>
      <c r="Q75" s="23"/>
      <c r="R75" s="23"/>
      <c r="S75" s="23"/>
      <c r="T75" s="23"/>
      <c r="U75" s="23"/>
      <c r="V75" s="23"/>
    </row>
    <row r="76" spans="2:22" x14ac:dyDescent="0.3">
      <c r="B76" s="142"/>
      <c r="C76" s="3">
        <v>0.2</v>
      </c>
      <c r="D76" s="15">
        <v>79914823.54484798</v>
      </c>
      <c r="E76" s="15">
        <v>87579967.497117981</v>
      </c>
      <c r="F76" s="15">
        <v>97800159.433478013</v>
      </c>
      <c r="G76" s="15">
        <v>112108428.14438201</v>
      </c>
      <c r="H76" s="15">
        <v>133570831.21073806</v>
      </c>
      <c r="I76" s="23"/>
      <c r="J76" s="23"/>
      <c r="K76" s="23"/>
      <c r="L76" s="23"/>
      <c r="M76" s="23"/>
      <c r="N76" s="23"/>
      <c r="O76" s="23"/>
      <c r="P76" s="23"/>
      <c r="Q76" s="23"/>
      <c r="R76" s="23"/>
      <c r="S76" s="23"/>
      <c r="T76" s="23"/>
      <c r="U76" s="23"/>
      <c r="V76" s="23"/>
    </row>
    <row r="77" spans="2:22" x14ac:dyDescent="0.3">
      <c r="B77" s="142"/>
      <c r="C77" s="3">
        <v>0.21</v>
      </c>
      <c r="D77" s="15">
        <v>75119042.992398486</v>
      </c>
      <c r="E77" s="15">
        <v>81799110.316994861</v>
      </c>
      <c r="F77" s="15">
        <v>90566698.680527627</v>
      </c>
      <c r="G77" s="15">
        <v>102581541.99351692</v>
      </c>
      <c r="H77" s="15">
        <v>120057677.72150141</v>
      </c>
      <c r="I77" s="23"/>
      <c r="J77" s="23"/>
      <c r="K77" s="23"/>
      <c r="L77" s="23"/>
      <c r="M77" s="23"/>
      <c r="N77" s="23"/>
      <c r="O77" s="23"/>
      <c r="P77" s="23"/>
      <c r="Q77" s="23"/>
      <c r="R77" s="23"/>
      <c r="S77" s="23"/>
      <c r="T77" s="23"/>
      <c r="U77" s="23"/>
      <c r="V77" s="23"/>
    </row>
    <row r="78" spans="2:22" x14ac:dyDescent="0.3">
      <c r="B78" s="142"/>
      <c r="C78" s="3">
        <v>0.22</v>
      </c>
      <c r="D78" s="15">
        <v>70790828.799086437</v>
      </c>
      <c r="E78" s="15">
        <v>76644343.710464627</v>
      </c>
      <c r="F78" s="15">
        <v>84219480.654601157</v>
      </c>
      <c r="G78" s="15">
        <v>94406733.786370903</v>
      </c>
      <c r="H78" s="15">
        <v>108838675.72304478</v>
      </c>
      <c r="I78" s="23"/>
      <c r="J78" s="23"/>
      <c r="K78" s="23"/>
      <c r="L78" s="23"/>
      <c r="M78" s="23"/>
      <c r="N78" s="23"/>
      <c r="O78" s="23"/>
      <c r="P78" s="23"/>
      <c r="Q78" s="23"/>
      <c r="R78" s="23"/>
      <c r="S78" s="23"/>
      <c r="T78" s="23"/>
      <c r="U78" s="23"/>
      <c r="V78" s="23"/>
    </row>
    <row r="79" spans="2:22" x14ac:dyDescent="0.3">
      <c r="B79" s="142"/>
      <c r="C79" s="3">
        <v>0.23</v>
      </c>
      <c r="D79" s="15">
        <v>66867896.204892062</v>
      </c>
      <c r="E79" s="15">
        <v>72022688.860490531</v>
      </c>
      <c r="F79" s="15">
        <v>78609368.364866391</v>
      </c>
      <c r="G79" s="15">
        <v>87320783.193234414</v>
      </c>
      <c r="H79" s="15">
        <v>99382742.186359435</v>
      </c>
      <c r="I79" s="23"/>
      <c r="J79" s="23"/>
      <c r="K79" s="23"/>
      <c r="L79" s="23"/>
      <c r="M79" s="23"/>
      <c r="N79" s="23"/>
      <c r="O79" s="23"/>
      <c r="P79" s="23"/>
      <c r="Q79" s="23"/>
      <c r="R79" s="23"/>
      <c r="S79" s="23"/>
      <c r="T79" s="23"/>
      <c r="U79" s="23"/>
      <c r="V79" s="23"/>
    </row>
    <row r="80" spans="2:22" x14ac:dyDescent="0.3">
      <c r="B80" s="142"/>
      <c r="C80" s="3">
        <v>0.24</v>
      </c>
      <c r="D80" s="15">
        <v>63298405.451845497</v>
      </c>
      <c r="E80" s="15">
        <v>67858532.070196882</v>
      </c>
      <c r="F80" s="15">
        <v>73618692.00916706</v>
      </c>
      <c r="G80" s="15">
        <v>81124354.959946364</v>
      </c>
      <c r="H80" s="15">
        <v>91310611.82171829</v>
      </c>
      <c r="I80" s="23"/>
      <c r="J80" s="23"/>
      <c r="K80" s="23"/>
      <c r="L80" s="23"/>
      <c r="M80" s="23"/>
      <c r="N80" s="23"/>
      <c r="O80" s="23"/>
      <c r="P80" s="23"/>
      <c r="Q80" s="23"/>
      <c r="R80" s="23"/>
      <c r="S80" s="23"/>
      <c r="T80" s="23"/>
      <c r="U80" s="23"/>
      <c r="V80" s="23"/>
    </row>
    <row r="81" spans="2:22" x14ac:dyDescent="0.3">
      <c r="B81" s="142"/>
      <c r="C81" s="3">
        <v>0.25</v>
      </c>
      <c r="D81" s="15">
        <v>60038869.097183213</v>
      </c>
      <c r="E81" s="15">
        <v>64089762.033570528</v>
      </c>
      <c r="F81" s="15">
        <v>69153378.204054698</v>
      </c>
      <c r="G81" s="15">
        <v>75663741.851820022</v>
      </c>
      <c r="H81" s="15">
        <v>84344226.71550715</v>
      </c>
      <c r="I81" s="23"/>
      <c r="J81" s="23"/>
      <c r="K81" s="23"/>
      <c r="L81" s="23"/>
      <c r="M81" s="23"/>
      <c r="N81" s="23"/>
      <c r="O81" s="23"/>
      <c r="P81" s="23"/>
      <c r="Q81" s="23"/>
      <c r="R81" s="23"/>
      <c r="S81" s="23"/>
      <c r="T81" s="23"/>
      <c r="U81" s="23"/>
      <c r="V81" s="23"/>
    </row>
    <row r="82" spans="2:22" x14ac:dyDescent="0.3">
      <c r="B82" s="142"/>
      <c r="C82" s="3">
        <v>0.26</v>
      </c>
      <c r="D82" s="15">
        <v>57052542.494076297</v>
      </c>
      <c r="E82" s="15">
        <v>60664893.581979737</v>
      </c>
      <c r="F82" s="15">
        <v>65137328.262241125</v>
      </c>
      <c r="G82" s="15">
        <v>70818529.072302908</v>
      </c>
      <c r="H82" s="15">
        <v>78275105.135508969</v>
      </c>
      <c r="I82" s="23"/>
      <c r="J82" s="23"/>
      <c r="K82" s="23"/>
      <c r="L82" s="23"/>
      <c r="M82" s="23"/>
      <c r="N82" s="23"/>
      <c r="O82" s="23"/>
      <c r="P82" s="23"/>
      <c r="Q82" s="23"/>
      <c r="R82" s="23"/>
      <c r="S82" s="23"/>
      <c r="T82" s="23"/>
      <c r="U82" s="23"/>
      <c r="V82" s="23"/>
    </row>
    <row r="83" spans="2:22" x14ac:dyDescent="0.3">
      <c r="B83" s="142"/>
      <c r="C83" s="3">
        <v>0.27</v>
      </c>
      <c r="D83" s="15">
        <v>54308172.15687862</v>
      </c>
      <c r="E83" s="15">
        <v>57540896.03843835</v>
      </c>
      <c r="F83" s="15">
        <v>61508329.893079832</v>
      </c>
      <c r="G83" s="15">
        <v>66493054.479680657</v>
      </c>
      <c r="H83" s="15">
        <v>72943874.53292881</v>
      </c>
      <c r="I83" s="23"/>
      <c r="J83" s="23"/>
      <c r="K83" s="23"/>
      <c r="L83" s="23"/>
      <c r="M83" s="23"/>
      <c r="N83" s="23"/>
      <c r="O83" s="23"/>
      <c r="P83" s="23"/>
      <c r="Q83" s="23"/>
      <c r="R83" s="23"/>
      <c r="S83" s="23"/>
      <c r="T83" s="23"/>
      <c r="U83" s="23"/>
      <c r="V83" s="23"/>
    </row>
    <row r="84" spans="2:22" x14ac:dyDescent="0.3">
      <c r="B84" s="142"/>
      <c r="C84" s="3">
        <v>0.28000000000000003</v>
      </c>
      <c r="D84" s="15">
        <v>51779012.524386398</v>
      </c>
      <c r="E84" s="15">
        <v>54681532.742159754</v>
      </c>
      <c r="F84" s="15">
        <v>58215035.615970805</v>
      </c>
      <c r="G84" s="15">
        <v>62610368.459004045</v>
      </c>
      <c r="H84" s="15">
        <v>68226627.091768757</v>
      </c>
      <c r="I84" s="23"/>
      <c r="J84" s="23"/>
      <c r="K84" s="23"/>
      <c r="L84" s="23"/>
      <c r="M84" s="23"/>
      <c r="N84" s="23"/>
      <c r="O84" s="23"/>
      <c r="P84" s="23"/>
      <c r="Q84" s="23"/>
      <c r="R84" s="23"/>
      <c r="S84" s="23"/>
      <c r="T84" s="23"/>
      <c r="U84" s="23"/>
      <c r="V84" s="23"/>
    </row>
    <row r="85" spans="2:22" x14ac:dyDescent="0.3">
      <c r="B85" s="142"/>
      <c r="C85" s="3">
        <v>0.28999999999999998</v>
      </c>
      <c r="D85" s="15">
        <v>49442046.321752839</v>
      </c>
      <c r="E85" s="15">
        <v>52056076.703399144</v>
      </c>
      <c r="F85" s="15">
        <v>55214696.747888431</v>
      </c>
      <c r="G85" s="15">
        <v>59107879.593421735</v>
      </c>
      <c r="H85" s="15">
        <v>64025584.240411177</v>
      </c>
      <c r="I85" s="23"/>
      <c r="J85" s="23"/>
      <c r="K85" s="23"/>
      <c r="L85" s="23"/>
      <c r="M85" s="23"/>
      <c r="N85" s="23"/>
      <c r="O85" s="23"/>
      <c r="P85" s="23"/>
      <c r="Q85" s="23"/>
      <c r="R85" s="23"/>
      <c r="S85" s="23"/>
      <c r="T85" s="23"/>
      <c r="U85" s="23"/>
      <c r="V85" s="23"/>
    </row>
    <row r="86" spans="2:22" ht="15" thickBot="1" x14ac:dyDescent="0.35">
      <c r="B86" s="143"/>
      <c r="C86" s="3">
        <v>0.3</v>
      </c>
      <c r="D86" s="15">
        <v>47277361.002601683</v>
      </c>
      <c r="E86" s="15">
        <v>49638306.634035721</v>
      </c>
      <c r="F86" s="15">
        <v>52471441.391756579</v>
      </c>
      <c r="G86" s="15">
        <v>55934161.651193172</v>
      </c>
      <c r="H86" s="15">
        <v>60262561.975488916</v>
      </c>
      <c r="I86" s="23"/>
      <c r="J86" s="23"/>
      <c r="K86" s="23"/>
      <c r="L86" s="23"/>
      <c r="M86" s="23"/>
      <c r="N86" s="23"/>
      <c r="O86" s="23"/>
      <c r="P86" s="23"/>
      <c r="Q86" s="23"/>
      <c r="R86" s="23"/>
      <c r="S86" s="23"/>
      <c r="T86" s="23"/>
      <c r="U86" s="23"/>
      <c r="V86" s="23"/>
    </row>
    <row r="90" spans="2:22" x14ac:dyDescent="0.3">
      <c r="B90" s="134" t="s">
        <v>121</v>
      </c>
      <c r="C90" s="134"/>
      <c r="D90" s="134"/>
      <c r="E90" s="134"/>
      <c r="F90" s="134"/>
      <c r="G90" s="134"/>
      <c r="H90" s="134"/>
      <c r="I90" s="134"/>
      <c r="J90" s="134"/>
    </row>
    <row r="91" spans="2:22" ht="15" thickBot="1" x14ac:dyDescent="0.35">
      <c r="D91" s="132" t="s">
        <v>122</v>
      </c>
      <c r="E91" s="133"/>
      <c r="F91" s="133"/>
      <c r="G91" s="133"/>
      <c r="H91" s="133"/>
      <c r="I91" s="133"/>
      <c r="J91" s="133"/>
    </row>
    <row r="92" spans="2:22" ht="15" thickBot="1" x14ac:dyDescent="0.35">
      <c r="C92" s="9">
        <f>B42</f>
        <v>283858496.10182464</v>
      </c>
      <c r="D92" s="20">
        <v>0</v>
      </c>
      <c r="E92" s="20">
        <v>0.1</v>
      </c>
      <c r="F92" s="20">
        <v>0.2</v>
      </c>
      <c r="G92" s="20">
        <v>0.3</v>
      </c>
      <c r="H92" s="20">
        <v>0.4</v>
      </c>
      <c r="I92" s="20">
        <v>0.5</v>
      </c>
      <c r="J92" s="20">
        <v>0.6</v>
      </c>
    </row>
    <row r="93" spans="2:22" ht="15" thickTop="1" x14ac:dyDescent="0.3">
      <c r="B93" s="141" t="s">
        <v>32</v>
      </c>
      <c r="C93" s="3">
        <v>0.01</v>
      </c>
      <c r="D93" s="15">
        <v>-222831495.81983614</v>
      </c>
      <c r="E93" s="15">
        <v>-338367424.91437376</v>
      </c>
      <c r="F93" s="15">
        <v>-490431687.73266214</v>
      </c>
      <c r="G93" s="15">
        <v>-685934634.38838506</v>
      </c>
      <c r="H93" s="15">
        <v>-932406361.79366934</v>
      </c>
      <c r="I93" s="15">
        <v>-1237982587.3940454</v>
      </c>
      <c r="J93" s="15">
        <v>-1611304942.4159865</v>
      </c>
    </row>
    <row r="94" spans="2:22" x14ac:dyDescent="0.3">
      <c r="B94" s="142"/>
      <c r="C94" s="3">
        <v>0.02</v>
      </c>
      <c r="D94" s="15">
        <f t="dataTable" ref="D94:J122" dt2D="1" dtr="1" r1="D48" r2="B3"/>
        <v>0.01</v>
      </c>
      <c r="E94" s="15">
        <v>0.01</v>
      </c>
      <c r="F94" s="15">
        <v>0.01</v>
      </c>
      <c r="G94" s="15">
        <v>0.01</v>
      </c>
      <c r="H94" s="15">
        <v>0.01</v>
      </c>
      <c r="I94" s="15">
        <v>0.01</v>
      </c>
      <c r="J94" s="15">
        <v>0.01</v>
      </c>
    </row>
    <row r="95" spans="2:22" x14ac:dyDescent="0.3">
      <c r="B95" s="142"/>
      <c r="C95" s="3">
        <v>0.03</v>
      </c>
      <c r="D95" s="15">
        <v>0.01</v>
      </c>
      <c r="E95" s="15">
        <v>0.01</v>
      </c>
      <c r="F95" s="15">
        <v>0.01</v>
      </c>
      <c r="G95" s="15">
        <v>0.01</v>
      </c>
      <c r="H95" s="15">
        <v>0.01</v>
      </c>
      <c r="I95" s="15">
        <v>0.01</v>
      </c>
      <c r="J95" s="15">
        <v>0.01</v>
      </c>
    </row>
    <row r="96" spans="2:22" x14ac:dyDescent="0.3">
      <c r="B96" s="142"/>
      <c r="C96" s="3">
        <v>0.04</v>
      </c>
      <c r="D96" s="15">
        <v>0.01</v>
      </c>
      <c r="E96" s="15">
        <v>0.01</v>
      </c>
      <c r="F96" s="15">
        <v>0.01</v>
      </c>
      <c r="G96" s="15">
        <v>0.01</v>
      </c>
      <c r="H96" s="15">
        <v>0.01</v>
      </c>
      <c r="I96" s="15">
        <v>0.01</v>
      </c>
      <c r="J96" s="15">
        <v>0.01</v>
      </c>
    </row>
    <row r="97" spans="2:10" x14ac:dyDescent="0.3">
      <c r="B97" s="142"/>
      <c r="C97" s="3">
        <v>0.05</v>
      </c>
      <c r="D97" s="15">
        <v>0.01</v>
      </c>
      <c r="E97" s="15">
        <v>0.01</v>
      </c>
      <c r="F97" s="15">
        <v>0.01</v>
      </c>
      <c r="G97" s="15">
        <v>0.01</v>
      </c>
      <c r="H97" s="15">
        <v>0.01</v>
      </c>
      <c r="I97" s="15">
        <v>0.01</v>
      </c>
      <c r="J97" s="15">
        <v>0.01</v>
      </c>
    </row>
    <row r="98" spans="2:10" x14ac:dyDescent="0.3">
      <c r="B98" s="142"/>
      <c r="C98" s="3">
        <v>0.06</v>
      </c>
      <c r="D98" s="15">
        <v>0.01</v>
      </c>
      <c r="E98" s="15">
        <v>0.01</v>
      </c>
      <c r="F98" s="15">
        <v>0.01</v>
      </c>
      <c r="G98" s="15">
        <v>0.01</v>
      </c>
      <c r="H98" s="15">
        <v>0.01</v>
      </c>
      <c r="I98" s="15">
        <v>0.01</v>
      </c>
      <c r="J98" s="15">
        <v>0.01</v>
      </c>
    </row>
    <row r="99" spans="2:10" x14ac:dyDescent="0.3">
      <c r="B99" s="142"/>
      <c r="C99" s="3">
        <v>7.0000000000000007E-2</v>
      </c>
      <c r="D99" s="15">
        <v>0.01</v>
      </c>
      <c r="E99" s="15">
        <v>0.01</v>
      </c>
      <c r="F99" s="15">
        <v>0.01</v>
      </c>
      <c r="G99" s="15">
        <v>0.01</v>
      </c>
      <c r="H99" s="15">
        <v>0.01</v>
      </c>
      <c r="I99" s="15">
        <v>0.01</v>
      </c>
      <c r="J99" s="15">
        <v>0.01</v>
      </c>
    </row>
    <row r="100" spans="2:10" x14ac:dyDescent="0.3">
      <c r="B100" s="142"/>
      <c r="C100" s="3">
        <v>0.08</v>
      </c>
      <c r="D100" s="15">
        <v>0.01</v>
      </c>
      <c r="E100" s="15">
        <v>0.01</v>
      </c>
      <c r="F100" s="15">
        <v>0.01</v>
      </c>
      <c r="G100" s="15">
        <v>0.01</v>
      </c>
      <c r="H100" s="15">
        <v>0.01</v>
      </c>
      <c r="I100" s="15">
        <v>0.01</v>
      </c>
      <c r="J100" s="15">
        <v>0.01</v>
      </c>
    </row>
    <row r="101" spans="2:10" x14ac:dyDescent="0.3">
      <c r="B101" s="142"/>
      <c r="C101" s="3">
        <v>0.09</v>
      </c>
      <c r="D101" s="15">
        <v>0.01</v>
      </c>
      <c r="E101" s="15">
        <v>0.01</v>
      </c>
      <c r="F101" s="15">
        <v>0.01</v>
      </c>
      <c r="G101" s="15">
        <v>0.01</v>
      </c>
      <c r="H101" s="15">
        <v>0.01</v>
      </c>
      <c r="I101" s="15">
        <v>0.01</v>
      </c>
      <c r="J101" s="15">
        <v>0.01</v>
      </c>
    </row>
    <row r="102" spans="2:10" x14ac:dyDescent="0.3">
      <c r="B102" s="142"/>
      <c r="C102" s="3">
        <v>0.1</v>
      </c>
      <c r="D102" s="15">
        <v>0.01</v>
      </c>
      <c r="E102" s="15">
        <v>0.01</v>
      </c>
      <c r="F102" s="15">
        <v>0.01</v>
      </c>
      <c r="G102" s="15">
        <v>0.01</v>
      </c>
      <c r="H102" s="15">
        <v>0.01</v>
      </c>
      <c r="I102" s="15">
        <v>0.01</v>
      </c>
      <c r="J102" s="15">
        <v>0.01</v>
      </c>
    </row>
    <row r="103" spans="2:10" x14ac:dyDescent="0.3">
      <c r="B103" s="142"/>
      <c r="C103" s="3">
        <v>0.11</v>
      </c>
      <c r="D103" s="15">
        <v>0.01</v>
      </c>
      <c r="E103" s="15">
        <v>0.01</v>
      </c>
      <c r="F103" s="15">
        <v>0.01</v>
      </c>
      <c r="G103" s="15">
        <v>0.01</v>
      </c>
      <c r="H103" s="15">
        <v>0.01</v>
      </c>
      <c r="I103" s="15">
        <v>0.01</v>
      </c>
      <c r="J103" s="15">
        <v>0.01</v>
      </c>
    </row>
    <row r="104" spans="2:10" x14ac:dyDescent="0.3">
      <c r="B104" s="142"/>
      <c r="C104" s="3">
        <v>0.12</v>
      </c>
      <c r="D104" s="15">
        <v>0.01</v>
      </c>
      <c r="E104" s="15">
        <v>0.01</v>
      </c>
      <c r="F104" s="15">
        <v>0.01</v>
      </c>
      <c r="G104" s="15">
        <v>0.01</v>
      </c>
      <c r="H104" s="15">
        <v>0.01</v>
      </c>
      <c r="I104" s="15">
        <v>0.01</v>
      </c>
      <c r="J104" s="15">
        <v>0.01</v>
      </c>
    </row>
    <row r="105" spans="2:10" x14ac:dyDescent="0.3">
      <c r="B105" s="142"/>
      <c r="C105" s="3">
        <v>0.13</v>
      </c>
      <c r="D105" s="15">
        <v>0.01</v>
      </c>
      <c r="E105" s="15">
        <v>0.01</v>
      </c>
      <c r="F105" s="15">
        <v>0.01</v>
      </c>
      <c r="G105" s="15">
        <v>0.01</v>
      </c>
      <c r="H105" s="15">
        <v>0.01</v>
      </c>
      <c r="I105" s="15">
        <v>0.01</v>
      </c>
      <c r="J105" s="15">
        <v>0.01</v>
      </c>
    </row>
    <row r="106" spans="2:10" x14ac:dyDescent="0.3">
      <c r="B106" s="142"/>
      <c r="C106" s="3">
        <v>0.14000000000000001</v>
      </c>
      <c r="D106" s="15">
        <v>0.01</v>
      </c>
      <c r="E106" s="15">
        <v>0.01</v>
      </c>
      <c r="F106" s="15">
        <v>0.01</v>
      </c>
      <c r="G106" s="15">
        <v>0.01</v>
      </c>
      <c r="H106" s="15">
        <v>0.01</v>
      </c>
      <c r="I106" s="15">
        <v>0.01</v>
      </c>
      <c r="J106" s="15">
        <v>0.01</v>
      </c>
    </row>
    <row r="107" spans="2:10" x14ac:dyDescent="0.3">
      <c r="B107" s="142"/>
      <c r="C107" s="3">
        <v>0.15</v>
      </c>
      <c r="D107" s="15">
        <v>0.01</v>
      </c>
      <c r="E107" s="15">
        <v>0.01</v>
      </c>
      <c r="F107" s="15">
        <v>0.01</v>
      </c>
      <c r="G107" s="15">
        <v>0.01</v>
      </c>
      <c r="H107" s="15">
        <v>0.01</v>
      </c>
      <c r="I107" s="15">
        <v>0.01</v>
      </c>
      <c r="J107" s="15">
        <v>0.01</v>
      </c>
    </row>
    <row r="108" spans="2:10" x14ac:dyDescent="0.3">
      <c r="B108" s="142"/>
      <c r="C108" s="3">
        <v>0.16</v>
      </c>
      <c r="D108" s="15">
        <v>0.01</v>
      </c>
      <c r="E108" s="15">
        <v>0.01</v>
      </c>
      <c r="F108" s="15">
        <v>0.01</v>
      </c>
      <c r="G108" s="15">
        <v>0.01</v>
      </c>
      <c r="H108" s="15">
        <v>0.01</v>
      </c>
      <c r="I108" s="15">
        <v>0.01</v>
      </c>
      <c r="J108" s="15">
        <v>0.01</v>
      </c>
    </row>
    <row r="109" spans="2:10" x14ac:dyDescent="0.3">
      <c r="B109" s="142"/>
      <c r="C109" s="3">
        <v>0.17</v>
      </c>
      <c r="D109" s="15">
        <v>0.01</v>
      </c>
      <c r="E109" s="15">
        <v>0.01</v>
      </c>
      <c r="F109" s="15">
        <v>0.01</v>
      </c>
      <c r="G109" s="15">
        <v>0.01</v>
      </c>
      <c r="H109" s="15">
        <v>0.01</v>
      </c>
      <c r="I109" s="15">
        <v>0.01</v>
      </c>
      <c r="J109" s="15">
        <v>0.01</v>
      </c>
    </row>
    <row r="110" spans="2:10" x14ac:dyDescent="0.3">
      <c r="B110" s="142"/>
      <c r="C110" s="3">
        <v>0.18</v>
      </c>
      <c r="D110" s="15">
        <v>0.01</v>
      </c>
      <c r="E110" s="15">
        <v>0.01</v>
      </c>
      <c r="F110" s="15">
        <v>0.01</v>
      </c>
      <c r="G110" s="15">
        <v>0.01</v>
      </c>
      <c r="H110" s="15">
        <v>0.01</v>
      </c>
      <c r="I110" s="15">
        <v>0.01</v>
      </c>
      <c r="J110" s="15">
        <v>0.01</v>
      </c>
    </row>
    <row r="111" spans="2:10" x14ac:dyDescent="0.3">
      <c r="B111" s="142"/>
      <c r="C111" s="3">
        <v>0.19</v>
      </c>
      <c r="D111" s="15">
        <v>0.01</v>
      </c>
      <c r="E111" s="15">
        <v>0.01</v>
      </c>
      <c r="F111" s="15">
        <v>0.01</v>
      </c>
      <c r="G111" s="15">
        <v>0.01</v>
      </c>
      <c r="H111" s="15">
        <v>0.01</v>
      </c>
      <c r="I111" s="15">
        <v>0.01</v>
      </c>
      <c r="J111" s="15">
        <v>0.01</v>
      </c>
    </row>
    <row r="112" spans="2:10" x14ac:dyDescent="0.3">
      <c r="B112" s="142"/>
      <c r="C112" s="3">
        <v>0.2</v>
      </c>
      <c r="D112" s="15">
        <v>0.01</v>
      </c>
      <c r="E112" s="15">
        <v>0.01</v>
      </c>
      <c r="F112" s="15">
        <v>0.01</v>
      </c>
      <c r="G112" s="15">
        <v>0.01</v>
      </c>
      <c r="H112" s="15">
        <v>0.01</v>
      </c>
      <c r="I112" s="15">
        <v>0.01</v>
      </c>
      <c r="J112" s="15">
        <v>0.01</v>
      </c>
    </row>
    <row r="113" spans="2:10" x14ac:dyDescent="0.3">
      <c r="B113" s="142"/>
      <c r="C113" s="3">
        <v>0.21</v>
      </c>
      <c r="D113" s="15">
        <v>0.01</v>
      </c>
      <c r="E113" s="15">
        <v>0.01</v>
      </c>
      <c r="F113" s="15">
        <v>0.01</v>
      </c>
      <c r="G113" s="15">
        <v>0.01</v>
      </c>
      <c r="H113" s="15">
        <v>0.01</v>
      </c>
      <c r="I113" s="15">
        <v>0.01</v>
      </c>
      <c r="J113" s="15">
        <v>0.01</v>
      </c>
    </row>
    <row r="114" spans="2:10" x14ac:dyDescent="0.3">
      <c r="B114" s="142"/>
      <c r="C114" s="3">
        <v>0.22</v>
      </c>
      <c r="D114" s="15">
        <v>0.01</v>
      </c>
      <c r="E114" s="15">
        <v>0.01</v>
      </c>
      <c r="F114" s="15">
        <v>0.01</v>
      </c>
      <c r="G114" s="15">
        <v>0.01</v>
      </c>
      <c r="H114" s="15">
        <v>0.01</v>
      </c>
      <c r="I114" s="15">
        <v>0.01</v>
      </c>
      <c r="J114" s="15">
        <v>0.01</v>
      </c>
    </row>
    <row r="115" spans="2:10" x14ac:dyDescent="0.3">
      <c r="B115" s="142"/>
      <c r="C115" s="3">
        <v>0.23</v>
      </c>
      <c r="D115" s="15">
        <v>0.01</v>
      </c>
      <c r="E115" s="15">
        <v>0.01</v>
      </c>
      <c r="F115" s="15">
        <v>0.01</v>
      </c>
      <c r="G115" s="15">
        <v>0.01</v>
      </c>
      <c r="H115" s="15">
        <v>0.01</v>
      </c>
      <c r="I115" s="15">
        <v>0.01</v>
      </c>
      <c r="J115" s="15">
        <v>0.01</v>
      </c>
    </row>
    <row r="116" spans="2:10" x14ac:dyDescent="0.3">
      <c r="B116" s="142"/>
      <c r="C116" s="3">
        <v>0.24</v>
      </c>
      <c r="D116" s="15">
        <v>0.01</v>
      </c>
      <c r="E116" s="15">
        <v>0.01</v>
      </c>
      <c r="F116" s="15">
        <v>0.01</v>
      </c>
      <c r="G116" s="15">
        <v>0.01</v>
      </c>
      <c r="H116" s="15">
        <v>0.01</v>
      </c>
      <c r="I116" s="15">
        <v>0.01</v>
      </c>
      <c r="J116" s="15">
        <v>0.01</v>
      </c>
    </row>
    <row r="117" spans="2:10" x14ac:dyDescent="0.3">
      <c r="B117" s="142"/>
      <c r="C117" s="3">
        <v>0.25</v>
      </c>
      <c r="D117" s="15">
        <v>0.01</v>
      </c>
      <c r="E117" s="15">
        <v>0.01</v>
      </c>
      <c r="F117" s="15">
        <v>0.01</v>
      </c>
      <c r="G117" s="15">
        <v>0.01</v>
      </c>
      <c r="H117" s="15">
        <v>0.01</v>
      </c>
      <c r="I117" s="15">
        <v>0.01</v>
      </c>
      <c r="J117" s="15">
        <v>0.01</v>
      </c>
    </row>
    <row r="118" spans="2:10" x14ac:dyDescent="0.3">
      <c r="B118" s="142"/>
      <c r="C118" s="3">
        <v>0.26</v>
      </c>
      <c r="D118" s="15">
        <v>0.01</v>
      </c>
      <c r="E118" s="15">
        <v>0.01</v>
      </c>
      <c r="F118" s="15">
        <v>0.01</v>
      </c>
      <c r="G118" s="15">
        <v>0.01</v>
      </c>
      <c r="H118" s="15">
        <v>0.01</v>
      </c>
      <c r="I118" s="15">
        <v>0.01</v>
      </c>
      <c r="J118" s="15">
        <v>0.01</v>
      </c>
    </row>
    <row r="119" spans="2:10" x14ac:dyDescent="0.3">
      <c r="B119" s="142"/>
      <c r="C119" s="3">
        <v>0.27</v>
      </c>
      <c r="D119" s="15">
        <v>0.01</v>
      </c>
      <c r="E119" s="15">
        <v>0.01</v>
      </c>
      <c r="F119" s="15">
        <v>0.01</v>
      </c>
      <c r="G119" s="15">
        <v>0.01</v>
      </c>
      <c r="H119" s="15">
        <v>0.01</v>
      </c>
      <c r="I119" s="15">
        <v>0.01</v>
      </c>
      <c r="J119" s="15">
        <v>0.01</v>
      </c>
    </row>
    <row r="120" spans="2:10" x14ac:dyDescent="0.3">
      <c r="B120" s="142"/>
      <c r="C120" s="3">
        <v>0.28000000000000003</v>
      </c>
      <c r="D120" s="15">
        <v>0.01</v>
      </c>
      <c r="E120" s="15">
        <v>0.01</v>
      </c>
      <c r="F120" s="15">
        <v>0.01</v>
      </c>
      <c r="G120" s="15">
        <v>0.01</v>
      </c>
      <c r="H120" s="15">
        <v>0.01</v>
      </c>
      <c r="I120" s="15">
        <v>0.01</v>
      </c>
      <c r="J120" s="15">
        <v>0.01</v>
      </c>
    </row>
    <row r="121" spans="2:10" x14ac:dyDescent="0.3">
      <c r="B121" s="142"/>
      <c r="C121" s="3">
        <v>0.28999999999999998</v>
      </c>
      <c r="D121" s="15">
        <v>0.01</v>
      </c>
      <c r="E121" s="15">
        <v>0.01</v>
      </c>
      <c r="F121" s="15">
        <v>0.01</v>
      </c>
      <c r="G121" s="15">
        <v>0.01</v>
      </c>
      <c r="H121" s="15">
        <v>0.01</v>
      </c>
      <c r="I121" s="15">
        <v>0.01</v>
      </c>
      <c r="J121" s="15">
        <v>0.01</v>
      </c>
    </row>
    <row r="122" spans="2:10" ht="15" thickBot="1" x14ac:dyDescent="0.35">
      <c r="B122" s="143"/>
      <c r="C122" s="3">
        <v>0.3</v>
      </c>
      <c r="D122" s="15">
        <v>0.01</v>
      </c>
      <c r="E122" s="15">
        <v>0.01</v>
      </c>
      <c r="F122" s="15">
        <v>0.01</v>
      </c>
      <c r="G122" s="15">
        <v>0.01</v>
      </c>
      <c r="H122" s="15">
        <v>0.01</v>
      </c>
      <c r="I122" s="15">
        <v>0.01</v>
      </c>
      <c r="J122" s="15">
        <v>0.01</v>
      </c>
    </row>
  </sheetData>
  <mergeCells count="10">
    <mergeCell ref="A10:A11"/>
    <mergeCell ref="A17:A19"/>
    <mergeCell ref="B57:B86"/>
    <mergeCell ref="B93:B122"/>
    <mergeCell ref="A26:A30"/>
    <mergeCell ref="D91:J91"/>
    <mergeCell ref="B90:J90"/>
    <mergeCell ref="D8:H8"/>
    <mergeCell ref="B46:H46"/>
    <mergeCell ref="D55:H55"/>
  </mergeCells>
  <conditionalFormatting sqref="O53:V54 N55:V57 D57:J61 K58:V61 D62:V86 D93:J122">
    <cfRule type="expression" dxfId="5" priority="1">
      <formula>D53=$C$56</formula>
    </cfRule>
    <cfRule type="expression" dxfId="4" priority="2">
      <formula>D53=#REF!</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4A381-7184-46F1-9CF5-1B7DFBDF585B}">
  <dimension ref="A1:K140"/>
  <sheetViews>
    <sheetView showGridLines="0" tabSelected="1" zoomScale="70" zoomScaleNormal="70" workbookViewId="0">
      <selection activeCell="J33" sqref="J33"/>
    </sheetView>
  </sheetViews>
  <sheetFormatPr defaultRowHeight="14.4" x14ac:dyDescent="0.3"/>
  <cols>
    <col min="1" max="1" width="22.77734375" bestFit="1" customWidth="1"/>
    <col min="2" max="2" width="41.33203125" customWidth="1"/>
    <col min="3" max="3" width="13.44140625" bestFit="1" customWidth="1"/>
    <col min="4" max="4" width="16.109375" customWidth="1"/>
    <col min="5" max="5" width="16.77734375" bestFit="1" customWidth="1"/>
    <col min="6" max="6" width="17.109375" bestFit="1" customWidth="1"/>
    <col min="7" max="7" width="17.5546875" bestFit="1" customWidth="1"/>
    <col min="8" max="9" width="16.77734375" bestFit="1" customWidth="1"/>
    <col min="10" max="10" width="17.88671875" customWidth="1"/>
    <col min="11" max="12" width="16.109375" customWidth="1"/>
  </cols>
  <sheetData>
    <row r="1" spans="1:11" x14ac:dyDescent="0.3">
      <c r="A1" s="131" t="s">
        <v>265</v>
      </c>
      <c r="B1" s="131"/>
      <c r="F1" s="145" t="s">
        <v>221</v>
      </c>
      <c r="G1" s="145"/>
      <c r="H1" s="145" t="s">
        <v>222</v>
      </c>
      <c r="I1" s="145"/>
      <c r="J1" s="145" t="s">
        <v>267</v>
      </c>
      <c r="K1" s="145"/>
    </row>
    <row r="2" spans="1:11" x14ac:dyDescent="0.3">
      <c r="D2" s="1" t="s">
        <v>41</v>
      </c>
      <c r="E2" s="8">
        <v>0.1</v>
      </c>
      <c r="F2" s="1" t="s">
        <v>224</v>
      </c>
      <c r="G2" s="57">
        <v>0</v>
      </c>
      <c r="H2" s="1" t="s">
        <v>224</v>
      </c>
      <c r="I2" s="57">
        <v>25000</v>
      </c>
      <c r="J2" s="1" t="s">
        <v>224</v>
      </c>
      <c r="K2" s="57">
        <v>13000</v>
      </c>
    </row>
    <row r="3" spans="1:11" x14ac:dyDescent="0.3">
      <c r="A3" s="1" t="s">
        <v>7</v>
      </c>
      <c r="B3" s="8">
        <v>9.5000000000000001E-2</v>
      </c>
      <c r="C3" s="1"/>
      <c r="D3" s="1" t="s">
        <v>44</v>
      </c>
      <c r="E3" s="8">
        <v>0.05</v>
      </c>
      <c r="F3" s="1" t="s">
        <v>225</v>
      </c>
      <c r="G3" s="75">
        <v>0.3</v>
      </c>
      <c r="H3" s="1" t="s">
        <v>225</v>
      </c>
      <c r="I3" s="75">
        <v>0.3</v>
      </c>
      <c r="J3" s="1" t="s">
        <v>225</v>
      </c>
      <c r="K3" s="75">
        <v>0.3</v>
      </c>
    </row>
    <row r="4" spans="1:11" x14ac:dyDescent="0.3">
      <c r="A4" s="1" t="s">
        <v>8</v>
      </c>
      <c r="B4" s="5">
        <v>0.21</v>
      </c>
      <c r="C4" s="1"/>
      <c r="D4" s="1" t="s">
        <v>119</v>
      </c>
      <c r="E4" s="59">
        <v>19</v>
      </c>
      <c r="F4" s="1" t="s">
        <v>64</v>
      </c>
      <c r="G4" s="5"/>
      <c r="H4" s="1" t="s">
        <v>64</v>
      </c>
      <c r="I4" s="5">
        <v>0.35</v>
      </c>
      <c r="J4" s="1" t="s">
        <v>64</v>
      </c>
      <c r="K4" s="5">
        <v>0.35</v>
      </c>
    </row>
    <row r="5" spans="1:11" x14ac:dyDescent="0.3">
      <c r="A5" s="1" t="s">
        <v>29</v>
      </c>
      <c r="B5" s="8">
        <v>0.03</v>
      </c>
      <c r="C5" s="1"/>
      <c r="D5" s="1" t="s">
        <v>120</v>
      </c>
      <c r="E5" s="75">
        <v>1.4</v>
      </c>
      <c r="F5" s="1" t="s">
        <v>245</v>
      </c>
      <c r="G5" s="75">
        <v>0.02</v>
      </c>
      <c r="H5" s="1" t="s">
        <v>245</v>
      </c>
      <c r="I5" s="75">
        <v>0.02</v>
      </c>
      <c r="J5" s="1" t="s">
        <v>245</v>
      </c>
      <c r="K5" s="75">
        <v>3.5000000000000003E-2</v>
      </c>
    </row>
    <row r="6" spans="1:11" x14ac:dyDescent="0.3">
      <c r="A6" s="1" t="s">
        <v>112</v>
      </c>
      <c r="B6" s="57">
        <v>50</v>
      </c>
      <c r="C6" s="1"/>
      <c r="D6" s="1" t="s">
        <v>220</v>
      </c>
      <c r="E6" s="75">
        <v>0.55000000000000004</v>
      </c>
      <c r="F6" s="1" t="s">
        <v>263</v>
      </c>
      <c r="G6" s="75">
        <v>0.56000000000000005</v>
      </c>
      <c r="H6" s="1" t="s">
        <v>263</v>
      </c>
      <c r="I6" s="75">
        <v>0.4</v>
      </c>
      <c r="J6" s="1" t="s">
        <v>263</v>
      </c>
      <c r="K6" s="75"/>
    </row>
    <row r="7" spans="1:11" x14ac:dyDescent="0.3">
      <c r="A7" s="1" t="s">
        <v>223</v>
      </c>
      <c r="B7" s="57">
        <v>5000</v>
      </c>
      <c r="C7" s="1"/>
    </row>
    <row r="8" spans="1:11" x14ac:dyDescent="0.3">
      <c r="A8" s="1"/>
      <c r="B8" s="1"/>
      <c r="D8" s="134" t="s">
        <v>48</v>
      </c>
      <c r="E8" s="134"/>
      <c r="F8" s="134"/>
      <c r="G8" s="134"/>
      <c r="H8" s="134"/>
    </row>
    <row r="9" spans="1:11" ht="15" thickBot="1" x14ac:dyDescent="0.35">
      <c r="B9" s="1" t="s">
        <v>46</v>
      </c>
      <c r="C9" s="7"/>
      <c r="D9" s="27">
        <v>1</v>
      </c>
      <c r="E9" s="27">
        <v>2</v>
      </c>
      <c r="F9" s="27">
        <v>3</v>
      </c>
      <c r="G9" s="27">
        <v>4</v>
      </c>
      <c r="H9" s="27">
        <v>5</v>
      </c>
    </row>
    <row r="10" spans="1:11" x14ac:dyDescent="0.3">
      <c r="A10" s="144" t="s">
        <v>0</v>
      </c>
      <c r="B10" s="10" t="s">
        <v>5</v>
      </c>
      <c r="C10" s="118"/>
      <c r="D10" s="119">
        <f>12*$E$5*D53</f>
        <v>997634.39999999979</v>
      </c>
      <c r="E10" s="119">
        <f>12*$E$5*E53</f>
        <v>1147271.9999999998</v>
      </c>
      <c r="F10" s="119">
        <f>12*$E$5*F53</f>
        <v>1319371.1999999997</v>
      </c>
      <c r="G10" s="119">
        <f>12*$E$5*G53</f>
        <v>1517275.1999999997</v>
      </c>
      <c r="H10" s="121">
        <f>12*$E$5*H53</f>
        <v>1744864.7999999998</v>
      </c>
    </row>
    <row r="11" spans="1:11" x14ac:dyDescent="0.3">
      <c r="A11" s="144"/>
      <c r="B11" s="10" t="s">
        <v>237</v>
      </c>
      <c r="C11" s="118"/>
      <c r="D11" s="119">
        <f>12*$E$4*$E$6*D53</f>
        <v>7446628.2000000002</v>
      </c>
      <c r="E11" s="119">
        <f>12*$E$4*$E$6*E53</f>
        <v>8563566</v>
      </c>
      <c r="F11" s="119">
        <f>12*$E$4*$E$6*F53</f>
        <v>9848163.5999999996</v>
      </c>
      <c r="G11" s="119">
        <f>12*$E$4*$E$6*G53</f>
        <v>11325375.6</v>
      </c>
      <c r="H11" s="121">
        <f>12*$E$4*$E$6*H53</f>
        <v>13024169.4</v>
      </c>
    </row>
    <row r="12" spans="1:11" x14ac:dyDescent="0.3">
      <c r="A12" s="144"/>
      <c r="B12" s="10" t="s">
        <v>267</v>
      </c>
      <c r="C12" s="120"/>
      <c r="D12" s="118">
        <f>$K$2*D59</f>
        <v>0</v>
      </c>
      <c r="E12" s="118">
        <f>$K$2*E59</f>
        <v>26000</v>
      </c>
      <c r="F12" s="118">
        <f>$K$2*F59</f>
        <v>26000</v>
      </c>
      <c r="G12" s="118">
        <f>$K$2*G59</f>
        <v>26000</v>
      </c>
      <c r="H12" s="121">
        <f>$K$2*H59</f>
        <v>26000</v>
      </c>
    </row>
    <row r="13" spans="1:11" x14ac:dyDescent="0.3">
      <c r="A13" s="144"/>
      <c r="B13" s="10" t="s">
        <v>268</v>
      </c>
      <c r="C13" s="118"/>
      <c r="D13" s="119">
        <f>12*$E$4*$K$3*D68</f>
        <v>0</v>
      </c>
      <c r="E13" s="119">
        <f>12*$E$4*$K$3*E68</f>
        <v>136799.99999999997</v>
      </c>
      <c r="F13" s="119">
        <f>12*$E$4*$K$3*F68</f>
        <v>273599.99999999994</v>
      </c>
      <c r="G13" s="119">
        <f>12*$E$4*$K$3*G68</f>
        <v>410399.99999999994</v>
      </c>
      <c r="H13" s="121">
        <f>12*$E$4*$K$3*H68</f>
        <v>547199.99999999988</v>
      </c>
    </row>
    <row r="14" spans="1:11" x14ac:dyDescent="0.3">
      <c r="A14" s="144"/>
      <c r="B14" s="10" t="s">
        <v>266</v>
      </c>
      <c r="C14" s="118"/>
      <c r="D14" s="119">
        <f>$I$2*D58</f>
        <v>0</v>
      </c>
      <c r="E14" s="119">
        <f>$I$2*E58</f>
        <v>25000</v>
      </c>
      <c r="F14" s="119">
        <f>$I$2*F58</f>
        <v>25000</v>
      </c>
      <c r="G14" s="119">
        <f>$I$2*G58</f>
        <v>50000</v>
      </c>
      <c r="H14" s="121">
        <f>$I$2*H58</f>
        <v>50000</v>
      </c>
    </row>
    <row r="15" spans="1:11" x14ac:dyDescent="0.3">
      <c r="A15" s="144"/>
      <c r="B15" s="10" t="s">
        <v>244</v>
      </c>
      <c r="C15" s="118"/>
      <c r="D15" s="118">
        <f>12*$E$4*$I$3*D67</f>
        <v>0</v>
      </c>
      <c r="E15" s="118">
        <f>12*$E$4*$I$3*E67</f>
        <v>68399.999999999985</v>
      </c>
      <c r="F15" s="118">
        <f>12*$E$4*$I$3*F67</f>
        <v>136799.99999999997</v>
      </c>
      <c r="G15" s="118">
        <f>12*$E$4*$I$3*G67</f>
        <v>273599.99999999994</v>
      </c>
      <c r="H15" s="121">
        <f>12*$E$4*$I$3*H67</f>
        <v>410399.99999999994</v>
      </c>
    </row>
    <row r="16" spans="1:11" x14ac:dyDescent="0.3">
      <c r="A16" s="144"/>
      <c r="B16" s="10" t="s">
        <v>262</v>
      </c>
      <c r="C16" s="118"/>
      <c r="D16" s="118">
        <f>12*$E$4*$G$3*D66</f>
        <v>2051.9999999999995</v>
      </c>
      <c r="E16" s="118">
        <f>12*$E$4*$G$3*E66</f>
        <v>275651.99999999994</v>
      </c>
      <c r="F16" s="118">
        <f>12*$E$4*$G$3*F66</f>
        <v>549251.99999999988</v>
      </c>
      <c r="G16" s="118">
        <f>12*$E$4*$G$3*G66</f>
        <v>822851.99999999988</v>
      </c>
      <c r="H16" s="121">
        <f>12*$E$4*$G$3*H66</f>
        <v>1096451.9999999998</v>
      </c>
    </row>
    <row r="17" spans="1:8" x14ac:dyDescent="0.3">
      <c r="A17" s="6"/>
      <c r="B17" s="11" t="s">
        <v>12</v>
      </c>
      <c r="C17" s="118"/>
      <c r="D17" s="118">
        <f>SUM(D10:D16)</f>
        <v>8446314.5999999996</v>
      </c>
      <c r="E17" s="118">
        <f>SUM(E10:E16)</f>
        <v>10242690</v>
      </c>
      <c r="F17" s="118">
        <f t="shared" ref="F17:H17" si="0">SUM(F10:F16)</f>
        <v>12178186.799999999</v>
      </c>
      <c r="G17" s="118">
        <f t="shared" si="0"/>
        <v>14425502.799999999</v>
      </c>
      <c r="H17" s="121">
        <f t="shared" si="0"/>
        <v>16899086.199999999</v>
      </c>
    </row>
    <row r="18" spans="1:8" x14ac:dyDescent="0.3">
      <c r="A18" s="144" t="s">
        <v>16</v>
      </c>
      <c r="B18" s="10" t="s">
        <v>1</v>
      </c>
      <c r="C18" s="118">
        <v>4200</v>
      </c>
      <c r="D18" s="118">
        <f>C18*12</f>
        <v>50400</v>
      </c>
      <c r="E18" s="118">
        <f t="shared" ref="E18:H19" si="1">D18*(1+$E$3)</f>
        <v>52920</v>
      </c>
      <c r="F18" s="118">
        <f t="shared" si="1"/>
        <v>55566</v>
      </c>
      <c r="G18" s="118">
        <f t="shared" si="1"/>
        <v>58344.3</v>
      </c>
      <c r="H18" s="121">
        <f t="shared" si="1"/>
        <v>61261.515000000007</v>
      </c>
    </row>
    <row r="19" spans="1:8" x14ac:dyDescent="0.3">
      <c r="A19" s="144"/>
      <c r="B19" s="10" t="s">
        <v>271</v>
      </c>
      <c r="C19" s="118">
        <v>5000</v>
      </c>
      <c r="D19" s="118">
        <v>61700</v>
      </c>
      <c r="E19" s="118">
        <f t="shared" si="1"/>
        <v>64785</v>
      </c>
      <c r="F19" s="118">
        <f t="shared" si="1"/>
        <v>68024.25</v>
      </c>
      <c r="G19" s="118">
        <f t="shared" si="1"/>
        <v>71425.462500000009</v>
      </c>
      <c r="H19" s="121">
        <f t="shared" si="1"/>
        <v>74996.735625000016</v>
      </c>
    </row>
    <row r="20" spans="1:8" x14ac:dyDescent="0.3">
      <c r="A20" s="144"/>
      <c r="B20" s="10" t="s">
        <v>2</v>
      </c>
      <c r="C20" s="118">
        <v>500</v>
      </c>
      <c r="D20" s="118">
        <f>C20*12</f>
        <v>6000</v>
      </c>
      <c r="E20" s="118">
        <f>D20*(1+E50)</f>
        <v>6899.9999999999991</v>
      </c>
      <c r="F20" s="118">
        <f>E20*(1+F50)</f>
        <v>7934.9999999999982</v>
      </c>
      <c r="G20" s="118">
        <f>F20*(1+G50)</f>
        <v>9125.2499999999964</v>
      </c>
      <c r="H20" s="121">
        <f>G20*(1+H50)</f>
        <v>10494.037499999995</v>
      </c>
    </row>
    <row r="21" spans="1:8" x14ac:dyDescent="0.3">
      <c r="A21" s="144"/>
      <c r="B21" s="10" t="s">
        <v>269</v>
      </c>
      <c r="C21" s="118"/>
      <c r="D21" s="118">
        <f>$K$4*$K$2*D59</f>
        <v>0</v>
      </c>
      <c r="E21" s="118">
        <f>$K$4*$K$2*E59</f>
        <v>9100</v>
      </c>
      <c r="F21" s="118">
        <f>$K$4*$K$2*F59</f>
        <v>9100</v>
      </c>
      <c r="G21" s="118">
        <f>$K$4*$K$2*G59</f>
        <v>9100</v>
      </c>
      <c r="H21" s="121">
        <f>$K$4*$K$2*H59</f>
        <v>9100</v>
      </c>
    </row>
    <row r="22" spans="1:8" x14ac:dyDescent="0.3">
      <c r="A22" s="144"/>
      <c r="B22" s="10" t="s">
        <v>270</v>
      </c>
      <c r="C22" s="118"/>
      <c r="D22" s="118">
        <f>SUM('Partnership breakdown'!B25:M25)</f>
        <v>0</v>
      </c>
      <c r="E22" s="118">
        <f>SUM('Partnership breakdown'!N25:Y25)</f>
        <v>12703.269847065339</v>
      </c>
      <c r="F22" s="118">
        <f>SUM('Partnership breakdown'!Z25:AK25)</f>
        <v>12703.269847065339</v>
      </c>
      <c r="G22" s="118">
        <f>SUM('Partnership breakdown'!AL25:AW25)</f>
        <v>12703.269847065339</v>
      </c>
      <c r="H22" s="121">
        <f>SUM('Partnership breakdown'!AX25:BI25)</f>
        <v>12703.269847065339</v>
      </c>
    </row>
    <row r="23" spans="1:8" x14ac:dyDescent="0.3">
      <c r="A23" s="144"/>
      <c r="B23" s="10" t="s">
        <v>258</v>
      </c>
      <c r="C23" s="118"/>
      <c r="D23" s="118">
        <f>$I$4*$I$2*D58</f>
        <v>0</v>
      </c>
      <c r="E23" s="118">
        <f>$I$4*$I$2*E58</f>
        <v>8750</v>
      </c>
      <c r="F23" s="118">
        <f>$I$4*$I$2*F58</f>
        <v>8750</v>
      </c>
      <c r="G23" s="118">
        <f>$I$4*$I$2*G58</f>
        <v>17500</v>
      </c>
      <c r="H23" s="121">
        <f>$I$4*$I$2*H58</f>
        <v>17500</v>
      </c>
    </row>
    <row r="24" spans="1:8" x14ac:dyDescent="0.3">
      <c r="A24" s="144"/>
      <c r="B24" s="10" t="s">
        <v>246</v>
      </c>
      <c r="C24" s="118"/>
      <c r="D24" s="118">
        <f>SUM('Partnership breakdown'!B24:M24)</f>
        <v>0</v>
      </c>
      <c r="E24" s="118">
        <f>SUM('Partnership breakdown'!N24:Y24)</f>
        <v>6351.6349235326697</v>
      </c>
      <c r="F24" s="118">
        <f>SUM('Partnership breakdown'!Z24:AK24)</f>
        <v>6351.6349235326697</v>
      </c>
      <c r="G24" s="118">
        <f>SUM('Partnership breakdown'!AL24:AW24)</f>
        <v>12703.269847065339</v>
      </c>
      <c r="H24" s="121">
        <f>SUM('Partnership breakdown'!AX24:BI24)</f>
        <v>12703.269847065339</v>
      </c>
    </row>
    <row r="25" spans="1:8" x14ac:dyDescent="0.3">
      <c r="A25" s="144"/>
      <c r="B25" s="10" t="s">
        <v>261</v>
      </c>
      <c r="C25" s="118"/>
      <c r="D25" s="118">
        <f>SUM('Partnership breakdown'!B23:M23)</f>
        <v>190.5490477059802</v>
      </c>
      <c r="E25" s="118">
        <f>SUM('Partnership breakdown'!N23:Y23)</f>
        <v>25406.539694130679</v>
      </c>
      <c r="F25" s="118">
        <f>SUM('Partnership breakdown'!Z23:AK23)</f>
        <v>25406.539694130679</v>
      </c>
      <c r="G25" s="118">
        <f>SUM('Partnership breakdown'!AL23:AW23)</f>
        <v>25406.539694130679</v>
      </c>
      <c r="H25" s="121">
        <f>SUM('Partnership breakdown'!AX23:BI23)</f>
        <v>25406.539694130679</v>
      </c>
    </row>
    <row r="26" spans="1:8" x14ac:dyDescent="0.3">
      <c r="B26" s="11" t="s">
        <v>6</v>
      </c>
      <c r="C26" s="118"/>
      <c r="D26" s="118">
        <f>SUM(D18:D25)</f>
        <v>118290.54904770598</v>
      </c>
      <c r="E26" s="118">
        <f>SUM(E18:E25)</f>
        <v>186916.44446472867</v>
      </c>
      <c r="F26" s="118">
        <f>SUM(F18:F25)</f>
        <v>193836.69446472867</v>
      </c>
      <c r="G26" s="118">
        <f>SUM(G18:G25)</f>
        <v>216308.09188826135</v>
      </c>
      <c r="H26" s="118">
        <f>SUM(H18:H25)</f>
        <v>224165.36751326136</v>
      </c>
    </row>
    <row r="27" spans="1:8" x14ac:dyDescent="0.3">
      <c r="B27" s="11" t="s">
        <v>9</v>
      </c>
      <c r="C27" s="118"/>
      <c r="D27" s="118">
        <f>D17-D26</f>
        <v>8328024.0509522939</v>
      </c>
      <c r="E27" s="118">
        <f>E17-E26</f>
        <v>10055773.555535272</v>
      </c>
      <c r="F27" s="118">
        <f>F17-F26</f>
        <v>11984350.105535271</v>
      </c>
      <c r="G27" s="118">
        <f>G17-G26</f>
        <v>14209194.708111737</v>
      </c>
      <c r="H27" s="121">
        <f>H17-H26</f>
        <v>16674920.832486738</v>
      </c>
    </row>
    <row r="28" spans="1:8" x14ac:dyDescent="0.3">
      <c r="A28" s="138" t="s">
        <v>10</v>
      </c>
      <c r="B28" s="10" t="s">
        <v>3</v>
      </c>
      <c r="C28" s="118"/>
      <c r="D28" s="118">
        <v>155000</v>
      </c>
      <c r="E28" s="118">
        <f>D28*(1+$E$2)</f>
        <v>170500</v>
      </c>
      <c r="F28" s="118">
        <f>E28*(1+$E$2)</f>
        <v>187550.00000000003</v>
      </c>
      <c r="G28" s="118">
        <f>F28*(1+$E$2)</f>
        <v>206305.00000000006</v>
      </c>
      <c r="H28" s="121">
        <f>G28*(1+$E$2)</f>
        <v>226935.50000000009</v>
      </c>
    </row>
    <row r="29" spans="1:8" x14ac:dyDescent="0.3">
      <c r="A29" s="140"/>
      <c r="B29" s="10" t="s">
        <v>23</v>
      </c>
      <c r="C29" s="118">
        <v>31000</v>
      </c>
      <c r="D29" s="118">
        <f>C29*(1+D50)</f>
        <v>35650</v>
      </c>
      <c r="E29" s="118">
        <f t="shared" ref="E29:H29" si="2">D29*(1+E50)</f>
        <v>40997.5</v>
      </c>
      <c r="F29" s="118">
        <f t="shared" si="2"/>
        <v>47147.124999999993</v>
      </c>
      <c r="G29" s="118">
        <f t="shared" si="2"/>
        <v>54219.193749999984</v>
      </c>
      <c r="H29" s="121">
        <f t="shared" si="2"/>
        <v>62352.072812499973</v>
      </c>
    </row>
    <row r="30" spans="1:8" hidden="1" x14ac:dyDescent="0.3">
      <c r="A30" s="140"/>
      <c r="B30" s="10"/>
      <c r="C30" s="118"/>
      <c r="D30" s="118"/>
      <c r="E30" s="118"/>
      <c r="F30" s="118"/>
      <c r="G30" s="118"/>
      <c r="H30" s="121"/>
    </row>
    <row r="31" spans="1:8" hidden="1" x14ac:dyDescent="0.3">
      <c r="A31" s="140"/>
      <c r="B31" s="10"/>
      <c r="C31" s="118"/>
      <c r="D31" s="118"/>
      <c r="E31" s="118"/>
      <c r="F31" s="118"/>
      <c r="G31" s="118"/>
      <c r="H31" s="121"/>
    </row>
    <row r="32" spans="1:8" hidden="1" x14ac:dyDescent="0.3">
      <c r="A32" s="139"/>
      <c r="B32" s="12"/>
      <c r="C32" s="118"/>
      <c r="D32" s="118"/>
      <c r="E32" s="118"/>
      <c r="F32" s="118"/>
      <c r="G32" s="118"/>
      <c r="H32" s="121"/>
    </row>
    <row r="33" spans="1:8" x14ac:dyDescent="0.3">
      <c r="A33" s="6"/>
      <c r="B33" s="11" t="s">
        <v>24</v>
      </c>
      <c r="C33" s="118"/>
      <c r="D33" s="118">
        <f>SUM(D28:D32)</f>
        <v>190650</v>
      </c>
      <c r="E33" s="118">
        <f t="shared" ref="E33:H33" si="3">SUM(E28:E32)</f>
        <v>211497.5</v>
      </c>
      <c r="F33" s="118">
        <f>SUM(F28:F32)</f>
        <v>234697.12500000003</v>
      </c>
      <c r="G33" s="118">
        <f t="shared" si="3"/>
        <v>260524.19375000003</v>
      </c>
      <c r="H33" s="121">
        <f t="shared" si="3"/>
        <v>289287.57281250006</v>
      </c>
    </row>
    <row r="34" spans="1:8" x14ac:dyDescent="0.3">
      <c r="B34" s="13" t="s">
        <v>11</v>
      </c>
      <c r="C34" s="118"/>
      <c r="D34" s="118">
        <f>D27-D33</f>
        <v>8137374.0509522939</v>
      </c>
      <c r="E34" s="118">
        <f>E27-E33</f>
        <v>9844276.0555352718</v>
      </c>
      <c r="F34" s="118">
        <f>F27-F33</f>
        <v>11749652.980535271</v>
      </c>
      <c r="G34" s="118">
        <f>G27-G33</f>
        <v>13948670.514361737</v>
      </c>
      <c r="H34" s="121">
        <f>H27-H33</f>
        <v>16385633.259674238</v>
      </c>
    </row>
    <row r="35" spans="1:8" hidden="1" x14ac:dyDescent="0.3">
      <c r="A35" s="6"/>
      <c r="B35" s="1" t="s">
        <v>25</v>
      </c>
      <c r="C35" s="118"/>
      <c r="D35" s="118"/>
      <c r="E35" s="118"/>
      <c r="F35" s="118"/>
      <c r="G35" s="118"/>
      <c r="H35" s="121"/>
    </row>
    <row r="36" spans="1:8" hidden="1" x14ac:dyDescent="0.3">
      <c r="A36" s="6"/>
      <c r="B36" s="13" t="s">
        <v>26</v>
      </c>
      <c r="C36" s="118"/>
      <c r="D36" s="118">
        <f t="shared" ref="D36:H36" si="4">D34-D35</f>
        <v>8137374.0509522939</v>
      </c>
      <c r="E36" s="118">
        <f t="shared" si="4"/>
        <v>9844276.0555352718</v>
      </c>
      <c r="F36" s="118">
        <f t="shared" si="4"/>
        <v>11749652.980535271</v>
      </c>
      <c r="G36" s="118">
        <f t="shared" si="4"/>
        <v>13948670.514361737</v>
      </c>
      <c r="H36" s="121">
        <f t="shared" si="4"/>
        <v>16385633.259674238</v>
      </c>
    </row>
    <row r="37" spans="1:8" hidden="1" x14ac:dyDescent="0.3">
      <c r="A37" s="6"/>
      <c r="B37" s="10" t="s">
        <v>13</v>
      </c>
      <c r="C37" s="118"/>
      <c r="D37" s="118"/>
      <c r="E37" s="118"/>
      <c r="F37" s="118"/>
      <c r="G37" s="118"/>
      <c r="H37" s="121"/>
    </row>
    <row r="38" spans="1:8" hidden="1" x14ac:dyDescent="0.3">
      <c r="A38" s="6"/>
      <c r="B38" s="13" t="s">
        <v>27</v>
      </c>
      <c r="C38" s="118"/>
      <c r="D38" s="118">
        <f t="shared" ref="D38:H38" si="5">D36-D37</f>
        <v>8137374.0509522939</v>
      </c>
      <c r="E38" s="118">
        <f t="shared" si="5"/>
        <v>9844276.0555352718</v>
      </c>
      <c r="F38" s="118">
        <f t="shared" si="5"/>
        <v>11749652.980535271</v>
      </c>
      <c r="G38" s="118">
        <f t="shared" si="5"/>
        <v>13948670.514361737</v>
      </c>
      <c r="H38" s="121">
        <f t="shared" si="5"/>
        <v>16385633.259674238</v>
      </c>
    </row>
    <row r="39" spans="1:8" x14ac:dyDescent="0.3">
      <c r="A39" s="7"/>
      <c r="B39" s="10" t="s">
        <v>14</v>
      </c>
      <c r="C39" s="118"/>
      <c r="D39" s="118">
        <f>MAX(0,$B$4*D38)</f>
        <v>1708848.5506999816</v>
      </c>
      <c r="E39" s="118">
        <f>MAX(0,$B$4*E38)</f>
        <v>2067297.971662407</v>
      </c>
      <c r="F39" s="118">
        <f>MAX(0,$B$4*F38)</f>
        <v>2467427.1259124069</v>
      </c>
      <c r="G39" s="118">
        <f>MAX(0,$B$4*G38)</f>
        <v>2929220.8080159649</v>
      </c>
      <c r="H39" s="121">
        <f>MAX(0,$B$4*H38)</f>
        <v>3440982.9845315898</v>
      </c>
    </row>
    <row r="40" spans="1:8" x14ac:dyDescent="0.3">
      <c r="B40" s="14" t="s">
        <v>31</v>
      </c>
      <c r="C40" s="118"/>
      <c r="D40" s="118">
        <f>D38-D39</f>
        <v>6428525.500252312</v>
      </c>
      <c r="E40" s="118">
        <f t="shared" ref="E40:H40" si="6">E38-E39</f>
        <v>7776978.083872865</v>
      </c>
      <c r="F40" s="118">
        <f t="shared" si="6"/>
        <v>9282225.8546228632</v>
      </c>
      <c r="G40" s="118">
        <f t="shared" si="6"/>
        <v>11019449.706345772</v>
      </c>
      <c r="H40" s="121">
        <f t="shared" si="6"/>
        <v>12944650.275142647</v>
      </c>
    </row>
    <row r="41" spans="1:8" x14ac:dyDescent="0.3">
      <c r="B41" s="14" t="s">
        <v>28</v>
      </c>
      <c r="C41" s="118"/>
      <c r="D41" s="118"/>
      <c r="E41" s="118"/>
      <c r="F41" s="118"/>
      <c r="G41" s="118"/>
      <c r="H41" s="121">
        <f>H40*(1+B5)/(B3-B5)</f>
        <v>205122919.74456811</v>
      </c>
    </row>
    <row r="42" spans="1:8" x14ac:dyDescent="0.3">
      <c r="B42" s="14" t="s">
        <v>45</v>
      </c>
      <c r="C42" s="118"/>
      <c r="D42" s="118">
        <f>PV($B$3,D9,,-D40,0)</f>
        <v>5870799.543609418</v>
      </c>
      <c r="E42" s="118">
        <f>PV($B$3,E9,,-E40,0)</f>
        <v>6486085.0139679033</v>
      </c>
      <c r="F42" s="118">
        <f>PV($B$3,F9,,-F40,0)</f>
        <v>7069843.0714094192</v>
      </c>
      <c r="G42" s="118">
        <f>PV($B$3,G9,,-G40,0)</f>
        <v>7664845.9440699453</v>
      </c>
      <c r="H42" s="121">
        <f>-PV($B$3,H9,,H40+H41,0)</f>
        <v>138522553.37730968</v>
      </c>
    </row>
    <row r="44" spans="1:8" x14ac:dyDescent="0.3">
      <c r="A44" s="2" t="s">
        <v>30</v>
      </c>
      <c r="B44" s="9">
        <f>SUM(D42:H42)</f>
        <v>165614126.95036638</v>
      </c>
      <c r="E44" s="60"/>
    </row>
    <row r="48" spans="1:8" x14ac:dyDescent="0.3">
      <c r="B48" s="134" t="s">
        <v>15</v>
      </c>
      <c r="C48" s="134"/>
      <c r="D48" s="134"/>
      <c r="E48" s="134"/>
      <c r="F48" s="134"/>
      <c r="G48" s="134"/>
      <c r="H48" s="134"/>
    </row>
    <row r="49" spans="1:8" x14ac:dyDescent="0.3">
      <c r="C49" s="7" t="s">
        <v>46</v>
      </c>
      <c r="D49" s="7">
        <f>D9</f>
        <v>1</v>
      </c>
      <c r="E49" s="7">
        <f>E9</f>
        <v>2</v>
      </c>
      <c r="F49" s="7">
        <f>F9</f>
        <v>3</v>
      </c>
      <c r="G49" s="7">
        <f>G9</f>
        <v>4</v>
      </c>
      <c r="H49" s="7">
        <f>H9</f>
        <v>5</v>
      </c>
    </row>
    <row r="50" spans="1:8" x14ac:dyDescent="0.3">
      <c r="B50" t="s">
        <v>178</v>
      </c>
      <c r="C50" s="129"/>
      <c r="D50" s="130">
        <v>0.15</v>
      </c>
      <c r="E50" s="24">
        <f>D50</f>
        <v>0.15</v>
      </c>
      <c r="F50" s="24">
        <f t="shared" ref="F50:H50" si="7">E50</f>
        <v>0.15</v>
      </c>
      <c r="G50" s="24">
        <f t="shared" si="7"/>
        <v>0.15</v>
      </c>
      <c r="H50" s="24">
        <f t="shared" si="7"/>
        <v>0.15</v>
      </c>
    </row>
    <row r="51" spans="1:8" x14ac:dyDescent="0.3">
      <c r="B51" t="s">
        <v>179</v>
      </c>
      <c r="C51" s="37"/>
      <c r="D51" s="24">
        <f>D50</f>
        <v>0.15</v>
      </c>
      <c r="E51" s="24">
        <f t="shared" ref="E51:H51" si="8">E50</f>
        <v>0.15</v>
      </c>
      <c r="F51" s="24">
        <f t="shared" si="8"/>
        <v>0.15</v>
      </c>
      <c r="G51" s="24">
        <f t="shared" si="8"/>
        <v>0.15</v>
      </c>
      <c r="H51" s="24">
        <f t="shared" si="8"/>
        <v>0.15</v>
      </c>
    </row>
    <row r="52" spans="1:8" x14ac:dyDescent="0.3">
      <c r="C52" s="37"/>
      <c r="D52" s="37"/>
      <c r="E52" s="37"/>
      <c r="F52" s="37"/>
      <c r="G52" s="37"/>
      <c r="H52" s="37"/>
    </row>
    <row r="53" spans="1:8" x14ac:dyDescent="0.3">
      <c r="B53" t="s">
        <v>118</v>
      </c>
      <c r="C53" s="37"/>
      <c r="D53" s="62">
        <f>SUM('Company Growth'!D14)</f>
        <v>59383</v>
      </c>
      <c r="E53" s="62">
        <f>ROUND(D53*(1+E50),0)</f>
        <v>68290</v>
      </c>
      <c r="F53" s="62">
        <f t="shared" ref="F53:G53" si="9">ROUND(E53*(1+F50),0)</f>
        <v>78534</v>
      </c>
      <c r="G53" s="62">
        <f t="shared" si="9"/>
        <v>90314</v>
      </c>
      <c r="H53" s="62">
        <f>ROUND(G53*(1+H50),0)</f>
        <v>103861</v>
      </c>
    </row>
    <row r="54" spans="1:8" x14ac:dyDescent="0.3">
      <c r="B54" t="s">
        <v>91</v>
      </c>
      <c r="C54" s="37"/>
      <c r="D54" s="61">
        <f>D27/D17</f>
        <v>0.9859950102915056</v>
      </c>
      <c r="E54" s="61">
        <f>E27/E17</f>
        <v>0.98175123483530902</v>
      </c>
      <c r="F54" s="61">
        <f>F27/F17</f>
        <v>0.98408328779578846</v>
      </c>
      <c r="G54" s="61">
        <f>G27/G17</f>
        <v>0.98500516100636282</v>
      </c>
      <c r="H54" s="61">
        <f>H27/H17</f>
        <v>0.98673505982156229</v>
      </c>
    </row>
    <row r="55" spans="1:8" x14ac:dyDescent="0.3">
      <c r="C55" s="37"/>
      <c r="D55" s="37"/>
      <c r="E55" s="37"/>
      <c r="F55" s="37"/>
      <c r="G55" s="37"/>
      <c r="H55" s="37"/>
    </row>
    <row r="56" spans="1:8" x14ac:dyDescent="0.3">
      <c r="B56" s="1" t="s">
        <v>218</v>
      </c>
      <c r="C56" s="7" t="s">
        <v>46</v>
      </c>
      <c r="D56" s="7">
        <f>D49</f>
        <v>1</v>
      </c>
      <c r="E56" s="7">
        <f t="shared" ref="E56:H56" si="10">E49</f>
        <v>2</v>
      </c>
      <c r="F56" s="7">
        <f t="shared" si="10"/>
        <v>3</v>
      </c>
      <c r="G56" s="7">
        <f t="shared" si="10"/>
        <v>4</v>
      </c>
      <c r="H56" s="7">
        <f t="shared" si="10"/>
        <v>5</v>
      </c>
    </row>
    <row r="57" spans="1:8" x14ac:dyDescent="0.3">
      <c r="A57" s="138" t="s">
        <v>228</v>
      </c>
      <c r="B57" s="122" t="s">
        <v>221</v>
      </c>
      <c r="C57" s="127"/>
      <c r="D57" s="127">
        <v>1</v>
      </c>
      <c r="E57" s="127">
        <v>4</v>
      </c>
      <c r="F57" s="127">
        <v>4</v>
      </c>
      <c r="G57" s="127">
        <v>4</v>
      </c>
      <c r="H57" s="127">
        <v>4</v>
      </c>
    </row>
    <row r="58" spans="1:8" x14ac:dyDescent="0.3">
      <c r="A58" s="140"/>
      <c r="B58" s="124" t="s">
        <v>219</v>
      </c>
      <c r="C58" s="37"/>
      <c r="D58" s="37"/>
      <c r="E58" s="37">
        <v>1</v>
      </c>
      <c r="F58" s="37">
        <v>1</v>
      </c>
      <c r="G58" s="37">
        <v>2</v>
      </c>
      <c r="H58" s="37">
        <v>2</v>
      </c>
    </row>
    <row r="59" spans="1:8" x14ac:dyDescent="0.3">
      <c r="A59" s="139"/>
      <c r="B59" s="125" t="s">
        <v>267</v>
      </c>
      <c r="C59" s="128"/>
      <c r="D59" s="128"/>
      <c r="E59" s="128">
        <v>2</v>
      </c>
      <c r="F59" s="128">
        <v>2</v>
      </c>
      <c r="G59" s="128">
        <v>2</v>
      </c>
      <c r="H59" s="128">
        <v>2</v>
      </c>
    </row>
    <row r="60" spans="1:8" x14ac:dyDescent="0.3">
      <c r="C60" s="7" t="s">
        <v>46</v>
      </c>
      <c r="D60" s="7">
        <f>D49</f>
        <v>1</v>
      </c>
      <c r="E60" s="7">
        <f t="shared" ref="E60:H60" si="11">E49</f>
        <v>2</v>
      </c>
      <c r="F60" s="7">
        <f t="shared" si="11"/>
        <v>3</v>
      </c>
      <c r="G60" s="7">
        <f t="shared" si="11"/>
        <v>4</v>
      </c>
      <c r="H60" s="7">
        <f t="shared" si="11"/>
        <v>5</v>
      </c>
    </row>
    <row r="61" spans="1:8" x14ac:dyDescent="0.3">
      <c r="B61" s="1" t="s">
        <v>227</v>
      </c>
      <c r="D61" s="37">
        <v>30</v>
      </c>
      <c r="E61" s="37">
        <v>1000</v>
      </c>
      <c r="F61" s="37">
        <v>1000</v>
      </c>
      <c r="G61" s="37">
        <v>1000</v>
      </c>
      <c r="H61" s="37">
        <v>1000</v>
      </c>
    </row>
    <row r="62" spans="1:8" x14ac:dyDescent="0.3">
      <c r="A62" s="138" t="s">
        <v>226</v>
      </c>
      <c r="B62" s="122" t="s">
        <v>221</v>
      </c>
      <c r="C62" s="123"/>
      <c r="D62" s="127">
        <f>D57*D$61</f>
        <v>30</v>
      </c>
      <c r="E62" s="127">
        <f t="shared" ref="E62:H62" si="12">E57*E$61</f>
        <v>4000</v>
      </c>
      <c r="F62" s="127">
        <f t="shared" si="12"/>
        <v>4000</v>
      </c>
      <c r="G62" s="127">
        <f t="shared" si="12"/>
        <v>4000</v>
      </c>
      <c r="H62" s="127">
        <f t="shared" si="12"/>
        <v>4000</v>
      </c>
    </row>
    <row r="63" spans="1:8" x14ac:dyDescent="0.3">
      <c r="A63" s="140"/>
      <c r="B63" s="124" t="s">
        <v>219</v>
      </c>
      <c r="D63" s="37">
        <f t="shared" ref="D63:H63" si="13">D58*D$61</f>
        <v>0</v>
      </c>
      <c r="E63" s="37">
        <f t="shared" si="13"/>
        <v>1000</v>
      </c>
      <c r="F63" s="37">
        <f t="shared" si="13"/>
        <v>1000</v>
      </c>
      <c r="G63" s="37">
        <f t="shared" si="13"/>
        <v>2000</v>
      </c>
      <c r="H63" s="37">
        <f t="shared" si="13"/>
        <v>2000</v>
      </c>
    </row>
    <row r="64" spans="1:8" x14ac:dyDescent="0.3">
      <c r="A64" s="139"/>
      <c r="B64" s="125" t="s">
        <v>267</v>
      </c>
      <c r="C64" s="126"/>
      <c r="D64" s="128">
        <f t="shared" ref="D64:H64" si="14">D59*D$61</f>
        <v>0</v>
      </c>
      <c r="E64" s="128">
        <f t="shared" si="14"/>
        <v>2000</v>
      </c>
      <c r="F64" s="128">
        <f t="shared" si="14"/>
        <v>2000</v>
      </c>
      <c r="G64" s="128">
        <f t="shared" si="14"/>
        <v>2000</v>
      </c>
      <c r="H64" s="128">
        <f t="shared" si="14"/>
        <v>2000</v>
      </c>
    </row>
    <row r="65" spans="1:10" x14ac:dyDescent="0.3">
      <c r="D65" s="7">
        <f>D49</f>
        <v>1</v>
      </c>
      <c r="E65" s="7">
        <f t="shared" ref="E65:H65" si="15">E49</f>
        <v>2</v>
      </c>
      <c r="F65" s="7">
        <f t="shared" si="15"/>
        <v>3</v>
      </c>
      <c r="G65" s="7">
        <f t="shared" si="15"/>
        <v>4</v>
      </c>
      <c r="H65" s="7">
        <f t="shared" si="15"/>
        <v>5</v>
      </c>
    </row>
    <row r="66" spans="1:10" x14ac:dyDescent="0.3">
      <c r="A66" s="146" t="s">
        <v>229</v>
      </c>
      <c r="B66" s="122" t="s">
        <v>221</v>
      </c>
      <c r="C66" s="123"/>
      <c r="D66" s="127">
        <f>D62</f>
        <v>30</v>
      </c>
      <c r="E66" s="127">
        <f>D62+E62</f>
        <v>4030</v>
      </c>
      <c r="F66" s="127">
        <f>E66+F62</f>
        <v>8030</v>
      </c>
      <c r="G66" s="127">
        <f t="shared" ref="G66:H66" si="16">F66+G62</f>
        <v>12030</v>
      </c>
      <c r="H66" s="127">
        <f t="shared" si="16"/>
        <v>16030</v>
      </c>
    </row>
    <row r="67" spans="1:10" x14ac:dyDescent="0.3">
      <c r="A67" s="147"/>
      <c r="B67" s="124" t="s">
        <v>219</v>
      </c>
      <c r="D67" s="37">
        <f t="shared" ref="D67:D68" si="17">D63</f>
        <v>0</v>
      </c>
      <c r="E67" s="37">
        <f t="shared" ref="E67:E68" si="18">D63+E63</f>
        <v>1000</v>
      </c>
      <c r="F67" s="37">
        <f t="shared" ref="F67:H68" si="19">E67+F63</f>
        <v>2000</v>
      </c>
      <c r="G67" s="37">
        <f t="shared" si="19"/>
        <v>4000</v>
      </c>
      <c r="H67" s="37">
        <f t="shared" si="19"/>
        <v>6000</v>
      </c>
    </row>
    <row r="68" spans="1:10" x14ac:dyDescent="0.3">
      <c r="A68" s="148"/>
      <c r="B68" s="125" t="s">
        <v>267</v>
      </c>
      <c r="C68" s="126"/>
      <c r="D68" s="128">
        <f t="shared" si="17"/>
        <v>0</v>
      </c>
      <c r="E68" s="128">
        <f t="shared" si="18"/>
        <v>2000</v>
      </c>
      <c r="F68" s="128">
        <f t="shared" si="19"/>
        <v>4000</v>
      </c>
      <c r="G68" s="128">
        <f t="shared" si="19"/>
        <v>6000</v>
      </c>
      <c r="H68" s="128">
        <f t="shared" si="19"/>
        <v>8000</v>
      </c>
    </row>
    <row r="72" spans="1:10" ht="15" thickBot="1" x14ac:dyDescent="0.35">
      <c r="B72" s="21" t="s">
        <v>34</v>
      </c>
      <c r="C72" s="21"/>
    </row>
    <row r="73" spans="1:10" ht="15" thickBot="1" x14ac:dyDescent="0.35">
      <c r="D73" s="135" t="s">
        <v>114</v>
      </c>
      <c r="E73" s="136"/>
      <c r="F73" s="136"/>
      <c r="G73" s="136"/>
      <c r="H73" s="137"/>
      <c r="I73" s="1"/>
      <c r="J73" s="1"/>
    </row>
    <row r="74" spans="1:10" ht="15" thickBot="1" x14ac:dyDescent="0.35">
      <c r="C74" s="9">
        <f>B44</f>
        <v>165614126.95036638</v>
      </c>
      <c r="D74" s="20">
        <v>0</v>
      </c>
      <c r="E74" s="20">
        <v>2.5000000000000001E-2</v>
      </c>
      <c r="F74" s="20">
        <v>0.05</v>
      </c>
      <c r="G74" s="20">
        <v>7.4999999999999997E-2</v>
      </c>
      <c r="H74" s="20">
        <v>0.1</v>
      </c>
      <c r="I74" s="24"/>
      <c r="J74" s="24"/>
    </row>
    <row r="75" spans="1:10" ht="15" thickTop="1" x14ac:dyDescent="0.3">
      <c r="B75" s="141" t="s">
        <v>32</v>
      </c>
      <c r="C75" s="3">
        <v>0.01</v>
      </c>
      <c r="D75" s="15">
        <f t="dataTable" ref="D75:H104" dt2D="1" dtr="1" r1="B5" r2="B3"/>
        <v>1277271542.4211457</v>
      </c>
      <c r="E75" s="15">
        <v>-795547707.8269794</v>
      </c>
      <c r="F75" s="15">
        <v>-277342895.26494825</v>
      </c>
      <c r="G75" s="15">
        <v>-157757169.2890949</v>
      </c>
      <c r="H75" s="15">
        <v>-104607957.74427119</v>
      </c>
      <c r="I75" s="23"/>
      <c r="J75" s="23"/>
    </row>
    <row r="76" spans="1:10" x14ac:dyDescent="0.3">
      <c r="B76" s="142"/>
      <c r="C76" s="3">
        <v>0.02</v>
      </c>
      <c r="D76" s="15">
        <v>630529828.13379478</v>
      </c>
      <c r="E76" s="15">
        <v>-2358627645.9133883</v>
      </c>
      <c r="F76" s="15">
        <v>-365855996.54859984</v>
      </c>
      <c r="G76" s="15">
        <v>-184694937.51543722</v>
      </c>
      <c r="H76" s="15">
        <v>-116759540.37800123</v>
      </c>
      <c r="I76" s="23"/>
      <c r="J76" s="23"/>
    </row>
    <row r="77" spans="1:10" x14ac:dyDescent="0.3">
      <c r="B77" s="142"/>
      <c r="C77" s="3">
        <v>0.03</v>
      </c>
      <c r="D77" s="15">
        <v>415162096.62035543</v>
      </c>
      <c r="E77" s="15">
        <v>2331713598.7212181</v>
      </c>
      <c r="F77" s="15">
        <v>-543113654.43007517</v>
      </c>
      <c r="G77" s="15">
        <v>-223688404.07993174</v>
      </c>
      <c r="H77" s="15">
        <v>-132424046.83703355</v>
      </c>
      <c r="I77" s="23"/>
      <c r="J77" s="23"/>
    </row>
    <row r="78" spans="1:10" x14ac:dyDescent="0.3">
      <c r="B78" s="142"/>
      <c r="C78" s="3">
        <v>0.04</v>
      </c>
      <c r="D78" s="15">
        <v>307629781.17201519</v>
      </c>
      <c r="E78" s="15">
        <v>768615096.93240023</v>
      </c>
      <c r="F78" s="15">
        <v>-1075326166.1091392</v>
      </c>
      <c r="G78" s="15">
        <v>-285065624.80562258</v>
      </c>
      <c r="H78" s="15">
        <v>-153355534.58836967</v>
      </c>
      <c r="I78" s="23"/>
      <c r="J78" s="23"/>
    </row>
    <row r="79" spans="1:10" x14ac:dyDescent="0.3">
      <c r="B79" s="142"/>
      <c r="C79" s="3">
        <v>0.05</v>
      </c>
      <c r="D79" s="15">
        <v>243225561.21278858</v>
      </c>
      <c r="E79" s="15">
        <v>456194082.55417877</v>
      </c>
      <c r="F79" s="15" t="e">
        <v>#DIV/0!</v>
      </c>
      <c r="G79" s="15">
        <v>-395680002.81138206</v>
      </c>
      <c r="H79" s="15">
        <v>-182711481.46999183</v>
      </c>
      <c r="I79" s="23"/>
      <c r="J79" s="23"/>
    </row>
    <row r="80" spans="1:10" x14ac:dyDescent="0.3">
      <c r="B80" s="142"/>
      <c r="C80" s="3">
        <v>0.06</v>
      </c>
      <c r="D80" s="15">
        <v>200380634.17579368</v>
      </c>
      <c r="E80" s="15">
        <v>322434257.05060202</v>
      </c>
      <c r="F80" s="15">
        <v>1054755994.2994527</v>
      </c>
      <c r="G80" s="15">
        <v>-653994725.94786465</v>
      </c>
      <c r="H80" s="15">
        <v>-226807045.88603547</v>
      </c>
      <c r="I80" s="23"/>
      <c r="J80" s="23"/>
    </row>
    <row r="81" spans="2:10" x14ac:dyDescent="0.3">
      <c r="B81" s="142"/>
      <c r="C81" s="3">
        <v>7.0000000000000007E-2</v>
      </c>
      <c r="D81" s="15">
        <v>169851470.19561282</v>
      </c>
      <c r="E81" s="15">
        <v>248223023.3957167</v>
      </c>
      <c r="F81" s="15">
        <v>522523459.59608012</v>
      </c>
      <c r="G81" s="15">
        <v>-1946180466.207195</v>
      </c>
      <c r="H81" s="15">
        <v>-300377849.00501037</v>
      </c>
      <c r="I81" s="23"/>
      <c r="J81" s="23"/>
    </row>
    <row r="82" spans="2:10" x14ac:dyDescent="0.3">
      <c r="B82" s="142"/>
      <c r="C82" s="3">
        <v>0.08</v>
      </c>
      <c r="D82" s="15">
        <v>147016502.03160533</v>
      </c>
      <c r="E82" s="15">
        <v>201075375.46708462</v>
      </c>
      <c r="F82" s="15">
        <v>345232371.29502958</v>
      </c>
      <c r="G82" s="15">
        <v>1930959325.4024215</v>
      </c>
      <c r="H82" s="15">
        <v>-447631105.75866729</v>
      </c>
      <c r="I82" s="23"/>
      <c r="J82" s="23"/>
    </row>
    <row r="83" spans="2:10" x14ac:dyDescent="0.3">
      <c r="B83" s="142"/>
      <c r="C83" s="3">
        <v>0.09</v>
      </c>
      <c r="D83" s="15">
        <v>129308356.05647345</v>
      </c>
      <c r="E83" s="15">
        <v>168497275.36099675</v>
      </c>
      <c r="F83" s="15">
        <v>256672343.79617429</v>
      </c>
      <c r="G83" s="15">
        <v>638764307.01527667</v>
      </c>
      <c r="H83" s="15">
        <v>-889603545.86113262</v>
      </c>
      <c r="I83" s="23"/>
      <c r="J83" s="23"/>
    </row>
    <row r="84" spans="2:10" x14ac:dyDescent="0.3">
      <c r="B84" s="142"/>
      <c r="C84" s="3">
        <v>0.1</v>
      </c>
      <c r="D84" s="15">
        <v>115186745.48533186</v>
      </c>
      <c r="E84" s="15">
        <v>144658329.81179205</v>
      </c>
      <c r="F84" s="15">
        <v>203601498.46471244</v>
      </c>
      <c r="G84" s="15">
        <v>380431004.42347348</v>
      </c>
      <c r="H84" s="15" t="e">
        <v>#DIV/0!</v>
      </c>
      <c r="I84" s="23"/>
      <c r="J84" s="23"/>
    </row>
    <row r="85" spans="2:10" x14ac:dyDescent="0.3">
      <c r="B85" s="142"/>
      <c r="C85" s="3">
        <v>0.11</v>
      </c>
      <c r="D85" s="15">
        <v>103671604.35445793</v>
      </c>
      <c r="E85" s="15">
        <v>126471989.91008957</v>
      </c>
      <c r="F85" s="15">
        <v>168272696.76208091</v>
      </c>
      <c r="G85" s="15">
        <v>269788699.11691695</v>
      </c>
      <c r="H85" s="15">
        <v>878884713.24593377</v>
      </c>
      <c r="I85" s="23"/>
      <c r="J85" s="23"/>
    </row>
    <row r="86" spans="2:10" x14ac:dyDescent="0.3">
      <c r="B86" s="142"/>
      <c r="C86" s="3">
        <v>0.12</v>
      </c>
      <c r="D86" s="15">
        <v>94109655.091731623</v>
      </c>
      <c r="E86" s="15">
        <v>112151414.78837144</v>
      </c>
      <c r="F86" s="15">
        <v>143080145.69689688</v>
      </c>
      <c r="G86" s="15">
        <v>208374133.17045048</v>
      </c>
      <c r="H86" s="15">
        <v>436903089.32788849</v>
      </c>
      <c r="I86" s="23"/>
      <c r="J86" s="23"/>
    </row>
    <row r="87" spans="2:10" x14ac:dyDescent="0.3">
      <c r="B87" s="142"/>
      <c r="C87" s="3">
        <v>0.13</v>
      </c>
      <c r="D87" s="15">
        <v>86048714.622655213</v>
      </c>
      <c r="E87" s="15">
        <v>100590556.58088264</v>
      </c>
      <c r="F87" s="15">
        <v>124221049.76300225</v>
      </c>
      <c r="G87" s="15">
        <v>169333809.4743214</v>
      </c>
      <c r="H87" s="15">
        <v>289634502.03783935</v>
      </c>
      <c r="I87" s="23"/>
      <c r="J87" s="23"/>
    </row>
    <row r="88" spans="2:10" x14ac:dyDescent="0.3">
      <c r="B88" s="142"/>
      <c r="C88" s="3">
        <v>0.14000000000000001</v>
      </c>
      <c r="D88" s="15">
        <v>79165869.706073523</v>
      </c>
      <c r="E88" s="15">
        <v>91068158.016205385</v>
      </c>
      <c r="F88" s="15">
        <v>109582828.72085497</v>
      </c>
      <c r="G88" s="15">
        <v>142339553.8136965</v>
      </c>
      <c r="H88" s="15">
        <v>216042185.27259004</v>
      </c>
      <c r="I88" s="23"/>
      <c r="J88" s="23"/>
    </row>
    <row r="89" spans="2:10" x14ac:dyDescent="0.3">
      <c r="B89" s="142"/>
      <c r="C89" s="3">
        <v>0.15</v>
      </c>
      <c r="D89" s="15">
        <v>73224382.493446946</v>
      </c>
      <c r="E89" s="15">
        <v>83093831.534883916</v>
      </c>
      <c r="F89" s="15">
        <v>97898005.097039402</v>
      </c>
      <c r="G89" s="15">
        <v>122571627.70063184</v>
      </c>
      <c r="H89" s="15">
        <v>171918872.90781683</v>
      </c>
      <c r="I89" s="23"/>
      <c r="J89" s="23"/>
    </row>
    <row r="90" spans="2:10" x14ac:dyDescent="0.3">
      <c r="B90" s="142"/>
      <c r="C90" s="3">
        <v>0.16</v>
      </c>
      <c r="D90" s="15">
        <v>68046756.811350882</v>
      </c>
      <c r="E90" s="15">
        <v>76322548.0021635</v>
      </c>
      <c r="F90" s="15">
        <v>88360062.461527333</v>
      </c>
      <c r="G90" s="15">
        <v>107478467.77934045</v>
      </c>
      <c r="H90" s="15">
        <v>142528877.52866453</v>
      </c>
      <c r="I90" s="23"/>
      <c r="J90" s="23"/>
    </row>
    <row r="91" spans="2:10" x14ac:dyDescent="0.3">
      <c r="B91" s="142"/>
      <c r="C91" s="3">
        <v>0.17</v>
      </c>
      <c r="D91" s="15">
        <v>63497310.728191987</v>
      </c>
      <c r="E91" s="15">
        <v>70504509.670300752</v>
      </c>
      <c r="F91" s="15">
        <v>80431374.838288218</v>
      </c>
      <c r="G91" s="15">
        <v>95582905.884163752</v>
      </c>
      <c r="H91" s="15">
        <v>121556959.10566474</v>
      </c>
      <c r="I91" s="23"/>
      <c r="J91" s="23"/>
    </row>
    <row r="92" spans="2:10" x14ac:dyDescent="0.3">
      <c r="B92" s="142"/>
      <c r="C92" s="3">
        <v>0.18</v>
      </c>
      <c r="D92" s="15">
        <v>59470558.496562593</v>
      </c>
      <c r="E92" s="15">
        <v>65454427.38651666</v>
      </c>
      <c r="F92" s="15">
        <v>73739784.311068445</v>
      </c>
      <c r="G92" s="15">
        <v>85970549.294930577</v>
      </c>
      <c r="H92" s="15">
        <v>105845542.39370659</v>
      </c>
      <c r="I92" s="23"/>
      <c r="J92" s="23"/>
    </row>
    <row r="93" spans="2:10" x14ac:dyDescent="0.3">
      <c r="B93" s="142"/>
      <c r="C93" s="3">
        <v>0.19</v>
      </c>
      <c r="D93" s="15">
        <v>55883261.557445556</v>
      </c>
      <c r="E93" s="15">
        <v>61031969.925044864</v>
      </c>
      <c r="F93" s="15">
        <v>68019502.70964393</v>
      </c>
      <c r="G93" s="15">
        <v>78045093.226677358</v>
      </c>
      <c r="H93" s="15">
        <v>93640456.253173828</v>
      </c>
      <c r="I93" s="23"/>
      <c r="J93" s="23"/>
    </row>
    <row r="94" spans="2:10" x14ac:dyDescent="0.3">
      <c r="B94" s="142"/>
      <c r="C94" s="3">
        <v>0.2</v>
      </c>
      <c r="D94" s="15">
        <v>52668864.41945412</v>
      </c>
      <c r="E94" s="15">
        <v>57128916.578725219</v>
      </c>
      <c r="F94" s="15">
        <v>63075652.791086674</v>
      </c>
      <c r="G94" s="15">
        <v>71401083.488392726</v>
      </c>
      <c r="H94" s="15">
        <v>83889229.534351796</v>
      </c>
      <c r="I94" s="23"/>
      <c r="J94" s="23"/>
    </row>
    <row r="95" spans="2:10" x14ac:dyDescent="0.3">
      <c r="B95" s="142"/>
      <c r="C95" s="3">
        <v>0.21</v>
      </c>
      <c r="D95" s="15">
        <v>49773520.441575214</v>
      </c>
      <c r="E95" s="15">
        <v>53660476.62878827</v>
      </c>
      <c r="F95" s="15">
        <v>58762106.624505423</v>
      </c>
      <c r="G95" s="15">
        <v>65753229.211228907</v>
      </c>
      <c r="H95" s="15">
        <v>75922134.791917637</v>
      </c>
      <c r="I95" s="23"/>
      <c r="J95" s="23"/>
    </row>
    <row r="96" spans="2:10" x14ac:dyDescent="0.3">
      <c r="B96" s="142"/>
      <c r="C96" s="3">
        <v>0.22</v>
      </c>
      <c r="D96" s="15">
        <v>47153201.629527733</v>
      </c>
      <c r="E96" s="15">
        <v>50559279.879240647</v>
      </c>
      <c r="F96" s="15">
        <v>54967145.849457368</v>
      </c>
      <c r="G96" s="15">
        <v>60894965.602507427</v>
      </c>
      <c r="H96" s="15">
        <v>69292710.252661705</v>
      </c>
      <c r="I96" s="23"/>
      <c r="J96" s="23"/>
    </row>
    <row r="97" spans="2:10" x14ac:dyDescent="0.3">
      <c r="B97" s="142"/>
      <c r="C97" s="3">
        <v>0.23</v>
      </c>
      <c r="D97" s="15">
        <v>44771562.518489838</v>
      </c>
      <c r="E97" s="15">
        <v>47771126.175302491</v>
      </c>
      <c r="F97" s="15">
        <v>51603901.959007546</v>
      </c>
      <c r="G97" s="15">
        <v>56673057.027778745</v>
      </c>
      <c r="H97" s="15">
        <v>63691887.123000413</v>
      </c>
      <c r="I97" s="23"/>
      <c r="J97" s="23"/>
    </row>
    <row r="98" spans="2:10" x14ac:dyDescent="0.3">
      <c r="B98" s="142"/>
      <c r="C98" s="3">
        <v>0.24</v>
      </c>
      <c r="D98" s="15">
        <v>42598338.191516154</v>
      </c>
      <c r="E98" s="15">
        <v>45251921.204942971</v>
      </c>
      <c r="F98" s="15">
        <v>48603815.537692644</v>
      </c>
      <c r="G98" s="15">
        <v>52971435.425820991</v>
      </c>
      <c r="H98" s="15">
        <v>58898919.559709482</v>
      </c>
      <c r="I98" s="23"/>
      <c r="J98" s="23"/>
    </row>
    <row r="99" spans="2:10" x14ac:dyDescent="0.3">
      <c r="B99" s="142"/>
      <c r="C99" s="3">
        <v>0.25</v>
      </c>
      <c r="D99" s="15">
        <v>40608126.867896497</v>
      </c>
      <c r="E99" s="15">
        <v>42965429.51024729</v>
      </c>
      <c r="F99" s="15">
        <v>45912057.813185781</v>
      </c>
      <c r="G99" s="15">
        <v>49700579.916963845</v>
      </c>
      <c r="H99" s="15">
        <v>54751942.722001277</v>
      </c>
      <c r="I99" s="23"/>
      <c r="J99" s="23"/>
    </row>
    <row r="100" spans="2:10" x14ac:dyDescent="0.3">
      <c r="B100" s="142"/>
      <c r="C100" s="3">
        <v>0.26</v>
      </c>
      <c r="D100" s="15">
        <v>38779453.516560733</v>
      </c>
      <c r="E100" s="15">
        <v>40881601.277904354</v>
      </c>
      <c r="F100" s="15">
        <v>43484260.410996459</v>
      </c>
      <c r="G100" s="15">
        <v>46790340.931410752</v>
      </c>
      <c r="H100" s="15">
        <v>51129571.614454515</v>
      </c>
      <c r="I100" s="23"/>
      <c r="J100" s="23"/>
    </row>
    <row r="101" spans="2:10" x14ac:dyDescent="0.3">
      <c r="B101" s="142"/>
      <c r="C101" s="3">
        <v>0.27</v>
      </c>
      <c r="D101" s="15">
        <v>37094041.630148873</v>
      </c>
      <c r="E101" s="15">
        <v>38975308.966200501</v>
      </c>
      <c r="F101" s="15">
        <v>41284137.060445696</v>
      </c>
      <c r="G101" s="15">
        <v>44184972.358343497</v>
      </c>
      <c r="H101" s="15">
        <v>47938994.508564182</v>
      </c>
      <c r="I101" s="23"/>
      <c r="J101" s="23"/>
    </row>
    <row r="102" spans="2:10" x14ac:dyDescent="0.3">
      <c r="B102" s="142"/>
      <c r="C102" s="3">
        <v>0.28000000000000003</v>
      </c>
      <c r="D102" s="15">
        <v>35536241.11423789</v>
      </c>
      <c r="E102" s="15">
        <v>37225381.259333059</v>
      </c>
      <c r="F102" s="15">
        <v>39281725.783796743</v>
      </c>
      <c r="G102" s="15">
        <v>41839617.753251567</v>
      </c>
      <c r="H102" s="15">
        <v>45108035.269777179</v>
      </c>
      <c r="I102" s="23"/>
      <c r="J102" s="23"/>
    </row>
    <row r="103" spans="2:10" x14ac:dyDescent="0.3">
      <c r="B103" s="142"/>
      <c r="C103" s="3">
        <v>0.28999999999999998</v>
      </c>
      <c r="D103" s="15">
        <v>34092574.604019709</v>
      </c>
      <c r="E103" s="15">
        <v>35613855.80529134</v>
      </c>
      <c r="F103" s="15">
        <v>37452070.590161234</v>
      </c>
      <c r="G103" s="15">
        <v>39717777.185465991</v>
      </c>
      <c r="H103" s="15">
        <v>42579722.358482525</v>
      </c>
      <c r="I103" s="23"/>
      <c r="J103" s="23"/>
    </row>
    <row r="104" spans="2:10" ht="15" thickBot="1" x14ac:dyDescent="0.35">
      <c r="B104" s="143"/>
      <c r="C104" s="3">
        <v>0.3</v>
      </c>
      <c r="D104" s="15">
        <v>32751374.571149379</v>
      </c>
      <c r="E104" s="15">
        <v>34125395.042991608</v>
      </c>
      <c r="F104" s="15">
        <v>35774219.609202281</v>
      </c>
      <c r="G104" s="15">
        <v>37789449.634570874</v>
      </c>
      <c r="H104" s="15">
        <v>40308487.166281626</v>
      </c>
      <c r="I104" s="23"/>
      <c r="J104" s="23"/>
    </row>
    <row r="108" spans="2:10" x14ac:dyDescent="0.3">
      <c r="B108" s="134" t="s">
        <v>121</v>
      </c>
      <c r="C108" s="134"/>
      <c r="D108" s="134"/>
      <c r="E108" s="134"/>
      <c r="F108" s="134"/>
      <c r="G108" s="134"/>
      <c r="H108" s="134"/>
      <c r="I108" s="134"/>
      <c r="J108" s="134"/>
    </row>
    <row r="109" spans="2:10" ht="15" thickBot="1" x14ac:dyDescent="0.35">
      <c r="D109" s="132" t="s">
        <v>122</v>
      </c>
      <c r="E109" s="133"/>
      <c r="F109" s="133"/>
      <c r="G109" s="133"/>
      <c r="H109" s="133"/>
      <c r="I109" s="133"/>
      <c r="J109" s="133"/>
    </row>
    <row r="110" spans="2:10" ht="15" thickBot="1" x14ac:dyDescent="0.35">
      <c r="C110" s="9">
        <f>B44</f>
        <v>165614126.95036638</v>
      </c>
      <c r="D110" s="20">
        <v>0</v>
      </c>
      <c r="E110" s="20">
        <v>0.1</v>
      </c>
      <c r="F110" s="20">
        <v>0.2</v>
      </c>
      <c r="G110" s="20">
        <v>0.3</v>
      </c>
      <c r="H110" s="20">
        <v>0.4</v>
      </c>
      <c r="I110" s="20">
        <v>0.5</v>
      </c>
      <c r="J110" s="20">
        <v>0.6</v>
      </c>
    </row>
    <row r="111" spans="2:10" ht="15" thickTop="1" x14ac:dyDescent="0.3">
      <c r="B111" s="141" t="s">
        <v>32</v>
      </c>
      <c r="C111" s="3">
        <v>0.01</v>
      </c>
      <c r="D111" s="15">
        <f t="dataTable" ref="D111:J140" dt2D="1" dtr="1" r1="D50" r2="B3" ca="1"/>
        <v>-355908393.10238516</v>
      </c>
      <c r="E111" s="15">
        <v>-499734120.29418671</v>
      </c>
      <c r="F111" s="15">
        <v>-689279817.23467875</v>
      </c>
      <c r="G111" s="15">
        <v>-933234196.92000663</v>
      </c>
      <c r="H111" s="15">
        <v>-1241071383.9757767</v>
      </c>
      <c r="I111" s="15">
        <v>-1623034508.8091524</v>
      </c>
      <c r="J111" s="15">
        <v>-2090012752.720027</v>
      </c>
    </row>
    <row r="112" spans="2:10" x14ac:dyDescent="0.3">
      <c r="B112" s="142"/>
      <c r="C112" s="3">
        <v>0.02</v>
      </c>
      <c r="D112" s="15">
        <v>-710129631.93033624</v>
      </c>
      <c r="E112" s="15">
        <v>-990587804.16699111</v>
      </c>
      <c r="F112" s="15">
        <v>-1359477248.3298466</v>
      </c>
      <c r="G112" s="15">
        <v>-1833539209.0027583</v>
      </c>
      <c r="H112" s="15">
        <v>-2431026347.9218884</v>
      </c>
      <c r="I112" s="15">
        <v>-3171670058.6637425</v>
      </c>
      <c r="J112" s="15">
        <v>-4076441568.7678881</v>
      </c>
    </row>
    <row r="113" spans="2:10" x14ac:dyDescent="0.3">
      <c r="B113" s="142"/>
      <c r="C113" s="3">
        <v>0.03</v>
      </c>
      <c r="D113" s="15" t="e">
        <v>#DIV/0!</v>
      </c>
      <c r="E113" s="15" t="e">
        <v>#DIV/0!</v>
      </c>
      <c r="F113" s="15" t="e">
        <v>#DIV/0!</v>
      </c>
      <c r="G113" s="15" t="e">
        <v>#DIV/0!</v>
      </c>
      <c r="H113" s="15" t="e">
        <v>#DIV/0!</v>
      </c>
      <c r="I113" s="15" t="e">
        <v>#DIV/0!</v>
      </c>
      <c r="J113" s="15" t="e">
        <v>#DIV/0!</v>
      </c>
    </row>
    <row r="114" spans="2:10" x14ac:dyDescent="0.3">
      <c r="B114" s="142"/>
      <c r="C114" s="3">
        <v>0.04</v>
      </c>
      <c r="D114" s="15">
        <v>706949251.06267345</v>
      </c>
      <c r="E114" s="15">
        <v>973846754.64568281</v>
      </c>
      <c r="F114" s="15">
        <v>1323544770.4040966</v>
      </c>
      <c r="G114" s="15">
        <v>1771598759.7847052</v>
      </c>
      <c r="H114" s="15">
        <v>2334965109.6469774</v>
      </c>
      <c r="I114" s="15">
        <v>3031968713.056807</v>
      </c>
      <c r="J114" s="15">
        <v>3882077240.0607667</v>
      </c>
    </row>
    <row r="115" spans="2:10" x14ac:dyDescent="0.3">
      <c r="B115" s="142"/>
      <c r="C115" s="3">
        <v>0.05</v>
      </c>
      <c r="D115" s="15">
        <v>352724804.85284054</v>
      </c>
      <c r="E115" s="15">
        <v>482976216.41870874</v>
      </c>
      <c r="F115" s="15">
        <v>653310037.1776557</v>
      </c>
      <c r="G115" s="15">
        <v>871227616.99358416</v>
      </c>
      <c r="H115" s="15">
        <v>1144905070.4602652</v>
      </c>
      <c r="I115" s="15">
        <v>1483177136.7569048</v>
      </c>
      <c r="J115" s="15">
        <v>1895427408.0412648</v>
      </c>
    </row>
    <row r="116" spans="2:10" x14ac:dyDescent="0.3">
      <c r="B116" s="142"/>
      <c r="C116" s="3">
        <v>0.06</v>
      </c>
      <c r="D116" s="15">
        <v>234668792.39160204</v>
      </c>
      <c r="E116" s="15">
        <v>319451595.18673664</v>
      </c>
      <c r="F116" s="15">
        <v>430114582.17328548</v>
      </c>
      <c r="G116" s="15">
        <v>571482670.8790952</v>
      </c>
      <c r="H116" s="15">
        <v>748814282.16844571</v>
      </c>
      <c r="I116" s="15">
        <v>967790627.59163499</v>
      </c>
      <c r="J116" s="15">
        <v>1234444507.8092358</v>
      </c>
    </row>
    <row r="117" spans="2:10" x14ac:dyDescent="0.3">
      <c r="B117" s="142"/>
      <c r="C117" s="3">
        <v>7.0000000000000007E-2</v>
      </c>
      <c r="D117" s="15">
        <v>175654201.28103542</v>
      </c>
      <c r="E117" s="15">
        <v>237759842.83876231</v>
      </c>
      <c r="F117" s="15">
        <v>318670965.94864625</v>
      </c>
      <c r="G117" s="15">
        <v>421880140.87161434</v>
      </c>
      <c r="H117" s="15">
        <v>551193371.85564721</v>
      </c>
      <c r="I117" s="15">
        <v>710722099.0036912</v>
      </c>
      <c r="J117" s="15">
        <v>904831222.95451748</v>
      </c>
    </row>
    <row r="118" spans="2:10" x14ac:dyDescent="0.3">
      <c r="B118" s="142"/>
      <c r="C118" s="3">
        <v>0.08</v>
      </c>
      <c r="D118" s="15">
        <v>140255661.28153318</v>
      </c>
      <c r="E118" s="15">
        <v>188798519.19805282</v>
      </c>
      <c r="F118" s="15">
        <v>251922078.07203054</v>
      </c>
      <c r="G118" s="15">
        <v>332323943.94474852</v>
      </c>
      <c r="H118" s="15">
        <v>432943539.76449972</v>
      </c>
      <c r="I118" s="15">
        <v>556955736.52025783</v>
      </c>
      <c r="J118" s="15">
        <v>707730369.01723409</v>
      </c>
    </row>
    <row r="119" spans="2:10" x14ac:dyDescent="0.3">
      <c r="B119" s="142"/>
      <c r="C119" s="3">
        <v>0.09</v>
      </c>
      <c r="D119" s="15">
        <v>116664740.68688919</v>
      </c>
      <c r="E119" s="15">
        <v>156200275.80292034</v>
      </c>
      <c r="F119" s="15">
        <v>207515841.42542547</v>
      </c>
      <c r="G119" s="15">
        <v>272782574.76026869</v>
      </c>
      <c r="H119" s="15">
        <v>354366019.81238914</v>
      </c>
      <c r="I119" s="15">
        <v>454820845.11067045</v>
      </c>
      <c r="J119" s="15">
        <v>576857984.83747554</v>
      </c>
    </row>
    <row r="120" spans="2:10" x14ac:dyDescent="0.3">
      <c r="B120" s="142"/>
      <c r="C120" s="3">
        <v>0.1</v>
      </c>
      <c r="D120" s="15">
        <v>99820703.06970486</v>
      </c>
      <c r="E120" s="15">
        <v>132950639.93805693</v>
      </c>
      <c r="F120" s="15">
        <v>175873028.53143361</v>
      </c>
      <c r="G120" s="15">
        <v>230385805.39773661</v>
      </c>
      <c r="H120" s="15">
        <v>298447720.93633962</v>
      </c>
      <c r="I120" s="15">
        <v>382173833.57592708</v>
      </c>
      <c r="J120" s="15">
        <v>483808068.74775171</v>
      </c>
    </row>
    <row r="121" spans="2:10" x14ac:dyDescent="0.3">
      <c r="B121" s="142"/>
      <c r="C121" s="3">
        <v>0.11</v>
      </c>
      <c r="D121" s="15">
        <v>87193196.564072892</v>
      </c>
      <c r="E121" s="15">
        <v>115542461.14966837</v>
      </c>
      <c r="F121" s="15">
        <v>152204216.7759065</v>
      </c>
      <c r="G121" s="15">
        <v>198698862.33868599</v>
      </c>
      <c r="H121" s="15">
        <v>256682640.72934273</v>
      </c>
      <c r="I121" s="15">
        <v>327943715.59774965</v>
      </c>
      <c r="J121" s="15">
        <v>414378769.6984967</v>
      </c>
    </row>
    <row r="122" spans="2:10" x14ac:dyDescent="0.3">
      <c r="B122" s="142"/>
      <c r="C122" s="3">
        <v>0.12</v>
      </c>
      <c r="D122" s="15">
        <v>77376483.704843119</v>
      </c>
      <c r="E122" s="15">
        <v>102027393.82984924</v>
      </c>
      <c r="F122" s="15">
        <v>133848774.40993375</v>
      </c>
      <c r="G122" s="15">
        <v>174147153.79604891</v>
      </c>
      <c r="H122" s="15">
        <v>224345672.66806149</v>
      </c>
      <c r="I122" s="15">
        <v>285980614.11208522</v>
      </c>
      <c r="J122" s="15">
        <v>360681123.3834362</v>
      </c>
    </row>
    <row r="123" spans="2:10" x14ac:dyDescent="0.3">
      <c r="B123" s="142"/>
      <c r="C123" s="3">
        <v>0.13</v>
      </c>
      <c r="D123" s="15">
        <v>69527133.427938923</v>
      </c>
      <c r="E123" s="15">
        <v>91236490.590500206</v>
      </c>
      <c r="F123" s="15">
        <v>119210455.71518123</v>
      </c>
      <c r="G123" s="15">
        <v>154586162.02009994</v>
      </c>
      <c r="H123" s="15">
        <v>198602131.21311295</v>
      </c>
      <c r="I123" s="15">
        <v>252595166.37199101</v>
      </c>
      <c r="J123" s="15">
        <v>317982551.42401934</v>
      </c>
    </row>
    <row r="124" spans="2:10" x14ac:dyDescent="0.3">
      <c r="B124" s="142"/>
      <c r="C124" s="3">
        <v>0.14000000000000001</v>
      </c>
      <c r="D124" s="15">
        <v>63108426.578893907</v>
      </c>
      <c r="E124" s="15">
        <v>82425926.80767104</v>
      </c>
      <c r="F124" s="15">
        <v>107273581.26141725</v>
      </c>
      <c r="G124" s="15">
        <v>138651395.49107963</v>
      </c>
      <c r="H124" s="15">
        <v>177648446.87594801</v>
      </c>
      <c r="I124" s="15">
        <v>225440074.46188784</v>
      </c>
      <c r="J124" s="15">
        <v>283272092.21192646</v>
      </c>
    </row>
    <row r="125" spans="2:10" x14ac:dyDescent="0.3">
      <c r="B125" s="142"/>
      <c r="C125" s="3">
        <v>0.15</v>
      </c>
      <c r="D125" s="15">
        <v>57762558.712410055</v>
      </c>
      <c r="E125" s="15">
        <v>75099863.132123649</v>
      </c>
      <c r="F125" s="15">
        <v>97361128.570732936</v>
      </c>
      <c r="G125" s="15">
        <v>125433365.97739267</v>
      </c>
      <c r="H125" s="15">
        <v>160282515.29794639</v>
      </c>
      <c r="I125" s="15">
        <v>202950882.87201118</v>
      </c>
      <c r="J125" s="15">
        <v>254543019.6401512</v>
      </c>
    </row>
    <row r="126" spans="2:10" x14ac:dyDescent="0.3">
      <c r="B126" s="142"/>
      <c r="C126" s="3">
        <v>0.16</v>
      </c>
      <c r="D126" s="15">
        <v>53241826.253583036</v>
      </c>
      <c r="E126" s="15">
        <v>68915063.966289356</v>
      </c>
      <c r="F126" s="15">
        <v>89004473.69809629</v>
      </c>
      <c r="G126" s="15">
        <v>114302576.99706373</v>
      </c>
      <c r="H126" s="15">
        <v>145672348.06343153</v>
      </c>
      <c r="I126" s="15">
        <v>184044860.69276291</v>
      </c>
      <c r="J126" s="15">
        <v>230406563.68303996</v>
      </c>
    </row>
    <row r="127" spans="2:10" x14ac:dyDescent="0.3">
      <c r="B127" s="142"/>
      <c r="C127" s="3">
        <v>0.17</v>
      </c>
      <c r="D127" s="15">
        <v>49369304.337075002</v>
      </c>
      <c r="E127" s="15">
        <v>63626393.909206606</v>
      </c>
      <c r="F127" s="15">
        <v>81868958.235777885</v>
      </c>
      <c r="G127" s="15">
        <v>104809517.91903746</v>
      </c>
      <c r="H127" s="15">
        <v>133223874.28012225</v>
      </c>
      <c r="I127" s="15">
        <v>167948935.969493</v>
      </c>
      <c r="J127" s="15">
        <v>209871181.68687469</v>
      </c>
    </row>
    <row r="128" spans="2:10" x14ac:dyDescent="0.3">
      <c r="B128" s="142"/>
      <c r="C128" s="3">
        <v>0.18</v>
      </c>
      <c r="D128" s="15">
        <v>46015253.538735002</v>
      </c>
      <c r="E128" s="15">
        <v>59054115.771439262</v>
      </c>
      <c r="F128" s="15">
        <v>75709229.848022312</v>
      </c>
      <c r="G128" s="15">
        <v>96624661.01989162</v>
      </c>
      <c r="H128" s="15">
        <v>122501622.48433042</v>
      </c>
      <c r="I128" s="15">
        <v>154096457.74917382</v>
      </c>
      <c r="J128" s="15">
        <v>192210123.19105041</v>
      </c>
    </row>
    <row r="129" spans="2:10" x14ac:dyDescent="0.3">
      <c r="B129" s="142"/>
      <c r="C129" s="3">
        <v>0.19</v>
      </c>
      <c r="D129" s="15">
        <v>43082374.107123286</v>
      </c>
      <c r="E129" s="15">
        <v>55063451.962052576</v>
      </c>
      <c r="F129" s="15">
        <v>70341330.391579822</v>
      </c>
      <c r="G129" s="15">
        <v>89500960.158128083</v>
      </c>
      <c r="H129" s="15">
        <v>113179147.65662736</v>
      </c>
      <c r="I129" s="15">
        <v>142062673.59533089</v>
      </c>
      <c r="J129" s="15">
        <v>176878659.70511347</v>
      </c>
    </row>
    <row r="130" spans="2:10" x14ac:dyDescent="0.3">
      <c r="B130" s="142"/>
      <c r="C130" s="3">
        <v>0.2</v>
      </c>
      <c r="D130" s="15">
        <v>40496264.604940727</v>
      </c>
      <c r="E130" s="15">
        <v>51551359.614362255</v>
      </c>
      <c r="F130" s="15">
        <v>65624635.535952434</v>
      </c>
      <c r="G130" s="15">
        <v>83249585.655611336</v>
      </c>
      <c r="H130" s="15">
        <v>105006955.29936022</v>
      </c>
      <c r="I130" s="15">
        <v>131522980.81480253</v>
      </c>
      <c r="J130" s="15">
        <v>163460529.03267083</v>
      </c>
    </row>
    <row r="131" spans="2:10" x14ac:dyDescent="0.3">
      <c r="B131" s="142"/>
      <c r="C131" s="3">
        <v>0.21</v>
      </c>
      <c r="D131" s="15">
        <v>38199061.021623477</v>
      </c>
      <c r="E131" s="15">
        <v>48437714.099411838</v>
      </c>
      <c r="F131" s="15">
        <v>61449814.726144597</v>
      </c>
      <c r="G131" s="15">
        <v>77723747.939090967</v>
      </c>
      <c r="H131" s="15">
        <v>97791118.10968779</v>
      </c>
      <c r="I131" s="15">
        <v>122225094.87269005</v>
      </c>
      <c r="J131" s="15">
        <v>151632232.81488979</v>
      </c>
    </row>
    <row r="132" spans="2:10" x14ac:dyDescent="0.3">
      <c r="B132" s="142"/>
      <c r="C132" s="3">
        <v>0.22</v>
      </c>
      <c r="D132" s="15">
        <v>36145084.603222176</v>
      </c>
      <c r="E132" s="15">
        <v>45659276.777242213</v>
      </c>
      <c r="F132" s="15">
        <v>57730593.451043755</v>
      </c>
      <c r="G132" s="15">
        <v>72807629.843601674</v>
      </c>
      <c r="H132" s="15">
        <v>91378645.824654996</v>
      </c>
      <c r="I132" s="15">
        <v>113970007.54105131</v>
      </c>
      <c r="J132" s="15">
        <v>141138609.69251892</v>
      </c>
    </row>
    <row r="133" spans="2:10" x14ac:dyDescent="0.3">
      <c r="B133" s="142"/>
      <c r="C133" s="3">
        <v>0.23</v>
      </c>
      <c r="D133" s="15">
        <v>34297795.347346522</v>
      </c>
      <c r="E133" s="15">
        <v>43165472.496566683</v>
      </c>
      <c r="F133" s="15">
        <v>54397986.996604629</v>
      </c>
      <c r="G133" s="15">
        <v>68408639.521159172</v>
      </c>
      <c r="H133" s="15">
        <v>85647244.587994248</v>
      </c>
      <c r="I133" s="15">
        <v>106598658.31435272</v>
      </c>
      <c r="J133" s="15">
        <v>131775737.53392786</v>
      </c>
    </row>
    <row r="134" spans="2:10" x14ac:dyDescent="0.3">
      <c r="B134" s="142"/>
      <c r="C134" s="3">
        <v>0.24</v>
      </c>
      <c r="D134" s="15">
        <v>32627615.940467127</v>
      </c>
      <c r="E134" s="15">
        <v>40915373.588014401</v>
      </c>
      <c r="F134" s="15">
        <v>51396181.843494713</v>
      </c>
      <c r="G134" s="15">
        <v>64451877.064605564</v>
      </c>
      <c r="H134" s="15">
        <v>80498002.629820064</v>
      </c>
      <c r="I134" s="15">
        <v>99982414.617022887</v>
      </c>
      <c r="J134" s="15">
        <v>123378721.63225994</v>
      </c>
    </row>
    <row r="135" spans="2:10" x14ac:dyDescent="0.3">
      <c r="B135" s="142"/>
      <c r="C135" s="3">
        <v>0.25</v>
      </c>
      <c r="D135" s="15">
        <v>31110349.177751161</v>
      </c>
      <c r="E135" s="15">
        <v>38875506.461930946</v>
      </c>
      <c r="F135" s="15">
        <v>48679540.448137194</v>
      </c>
      <c r="G135" s="15">
        <v>60876110.463718288</v>
      </c>
      <c r="H135" s="15">
        <v>75850071.129146069</v>
      </c>
      <c r="I135" s="15">
        <v>94016148.868936032</v>
      </c>
      <c r="J135" s="15">
        <v>115812814.17974448</v>
      </c>
    </row>
    <row r="136" spans="2:10" x14ac:dyDescent="0.3">
      <c r="B136" s="142"/>
      <c r="C136" s="3">
        <v>0.26</v>
      </c>
      <c r="D136" s="15">
        <v>29726008.239531003</v>
      </c>
      <c r="E136" s="15">
        <v>37018230.448711842</v>
      </c>
      <c r="F136" s="15">
        <v>46210387.498605743</v>
      </c>
      <c r="G136" s="15">
        <v>57630801.514961466</v>
      </c>
      <c r="H136" s="15">
        <v>71636733.002936602</v>
      </c>
      <c r="I136" s="15">
        <v>88613122.020661563</v>
      </c>
      <c r="J136" s="15">
        <v>108966851.09491473</v>
      </c>
    </row>
    <row r="137" spans="2:10" x14ac:dyDescent="0.3">
      <c r="B137" s="142"/>
      <c r="C137" s="3">
        <v>0.27</v>
      </c>
      <c r="D137" s="15">
        <v>28457939.407200754</v>
      </c>
      <c r="E137" s="15">
        <v>35320521.973979034</v>
      </c>
      <c r="F137" s="15">
        <v>43957349.707076229</v>
      </c>
      <c r="G137" s="15">
        <v>54673875.433790669</v>
      </c>
      <c r="H137" s="15">
        <v>67802454.786303237</v>
      </c>
      <c r="I137" s="15">
        <v>83701146.636247635</v>
      </c>
      <c r="J137" s="15">
        <v>102748330.25782144</v>
      </c>
    </row>
    <row r="138" spans="2:10" x14ac:dyDescent="0.3">
      <c r="B138" s="142"/>
      <c r="C138" s="3">
        <v>0.28000000000000003</v>
      </c>
      <c r="D138" s="15">
        <v>27292155.334894754</v>
      </c>
      <c r="E138" s="15">
        <v>33763050.571655728</v>
      </c>
      <c r="F138" s="15">
        <v>41894094.141436905</v>
      </c>
      <c r="G138" s="15">
        <v>51970025.919928044</v>
      </c>
      <c r="H138" s="15">
        <v>64300646.317645408</v>
      </c>
      <c r="I138" s="15">
        <v>79219671.219222039</v>
      </c>
      <c r="J138" s="15">
        <v>97079671.514712662</v>
      </c>
    </row>
    <row r="139" spans="2:10" x14ac:dyDescent="0.3">
      <c r="B139" s="142"/>
      <c r="C139" s="3">
        <v>0.28999999999999998</v>
      </c>
      <c r="D139" s="15">
        <v>26216822.188318092</v>
      </c>
      <c r="E139" s="15">
        <v>32329468.160381846</v>
      </c>
      <c r="F139" s="15">
        <v>39998357.790728405</v>
      </c>
      <c r="G139" s="15">
        <v>49489411.503832862</v>
      </c>
      <c r="H139" s="15">
        <v>61091937.647613503</v>
      </c>
      <c r="I139" s="15">
        <v>75117537.727427721</v>
      </c>
      <c r="J139" s="15">
        <v>91895340.244400263</v>
      </c>
    </row>
    <row r="140" spans="2:10" ht="15" thickBot="1" x14ac:dyDescent="0.35">
      <c r="B140" s="143"/>
      <c r="C140" s="3">
        <v>0.3</v>
      </c>
      <c r="D140" s="15">
        <v>25221860.758771367</v>
      </c>
      <c r="E140" s="15">
        <v>31005856.29028118</v>
      </c>
      <c r="F140" s="15">
        <v>38251192.853749104</v>
      </c>
      <c r="G140" s="15">
        <v>47206641.72104314</v>
      </c>
      <c r="H140" s="15">
        <v>58142839.060682923</v>
      </c>
      <c r="I140" s="15">
        <v>71351237.722054362</v>
      </c>
      <c r="J140" s="15">
        <v>87139610.565391868</v>
      </c>
    </row>
  </sheetData>
  <mergeCells count="16">
    <mergeCell ref="B75:B104"/>
    <mergeCell ref="B108:J108"/>
    <mergeCell ref="D109:J109"/>
    <mergeCell ref="B111:B140"/>
    <mergeCell ref="F1:G1"/>
    <mergeCell ref="A10:A16"/>
    <mergeCell ref="D73:H73"/>
    <mergeCell ref="J1:K1"/>
    <mergeCell ref="H1:I1"/>
    <mergeCell ref="A57:A59"/>
    <mergeCell ref="A62:A64"/>
    <mergeCell ref="A66:A68"/>
    <mergeCell ref="D8:H8"/>
    <mergeCell ref="B48:H48"/>
    <mergeCell ref="A28:A32"/>
    <mergeCell ref="A18:A25"/>
  </mergeCells>
  <conditionalFormatting sqref="D75:J104 D111:J140">
    <cfRule type="expression" dxfId="3" priority="1">
      <formula>D75=$C$56</formula>
    </cfRule>
    <cfRule type="expression" dxfId="2" priority="2">
      <formula>D75=#REF!</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32246-D569-46BE-AC17-A13E753BCA46}">
  <dimension ref="A1:BI25"/>
  <sheetViews>
    <sheetView showGridLines="0" zoomScale="70" zoomScaleNormal="70" workbookViewId="0">
      <selection activeCell="B11" sqref="B11"/>
    </sheetView>
  </sheetViews>
  <sheetFormatPr defaultRowHeight="14.4" x14ac:dyDescent="0.3"/>
  <cols>
    <col min="1" max="1" width="35.21875" bestFit="1" customWidth="1"/>
    <col min="2" max="2" width="16.6640625" bestFit="1" customWidth="1"/>
    <col min="3" max="13" width="7.77734375" bestFit="1" customWidth="1"/>
    <col min="14" max="61" width="10.44140625" bestFit="1" customWidth="1"/>
  </cols>
  <sheetData>
    <row r="1" spans="1:61" x14ac:dyDescent="0.3">
      <c r="A1" s="97" t="s">
        <v>251</v>
      </c>
      <c r="B1" s="97"/>
      <c r="C1" s="97"/>
      <c r="D1" s="97"/>
      <c r="E1" s="97"/>
      <c r="F1" s="97"/>
      <c r="G1" s="97"/>
      <c r="H1" s="97"/>
      <c r="I1" s="97"/>
      <c r="J1" s="97"/>
      <c r="K1" s="70"/>
    </row>
    <row r="2" spans="1:61" x14ac:dyDescent="0.3">
      <c r="A2" s="97" t="s">
        <v>255</v>
      </c>
      <c r="B2" s="97"/>
      <c r="C2" s="97"/>
      <c r="D2" s="97"/>
      <c r="E2" s="97"/>
      <c r="F2" s="97"/>
      <c r="G2" s="97"/>
      <c r="H2" s="97"/>
      <c r="I2" s="97"/>
      <c r="J2" s="97"/>
      <c r="K2" s="70"/>
    </row>
    <row r="3" spans="1:61" x14ac:dyDescent="0.3">
      <c r="A3" s="70" t="s">
        <v>256</v>
      </c>
      <c r="B3" s="70"/>
      <c r="C3" s="70"/>
      <c r="D3" s="70"/>
      <c r="E3" s="70"/>
      <c r="F3" s="70"/>
      <c r="G3" s="70"/>
      <c r="H3" s="70"/>
      <c r="I3" s="70"/>
      <c r="J3" s="70"/>
      <c r="K3" s="70"/>
    </row>
    <row r="6" spans="1:61" x14ac:dyDescent="0.3">
      <c r="A6" t="s">
        <v>248</v>
      </c>
    </row>
    <row r="8" spans="1:61" x14ac:dyDescent="0.3">
      <c r="B8" s="1" t="s">
        <v>252</v>
      </c>
    </row>
    <row r="9" spans="1:61" x14ac:dyDescent="0.3">
      <c r="A9" s="2" t="s">
        <v>46</v>
      </c>
      <c r="B9" s="76">
        <v>1</v>
      </c>
      <c r="C9" s="77">
        <v>2</v>
      </c>
      <c r="D9" s="78">
        <v>3</v>
      </c>
      <c r="E9" s="79">
        <v>4</v>
      </c>
      <c r="F9" s="80">
        <v>5</v>
      </c>
    </row>
    <row r="10" spans="1:61" x14ac:dyDescent="0.3">
      <c r="A10" t="str">
        <f>'Model with partnerships'!B57</f>
        <v>Basic</v>
      </c>
      <c r="B10">
        <f>'Model with partnerships'!$E$4*'Model with partnerships'!D62</f>
        <v>570</v>
      </c>
      <c r="C10">
        <f>'Model with partnerships'!$E$4*'Model with partnerships'!E62</f>
        <v>76000</v>
      </c>
      <c r="D10">
        <f>'Model with partnerships'!$E$4*'Model with partnerships'!F62</f>
        <v>76000</v>
      </c>
      <c r="E10">
        <f>'Model with partnerships'!$E$4*'Model with partnerships'!G62</f>
        <v>76000</v>
      </c>
      <c r="F10">
        <f>'Model with partnerships'!$E$4*'Model with partnerships'!H62</f>
        <v>76000</v>
      </c>
    </row>
    <row r="11" spans="1:61" x14ac:dyDescent="0.3">
      <c r="A11" t="str">
        <f>'Model with partnerships'!B58</f>
        <v>License &amp; Maintenance</v>
      </c>
      <c r="B11">
        <f>'Model with partnerships'!$E$4*'Model with partnerships'!D63</f>
        <v>0</v>
      </c>
      <c r="C11">
        <f>'Model with partnerships'!$E$4*'Model with partnerships'!E63</f>
        <v>19000</v>
      </c>
      <c r="D11">
        <f>'Model with partnerships'!$E$4*'Model with partnerships'!F63</f>
        <v>19000</v>
      </c>
      <c r="E11">
        <f>'Model with partnerships'!$E$4*'Model with partnerships'!G63</f>
        <v>38000</v>
      </c>
      <c r="F11">
        <f>'Model with partnerships'!$E$4*'Model with partnerships'!H63</f>
        <v>38000</v>
      </c>
    </row>
    <row r="12" spans="1:61" x14ac:dyDescent="0.3">
      <c r="A12" t="str">
        <f>'Model with partnerships'!B59</f>
        <v>Private Label</v>
      </c>
      <c r="B12">
        <f>'Model with partnerships'!$E$4*'Model with partnerships'!D64</f>
        <v>0</v>
      </c>
      <c r="C12">
        <f>'Model with partnerships'!$E$4*'Model with partnerships'!E64</f>
        <v>38000</v>
      </c>
      <c r="D12">
        <f>'Model with partnerships'!$E$4*'Model with partnerships'!F64</f>
        <v>38000</v>
      </c>
      <c r="E12">
        <f>'Model with partnerships'!$E$4*'Model with partnerships'!G64</f>
        <v>38000</v>
      </c>
      <c r="F12">
        <f>'Model with partnerships'!$E$4*'Model with partnerships'!H64</f>
        <v>38000</v>
      </c>
    </row>
    <row r="13" spans="1:61" ht="15" thickBot="1" x14ac:dyDescent="0.35"/>
    <row r="14" spans="1:61" ht="15" thickBot="1" x14ac:dyDescent="0.35">
      <c r="B14" s="149" t="s">
        <v>249</v>
      </c>
      <c r="C14" s="150"/>
      <c r="D14" s="150"/>
      <c r="E14" s="150"/>
      <c r="F14" s="150"/>
      <c r="G14" s="150"/>
      <c r="H14" s="150"/>
      <c r="I14" s="150"/>
      <c r="J14" s="150"/>
      <c r="K14" s="150"/>
      <c r="L14" s="150"/>
      <c r="M14" s="150"/>
      <c r="N14" s="150"/>
      <c r="O14" s="150"/>
      <c r="P14" s="150"/>
      <c r="Q14" s="150"/>
      <c r="R14" s="150"/>
      <c r="S14" s="150"/>
      <c r="T14" s="150"/>
      <c r="U14" s="150"/>
      <c r="V14" s="150"/>
      <c r="W14" s="150"/>
      <c r="X14" s="150"/>
      <c r="Y14" s="150"/>
      <c r="Z14" s="150"/>
      <c r="AA14" s="150"/>
      <c r="AB14" s="150"/>
      <c r="AC14" s="150"/>
      <c r="AD14" s="150"/>
      <c r="AE14" s="150"/>
      <c r="AF14" s="150"/>
      <c r="AG14" s="150"/>
      <c r="AH14" s="150"/>
      <c r="AI14" s="150"/>
      <c r="AJ14" s="150"/>
      <c r="AK14" s="150"/>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1"/>
    </row>
    <row r="15" spans="1:61" ht="15" thickBot="1" x14ac:dyDescent="0.35">
      <c r="A15" s="52" t="s">
        <v>247</v>
      </c>
      <c r="B15" s="81" cm="1">
        <f t="array" ref="B15:BI15">_xlfn.SEQUENCE(1,60,1,1)</f>
        <v>1</v>
      </c>
      <c r="C15" s="82">
        <v>2</v>
      </c>
      <c r="D15" s="82">
        <v>3</v>
      </c>
      <c r="E15" s="82">
        <v>4</v>
      </c>
      <c r="F15" s="82">
        <v>5</v>
      </c>
      <c r="G15" s="82">
        <v>6</v>
      </c>
      <c r="H15" s="82">
        <v>7</v>
      </c>
      <c r="I15" s="82">
        <v>8</v>
      </c>
      <c r="J15" s="82">
        <v>9</v>
      </c>
      <c r="K15" s="82">
        <v>10</v>
      </c>
      <c r="L15" s="82">
        <v>11</v>
      </c>
      <c r="M15" s="82">
        <v>12</v>
      </c>
      <c r="N15" s="83">
        <v>13</v>
      </c>
      <c r="O15" s="83">
        <v>14</v>
      </c>
      <c r="P15" s="83">
        <v>15</v>
      </c>
      <c r="Q15" s="83">
        <v>16</v>
      </c>
      <c r="R15" s="83">
        <v>17</v>
      </c>
      <c r="S15" s="83">
        <v>18</v>
      </c>
      <c r="T15" s="83">
        <v>19</v>
      </c>
      <c r="U15" s="83">
        <v>20</v>
      </c>
      <c r="V15" s="83">
        <v>21</v>
      </c>
      <c r="W15" s="83">
        <v>22</v>
      </c>
      <c r="X15" s="83">
        <v>23</v>
      </c>
      <c r="Y15" s="83">
        <v>24</v>
      </c>
      <c r="Z15" s="84">
        <v>25</v>
      </c>
      <c r="AA15" s="84">
        <v>26</v>
      </c>
      <c r="AB15" s="84">
        <v>27</v>
      </c>
      <c r="AC15" s="84">
        <v>28</v>
      </c>
      <c r="AD15" s="84">
        <v>29</v>
      </c>
      <c r="AE15" s="84">
        <v>30</v>
      </c>
      <c r="AF15" s="84">
        <v>31</v>
      </c>
      <c r="AG15" s="84">
        <v>32</v>
      </c>
      <c r="AH15" s="84">
        <v>33</v>
      </c>
      <c r="AI15" s="84">
        <v>34</v>
      </c>
      <c r="AJ15" s="84">
        <v>35</v>
      </c>
      <c r="AK15" s="84">
        <v>36</v>
      </c>
      <c r="AL15" s="85">
        <v>37</v>
      </c>
      <c r="AM15" s="85">
        <v>38</v>
      </c>
      <c r="AN15" s="85">
        <v>39</v>
      </c>
      <c r="AO15" s="85">
        <v>40</v>
      </c>
      <c r="AP15" s="85">
        <v>41</v>
      </c>
      <c r="AQ15" s="85">
        <v>42</v>
      </c>
      <c r="AR15" s="85">
        <v>43</v>
      </c>
      <c r="AS15" s="85">
        <v>44</v>
      </c>
      <c r="AT15" s="85">
        <v>45</v>
      </c>
      <c r="AU15" s="85">
        <v>46</v>
      </c>
      <c r="AV15" s="85">
        <v>47</v>
      </c>
      <c r="AW15" s="85">
        <v>48</v>
      </c>
      <c r="AX15" s="86">
        <v>49</v>
      </c>
      <c r="AY15" s="86">
        <v>50</v>
      </c>
      <c r="AZ15" s="86">
        <v>51</v>
      </c>
      <c r="BA15" s="86">
        <v>52</v>
      </c>
      <c r="BB15" s="86">
        <v>53</v>
      </c>
      <c r="BC15" s="86">
        <v>54</v>
      </c>
      <c r="BD15" s="86">
        <v>55</v>
      </c>
      <c r="BE15" s="86">
        <v>56</v>
      </c>
      <c r="BF15" s="86">
        <v>57</v>
      </c>
      <c r="BG15" s="86">
        <v>58</v>
      </c>
      <c r="BH15" s="86">
        <v>59</v>
      </c>
      <c r="BI15" s="87">
        <v>60</v>
      </c>
    </row>
    <row r="16" spans="1:61" x14ac:dyDescent="0.3">
      <c r="A16" t="str">
        <f>"New Transactions"&amp;" ("&amp;A10&amp;")"</f>
        <v>New Transactions (Basic)</v>
      </c>
      <c r="B16" s="88">
        <f>$B10/12</f>
        <v>47.5</v>
      </c>
      <c r="C16" s="89">
        <f t="shared" ref="C16:M16" si="0">$B10/12</f>
        <v>47.5</v>
      </c>
      <c r="D16" s="89">
        <f t="shared" si="0"/>
        <v>47.5</v>
      </c>
      <c r="E16" s="89">
        <f t="shared" si="0"/>
        <v>47.5</v>
      </c>
      <c r="F16" s="89">
        <f t="shared" si="0"/>
        <v>47.5</v>
      </c>
      <c r="G16" s="89">
        <f t="shared" si="0"/>
        <v>47.5</v>
      </c>
      <c r="H16" s="89">
        <f t="shared" si="0"/>
        <v>47.5</v>
      </c>
      <c r="I16" s="89">
        <f t="shared" si="0"/>
        <v>47.5</v>
      </c>
      <c r="J16" s="89">
        <f t="shared" si="0"/>
        <v>47.5</v>
      </c>
      <c r="K16" s="89">
        <f t="shared" si="0"/>
        <v>47.5</v>
      </c>
      <c r="L16" s="89">
        <f t="shared" si="0"/>
        <v>47.5</v>
      </c>
      <c r="M16" s="90">
        <f t="shared" si="0"/>
        <v>47.5</v>
      </c>
      <c r="N16" s="88">
        <f>$C10/12</f>
        <v>6333.333333333333</v>
      </c>
      <c r="O16" s="89">
        <f t="shared" ref="O16:Y16" si="1">$C10/12</f>
        <v>6333.333333333333</v>
      </c>
      <c r="P16" s="89">
        <f t="shared" si="1"/>
        <v>6333.333333333333</v>
      </c>
      <c r="Q16" s="89">
        <f t="shared" si="1"/>
        <v>6333.333333333333</v>
      </c>
      <c r="R16" s="89">
        <f t="shared" si="1"/>
        <v>6333.333333333333</v>
      </c>
      <c r="S16" s="89">
        <f t="shared" si="1"/>
        <v>6333.333333333333</v>
      </c>
      <c r="T16" s="89">
        <f t="shared" si="1"/>
        <v>6333.333333333333</v>
      </c>
      <c r="U16" s="89">
        <f t="shared" si="1"/>
        <v>6333.333333333333</v>
      </c>
      <c r="V16" s="89">
        <f t="shared" si="1"/>
        <v>6333.333333333333</v>
      </c>
      <c r="W16" s="89">
        <f t="shared" si="1"/>
        <v>6333.333333333333</v>
      </c>
      <c r="X16" s="89">
        <f t="shared" si="1"/>
        <v>6333.333333333333</v>
      </c>
      <c r="Y16" s="90">
        <f t="shared" si="1"/>
        <v>6333.333333333333</v>
      </c>
      <c r="Z16" s="88">
        <f>$D10/12</f>
        <v>6333.333333333333</v>
      </c>
      <c r="AA16" s="89">
        <f t="shared" ref="AA16:AK16" si="2">$D10/12</f>
        <v>6333.333333333333</v>
      </c>
      <c r="AB16" s="89">
        <f t="shared" si="2"/>
        <v>6333.333333333333</v>
      </c>
      <c r="AC16" s="89">
        <f t="shared" si="2"/>
        <v>6333.333333333333</v>
      </c>
      <c r="AD16" s="89">
        <f t="shared" si="2"/>
        <v>6333.333333333333</v>
      </c>
      <c r="AE16" s="89">
        <f t="shared" si="2"/>
        <v>6333.333333333333</v>
      </c>
      <c r="AF16" s="89">
        <f t="shared" si="2"/>
        <v>6333.333333333333</v>
      </c>
      <c r="AG16" s="89">
        <f t="shared" si="2"/>
        <v>6333.333333333333</v>
      </c>
      <c r="AH16" s="89">
        <f t="shared" si="2"/>
        <v>6333.333333333333</v>
      </c>
      <c r="AI16" s="89">
        <f t="shared" si="2"/>
        <v>6333.333333333333</v>
      </c>
      <c r="AJ16" s="89">
        <f t="shared" si="2"/>
        <v>6333.333333333333</v>
      </c>
      <c r="AK16" s="90">
        <f t="shared" si="2"/>
        <v>6333.333333333333</v>
      </c>
      <c r="AL16" s="88">
        <f>$E10/12</f>
        <v>6333.333333333333</v>
      </c>
      <c r="AM16" s="89">
        <f t="shared" ref="AM16:AW16" si="3">$E10/12</f>
        <v>6333.333333333333</v>
      </c>
      <c r="AN16" s="89">
        <f t="shared" si="3"/>
        <v>6333.333333333333</v>
      </c>
      <c r="AO16" s="89">
        <f t="shared" si="3"/>
        <v>6333.333333333333</v>
      </c>
      <c r="AP16" s="89">
        <f t="shared" si="3"/>
        <v>6333.333333333333</v>
      </c>
      <c r="AQ16" s="89">
        <f t="shared" si="3"/>
        <v>6333.333333333333</v>
      </c>
      <c r="AR16" s="89">
        <f t="shared" si="3"/>
        <v>6333.333333333333</v>
      </c>
      <c r="AS16" s="89">
        <f t="shared" si="3"/>
        <v>6333.333333333333</v>
      </c>
      <c r="AT16" s="89">
        <f t="shared" si="3"/>
        <v>6333.333333333333</v>
      </c>
      <c r="AU16" s="89">
        <f t="shared" si="3"/>
        <v>6333.333333333333</v>
      </c>
      <c r="AV16" s="89">
        <f t="shared" si="3"/>
        <v>6333.333333333333</v>
      </c>
      <c r="AW16" s="90">
        <f t="shared" si="3"/>
        <v>6333.333333333333</v>
      </c>
      <c r="AX16" s="88">
        <f>$F10/12</f>
        <v>6333.333333333333</v>
      </c>
      <c r="AY16" s="89">
        <f t="shared" ref="AY16:BI16" si="4">$F10/12</f>
        <v>6333.333333333333</v>
      </c>
      <c r="AZ16" s="89">
        <f t="shared" si="4"/>
        <v>6333.333333333333</v>
      </c>
      <c r="BA16" s="89">
        <f t="shared" si="4"/>
        <v>6333.333333333333</v>
      </c>
      <c r="BB16" s="89">
        <f t="shared" si="4"/>
        <v>6333.333333333333</v>
      </c>
      <c r="BC16" s="89">
        <f t="shared" si="4"/>
        <v>6333.333333333333</v>
      </c>
      <c r="BD16" s="89">
        <f t="shared" si="4"/>
        <v>6333.333333333333</v>
      </c>
      <c r="BE16" s="89">
        <f t="shared" si="4"/>
        <v>6333.333333333333</v>
      </c>
      <c r="BF16" s="89">
        <f t="shared" si="4"/>
        <v>6333.333333333333</v>
      </c>
      <c r="BG16" s="89">
        <f t="shared" si="4"/>
        <v>6333.333333333333</v>
      </c>
      <c r="BH16" s="89">
        <f t="shared" si="4"/>
        <v>6333.333333333333</v>
      </c>
      <c r="BI16" s="90">
        <f t="shared" si="4"/>
        <v>6333.333333333333</v>
      </c>
    </row>
    <row r="17" spans="1:61" x14ac:dyDescent="0.3">
      <c r="A17" t="str">
        <f t="shared" ref="A17:A18" si="5">"New Transactions"&amp;" ("&amp;A11&amp;")"</f>
        <v>New Transactions (License &amp; Maintenance)</v>
      </c>
      <c r="B17" s="91">
        <f t="shared" ref="B17:M18" si="6">$B11/12</f>
        <v>0</v>
      </c>
      <c r="C17" s="92">
        <f t="shared" si="6"/>
        <v>0</v>
      </c>
      <c r="D17" s="92">
        <f t="shared" si="6"/>
        <v>0</v>
      </c>
      <c r="E17" s="92">
        <f t="shared" si="6"/>
        <v>0</v>
      </c>
      <c r="F17" s="92">
        <f t="shared" si="6"/>
        <v>0</v>
      </c>
      <c r="G17" s="92">
        <f t="shared" si="6"/>
        <v>0</v>
      </c>
      <c r="H17" s="92">
        <f t="shared" si="6"/>
        <v>0</v>
      </c>
      <c r="I17" s="92">
        <f t="shared" si="6"/>
        <v>0</v>
      </c>
      <c r="J17" s="92">
        <f t="shared" si="6"/>
        <v>0</v>
      </c>
      <c r="K17" s="92">
        <f t="shared" si="6"/>
        <v>0</v>
      </c>
      <c r="L17" s="92">
        <f t="shared" si="6"/>
        <v>0</v>
      </c>
      <c r="M17" s="93">
        <f t="shared" si="6"/>
        <v>0</v>
      </c>
      <c r="N17" s="91">
        <f t="shared" ref="N17:Y18" si="7">$C11/12</f>
        <v>1583.3333333333333</v>
      </c>
      <c r="O17" s="92">
        <f t="shared" si="7"/>
        <v>1583.3333333333333</v>
      </c>
      <c r="P17" s="92">
        <f t="shared" si="7"/>
        <v>1583.3333333333333</v>
      </c>
      <c r="Q17" s="92">
        <f t="shared" si="7"/>
        <v>1583.3333333333333</v>
      </c>
      <c r="R17" s="92">
        <f t="shared" si="7"/>
        <v>1583.3333333333333</v>
      </c>
      <c r="S17" s="92">
        <f t="shared" si="7"/>
        <v>1583.3333333333333</v>
      </c>
      <c r="T17" s="92">
        <f t="shared" si="7"/>
        <v>1583.3333333333333</v>
      </c>
      <c r="U17" s="92">
        <f t="shared" si="7"/>
        <v>1583.3333333333333</v>
      </c>
      <c r="V17" s="92">
        <f t="shared" si="7"/>
        <v>1583.3333333333333</v>
      </c>
      <c r="W17" s="92">
        <f t="shared" si="7"/>
        <v>1583.3333333333333</v>
      </c>
      <c r="X17" s="92">
        <f t="shared" si="7"/>
        <v>1583.3333333333333</v>
      </c>
      <c r="Y17" s="93">
        <f t="shared" si="7"/>
        <v>1583.3333333333333</v>
      </c>
      <c r="Z17" s="91">
        <f t="shared" ref="Z17:AK18" si="8">$D11/12</f>
        <v>1583.3333333333333</v>
      </c>
      <c r="AA17" s="92">
        <f t="shared" si="8"/>
        <v>1583.3333333333333</v>
      </c>
      <c r="AB17" s="92">
        <f t="shared" si="8"/>
        <v>1583.3333333333333</v>
      </c>
      <c r="AC17" s="92">
        <f t="shared" si="8"/>
        <v>1583.3333333333333</v>
      </c>
      <c r="AD17" s="92">
        <f t="shared" si="8"/>
        <v>1583.3333333333333</v>
      </c>
      <c r="AE17" s="92">
        <f t="shared" si="8"/>
        <v>1583.3333333333333</v>
      </c>
      <c r="AF17" s="92">
        <f t="shared" si="8"/>
        <v>1583.3333333333333</v>
      </c>
      <c r="AG17" s="92">
        <f t="shared" si="8"/>
        <v>1583.3333333333333</v>
      </c>
      <c r="AH17" s="92">
        <f t="shared" si="8"/>
        <v>1583.3333333333333</v>
      </c>
      <c r="AI17" s="92">
        <f t="shared" si="8"/>
        <v>1583.3333333333333</v>
      </c>
      <c r="AJ17" s="92">
        <f t="shared" si="8"/>
        <v>1583.3333333333333</v>
      </c>
      <c r="AK17" s="93">
        <f t="shared" si="8"/>
        <v>1583.3333333333333</v>
      </c>
      <c r="AL17" s="91">
        <f t="shared" ref="AL17:AW18" si="9">$E11/12</f>
        <v>3166.6666666666665</v>
      </c>
      <c r="AM17" s="92">
        <f t="shared" si="9"/>
        <v>3166.6666666666665</v>
      </c>
      <c r="AN17" s="92">
        <f t="shared" si="9"/>
        <v>3166.6666666666665</v>
      </c>
      <c r="AO17" s="92">
        <f t="shared" si="9"/>
        <v>3166.6666666666665</v>
      </c>
      <c r="AP17" s="92">
        <f t="shared" si="9"/>
        <v>3166.6666666666665</v>
      </c>
      <c r="AQ17" s="92">
        <f t="shared" si="9"/>
        <v>3166.6666666666665</v>
      </c>
      <c r="AR17" s="92">
        <f t="shared" si="9"/>
        <v>3166.6666666666665</v>
      </c>
      <c r="AS17" s="92">
        <f t="shared" si="9"/>
        <v>3166.6666666666665</v>
      </c>
      <c r="AT17" s="92">
        <f t="shared" si="9"/>
        <v>3166.6666666666665</v>
      </c>
      <c r="AU17" s="92">
        <f t="shared" si="9"/>
        <v>3166.6666666666665</v>
      </c>
      <c r="AV17" s="92">
        <f t="shared" si="9"/>
        <v>3166.6666666666665</v>
      </c>
      <c r="AW17" s="93">
        <f t="shared" si="9"/>
        <v>3166.6666666666665</v>
      </c>
      <c r="AX17" s="91">
        <f t="shared" ref="AX17:BI18" si="10">$F11/12</f>
        <v>3166.6666666666665</v>
      </c>
      <c r="AY17" s="92">
        <f t="shared" si="10"/>
        <v>3166.6666666666665</v>
      </c>
      <c r="AZ17" s="92">
        <f t="shared" si="10"/>
        <v>3166.6666666666665</v>
      </c>
      <c r="BA17" s="92">
        <f t="shared" si="10"/>
        <v>3166.6666666666665</v>
      </c>
      <c r="BB17" s="92">
        <f t="shared" si="10"/>
        <v>3166.6666666666665</v>
      </c>
      <c r="BC17" s="92">
        <f t="shared" si="10"/>
        <v>3166.6666666666665</v>
      </c>
      <c r="BD17" s="92">
        <f t="shared" si="10"/>
        <v>3166.6666666666665</v>
      </c>
      <c r="BE17" s="92">
        <f t="shared" si="10"/>
        <v>3166.6666666666665</v>
      </c>
      <c r="BF17" s="92">
        <f t="shared" si="10"/>
        <v>3166.6666666666665</v>
      </c>
      <c r="BG17" s="92">
        <f t="shared" si="10"/>
        <v>3166.6666666666665</v>
      </c>
      <c r="BH17" s="92">
        <f t="shared" si="10"/>
        <v>3166.6666666666665</v>
      </c>
      <c r="BI17" s="93">
        <f t="shared" si="10"/>
        <v>3166.6666666666665</v>
      </c>
    </row>
    <row r="18" spans="1:61" ht="15" thickBot="1" x14ac:dyDescent="0.35">
      <c r="A18" t="str">
        <f t="shared" si="5"/>
        <v>New Transactions (Private Label)</v>
      </c>
      <c r="B18" s="94">
        <f t="shared" si="6"/>
        <v>0</v>
      </c>
      <c r="C18" s="95">
        <f t="shared" si="6"/>
        <v>0</v>
      </c>
      <c r="D18" s="95">
        <f t="shared" si="6"/>
        <v>0</v>
      </c>
      <c r="E18" s="95">
        <f t="shared" si="6"/>
        <v>0</v>
      </c>
      <c r="F18" s="95">
        <f t="shared" si="6"/>
        <v>0</v>
      </c>
      <c r="G18" s="95">
        <f t="shared" si="6"/>
        <v>0</v>
      </c>
      <c r="H18" s="95">
        <f t="shared" si="6"/>
        <v>0</v>
      </c>
      <c r="I18" s="95">
        <f t="shared" si="6"/>
        <v>0</v>
      </c>
      <c r="J18" s="95">
        <f t="shared" si="6"/>
        <v>0</v>
      </c>
      <c r="K18" s="95">
        <f t="shared" si="6"/>
        <v>0</v>
      </c>
      <c r="L18" s="95">
        <f t="shared" si="6"/>
        <v>0</v>
      </c>
      <c r="M18" s="96">
        <f t="shared" si="6"/>
        <v>0</v>
      </c>
      <c r="N18" s="94">
        <f t="shared" si="7"/>
        <v>3166.6666666666665</v>
      </c>
      <c r="O18" s="95">
        <f t="shared" si="7"/>
        <v>3166.6666666666665</v>
      </c>
      <c r="P18" s="95">
        <f t="shared" si="7"/>
        <v>3166.6666666666665</v>
      </c>
      <c r="Q18" s="95">
        <f t="shared" si="7"/>
        <v>3166.6666666666665</v>
      </c>
      <c r="R18" s="95">
        <f t="shared" si="7"/>
        <v>3166.6666666666665</v>
      </c>
      <c r="S18" s="95">
        <f t="shared" si="7"/>
        <v>3166.6666666666665</v>
      </c>
      <c r="T18" s="95">
        <f t="shared" si="7"/>
        <v>3166.6666666666665</v>
      </c>
      <c r="U18" s="95">
        <f t="shared" si="7"/>
        <v>3166.6666666666665</v>
      </c>
      <c r="V18" s="95">
        <f t="shared" si="7"/>
        <v>3166.6666666666665</v>
      </c>
      <c r="W18" s="95">
        <f t="shared" si="7"/>
        <v>3166.6666666666665</v>
      </c>
      <c r="X18" s="95">
        <f t="shared" si="7"/>
        <v>3166.6666666666665</v>
      </c>
      <c r="Y18" s="96">
        <f t="shared" si="7"/>
        <v>3166.6666666666665</v>
      </c>
      <c r="Z18" s="94">
        <f t="shared" si="8"/>
        <v>3166.6666666666665</v>
      </c>
      <c r="AA18" s="95">
        <f t="shared" si="8"/>
        <v>3166.6666666666665</v>
      </c>
      <c r="AB18" s="95">
        <f t="shared" si="8"/>
        <v>3166.6666666666665</v>
      </c>
      <c r="AC18" s="95">
        <f t="shared" si="8"/>
        <v>3166.6666666666665</v>
      </c>
      <c r="AD18" s="95">
        <f t="shared" si="8"/>
        <v>3166.6666666666665</v>
      </c>
      <c r="AE18" s="95">
        <f t="shared" si="8"/>
        <v>3166.6666666666665</v>
      </c>
      <c r="AF18" s="95">
        <f t="shared" si="8"/>
        <v>3166.6666666666665</v>
      </c>
      <c r="AG18" s="95">
        <f t="shared" si="8"/>
        <v>3166.6666666666665</v>
      </c>
      <c r="AH18" s="95">
        <f t="shared" si="8"/>
        <v>3166.6666666666665</v>
      </c>
      <c r="AI18" s="95">
        <f t="shared" si="8"/>
        <v>3166.6666666666665</v>
      </c>
      <c r="AJ18" s="95">
        <f t="shared" si="8"/>
        <v>3166.6666666666665</v>
      </c>
      <c r="AK18" s="96">
        <f t="shared" si="8"/>
        <v>3166.6666666666665</v>
      </c>
      <c r="AL18" s="94">
        <f t="shared" si="9"/>
        <v>3166.6666666666665</v>
      </c>
      <c r="AM18" s="95">
        <f t="shared" si="9"/>
        <v>3166.6666666666665</v>
      </c>
      <c r="AN18" s="95">
        <f t="shared" si="9"/>
        <v>3166.6666666666665</v>
      </c>
      <c r="AO18" s="95">
        <f t="shared" si="9"/>
        <v>3166.6666666666665</v>
      </c>
      <c r="AP18" s="95">
        <f t="shared" si="9"/>
        <v>3166.6666666666665</v>
      </c>
      <c r="AQ18" s="95">
        <f t="shared" si="9"/>
        <v>3166.6666666666665</v>
      </c>
      <c r="AR18" s="95">
        <f t="shared" si="9"/>
        <v>3166.6666666666665</v>
      </c>
      <c r="AS18" s="95">
        <f t="shared" si="9"/>
        <v>3166.6666666666665</v>
      </c>
      <c r="AT18" s="95">
        <f t="shared" si="9"/>
        <v>3166.6666666666665</v>
      </c>
      <c r="AU18" s="95">
        <f t="shared" si="9"/>
        <v>3166.6666666666665</v>
      </c>
      <c r="AV18" s="95">
        <f t="shared" si="9"/>
        <v>3166.6666666666665</v>
      </c>
      <c r="AW18" s="96">
        <f t="shared" si="9"/>
        <v>3166.6666666666665</v>
      </c>
      <c r="AX18" s="94">
        <f t="shared" si="10"/>
        <v>3166.6666666666665</v>
      </c>
      <c r="AY18" s="95">
        <f t="shared" si="10"/>
        <v>3166.6666666666665</v>
      </c>
      <c r="AZ18" s="95">
        <f t="shared" si="10"/>
        <v>3166.6666666666665</v>
      </c>
      <c r="BA18" s="95">
        <f t="shared" si="10"/>
        <v>3166.6666666666665</v>
      </c>
      <c r="BB18" s="95">
        <f t="shared" si="10"/>
        <v>3166.6666666666665</v>
      </c>
      <c r="BC18" s="95">
        <f t="shared" si="10"/>
        <v>3166.6666666666665</v>
      </c>
      <c r="BD18" s="95">
        <f t="shared" si="10"/>
        <v>3166.6666666666665</v>
      </c>
      <c r="BE18" s="95">
        <f t="shared" si="10"/>
        <v>3166.6666666666665</v>
      </c>
      <c r="BF18" s="95">
        <f t="shared" si="10"/>
        <v>3166.6666666666665</v>
      </c>
      <c r="BG18" s="95">
        <f t="shared" si="10"/>
        <v>3166.6666666666665</v>
      </c>
      <c r="BH18" s="95">
        <f t="shared" si="10"/>
        <v>3166.6666666666665</v>
      </c>
      <c r="BI18" s="96">
        <f t="shared" si="10"/>
        <v>3166.6666666666665</v>
      </c>
    </row>
    <row r="20" spans="1:61" ht="15" thickBot="1" x14ac:dyDescent="0.35"/>
    <row r="21" spans="1:61" ht="15" thickBot="1" x14ac:dyDescent="0.35">
      <c r="B21" s="149" t="s">
        <v>250</v>
      </c>
      <c r="C21" s="150"/>
      <c r="D21" s="150"/>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1"/>
    </row>
    <row r="22" spans="1:61" ht="15" thickBot="1" x14ac:dyDescent="0.35">
      <c r="A22" s="52" t="s">
        <v>247</v>
      </c>
      <c r="B22" s="81" cm="1">
        <f t="array" ref="B22:BI22">_xlfn.SEQUENCE(1,60,1,1)</f>
        <v>1</v>
      </c>
      <c r="C22" s="82">
        <v>2</v>
      </c>
      <c r="D22" s="82">
        <v>3</v>
      </c>
      <c r="E22" s="82">
        <v>4</v>
      </c>
      <c r="F22" s="82">
        <v>5</v>
      </c>
      <c r="G22" s="82">
        <v>6</v>
      </c>
      <c r="H22" s="82">
        <v>7</v>
      </c>
      <c r="I22" s="82">
        <v>8</v>
      </c>
      <c r="J22" s="82">
        <v>9</v>
      </c>
      <c r="K22" s="82">
        <v>10</v>
      </c>
      <c r="L22" s="82">
        <v>11</v>
      </c>
      <c r="M22" s="82">
        <v>12</v>
      </c>
      <c r="N22" s="99">
        <v>13</v>
      </c>
      <c r="O22" s="99">
        <v>14</v>
      </c>
      <c r="P22" s="99">
        <v>15</v>
      </c>
      <c r="Q22" s="99">
        <v>16</v>
      </c>
      <c r="R22" s="99">
        <v>17</v>
      </c>
      <c r="S22" s="99">
        <v>18</v>
      </c>
      <c r="T22" s="99">
        <v>19</v>
      </c>
      <c r="U22" s="99">
        <v>20</v>
      </c>
      <c r="V22" s="99">
        <v>21</v>
      </c>
      <c r="W22" s="99">
        <v>22</v>
      </c>
      <c r="X22" s="99">
        <v>23</v>
      </c>
      <c r="Y22" s="99">
        <v>24</v>
      </c>
      <c r="Z22" s="100">
        <v>25</v>
      </c>
      <c r="AA22" s="100">
        <v>26</v>
      </c>
      <c r="AB22" s="100">
        <v>27</v>
      </c>
      <c r="AC22" s="100">
        <v>28</v>
      </c>
      <c r="AD22" s="100">
        <v>29</v>
      </c>
      <c r="AE22" s="100">
        <v>30</v>
      </c>
      <c r="AF22" s="100">
        <v>31</v>
      </c>
      <c r="AG22" s="100">
        <v>32</v>
      </c>
      <c r="AH22" s="100">
        <v>33</v>
      </c>
      <c r="AI22" s="100">
        <v>34</v>
      </c>
      <c r="AJ22" s="100">
        <v>35</v>
      </c>
      <c r="AK22" s="100">
        <v>36</v>
      </c>
      <c r="AL22" s="101">
        <v>37</v>
      </c>
      <c r="AM22" s="101">
        <v>38</v>
      </c>
      <c r="AN22" s="101">
        <v>39</v>
      </c>
      <c r="AO22" s="101">
        <v>40</v>
      </c>
      <c r="AP22" s="101">
        <v>41</v>
      </c>
      <c r="AQ22" s="101">
        <v>42</v>
      </c>
      <c r="AR22" s="101">
        <v>43</v>
      </c>
      <c r="AS22" s="101">
        <v>44</v>
      </c>
      <c r="AT22" s="101">
        <v>45</v>
      </c>
      <c r="AU22" s="101">
        <v>46</v>
      </c>
      <c r="AV22" s="101">
        <v>47</v>
      </c>
      <c r="AW22" s="101">
        <v>48</v>
      </c>
      <c r="AX22" s="102">
        <v>49</v>
      </c>
      <c r="AY22" s="102">
        <v>50</v>
      </c>
      <c r="AZ22" s="102">
        <v>51</v>
      </c>
      <c r="BA22" s="102">
        <v>52</v>
      </c>
      <c r="BB22" s="102">
        <v>53</v>
      </c>
      <c r="BC22" s="102">
        <v>54</v>
      </c>
      <c r="BD22" s="102">
        <v>55</v>
      </c>
      <c r="BE22" s="102">
        <v>56</v>
      </c>
      <c r="BF22" s="102">
        <v>57</v>
      </c>
      <c r="BG22" s="102">
        <v>58</v>
      </c>
      <c r="BH22" s="102">
        <v>59</v>
      </c>
      <c r="BI22" s="103">
        <v>60</v>
      </c>
    </row>
    <row r="23" spans="1:61" x14ac:dyDescent="0.3">
      <c r="A23" t="str">
        <f>"Transactions"&amp;" ("&amp;A10&amp;")"</f>
        <v>Transactions (Basic)</v>
      </c>
      <c r="B23" s="98">
        <f>-PV('Model with partnerships'!$B$3/12,18,'Model with partnerships'!$G$5*B16,,0)</f>
        <v>15.879087308831679</v>
      </c>
      <c r="C23" s="105">
        <f>-PV('Model with partnerships'!$B$3/12,18,'Model with partnerships'!$G$5*C16,,0)</f>
        <v>15.879087308831679</v>
      </c>
      <c r="D23" s="105">
        <f>-PV('Model with partnerships'!$B$3/12,18,'Model with partnerships'!$G$5*D16,,0)</f>
        <v>15.879087308831679</v>
      </c>
      <c r="E23" s="105">
        <f>-PV('Model with partnerships'!$B$3/12,18,'Model with partnerships'!$G$5*E16,,0)</f>
        <v>15.879087308831679</v>
      </c>
      <c r="F23" s="105">
        <f>-PV('Model with partnerships'!$B$3/12,18,'Model with partnerships'!$G$5*F16,,0)</f>
        <v>15.879087308831679</v>
      </c>
      <c r="G23" s="105">
        <f>-PV('Model with partnerships'!$B$3/12,18,'Model with partnerships'!$G$5*G16,,0)</f>
        <v>15.879087308831679</v>
      </c>
      <c r="H23" s="105">
        <f>-PV('Model with partnerships'!$B$3/12,18,'Model with partnerships'!$G$5*H16,,0)</f>
        <v>15.879087308831679</v>
      </c>
      <c r="I23" s="105">
        <f>-PV('Model with partnerships'!$B$3/12,18,'Model with partnerships'!$G$5*I16,,0)</f>
        <v>15.879087308831679</v>
      </c>
      <c r="J23" s="105">
        <f>-PV('Model with partnerships'!$B$3/12,18,'Model with partnerships'!$G$5*J16,,0)</f>
        <v>15.879087308831679</v>
      </c>
      <c r="K23" s="105">
        <f>-PV('Model with partnerships'!$B$3/12,18,'Model with partnerships'!$G$5*K16,,0)</f>
        <v>15.879087308831679</v>
      </c>
      <c r="L23" s="105">
        <f>-PV('Model with partnerships'!$B$3/12,18,'Model with partnerships'!$G$5*L16,,0)</f>
        <v>15.879087308831679</v>
      </c>
      <c r="M23" s="105">
        <f>-PV('Model with partnerships'!$B$3/12,18,'Model with partnerships'!$G$5*M16,,0)</f>
        <v>15.879087308831679</v>
      </c>
      <c r="N23" s="105">
        <f>-PV('Model with partnerships'!$B$3/12,18,'Model with partnerships'!$G$5*N16,,0)</f>
        <v>2117.2116411775564</v>
      </c>
      <c r="O23" s="105">
        <f>-PV('Model with partnerships'!$B$3/12,18,'Model with partnerships'!$G$5*O16,,0)</f>
        <v>2117.2116411775564</v>
      </c>
      <c r="P23" s="105">
        <f>-PV('Model with partnerships'!$B$3/12,18,'Model with partnerships'!$G$5*P16,,0)</f>
        <v>2117.2116411775564</v>
      </c>
      <c r="Q23" s="105">
        <f>-PV('Model with partnerships'!$B$3/12,18,'Model with partnerships'!$G$5*Q16,,0)</f>
        <v>2117.2116411775564</v>
      </c>
      <c r="R23" s="105">
        <f>-PV('Model with partnerships'!$B$3/12,18,'Model with partnerships'!$G$5*R16,,0)</f>
        <v>2117.2116411775564</v>
      </c>
      <c r="S23" s="105">
        <f>-PV('Model with partnerships'!$B$3/12,18,'Model with partnerships'!$G$5*S16,,0)</f>
        <v>2117.2116411775564</v>
      </c>
      <c r="T23" s="105">
        <f>-PV('Model with partnerships'!$B$3/12,18,'Model with partnerships'!$G$5*T16,,0)</f>
        <v>2117.2116411775564</v>
      </c>
      <c r="U23" s="105">
        <f>-PV('Model with partnerships'!$B$3/12,18,'Model with partnerships'!$G$5*U16,,0)</f>
        <v>2117.2116411775564</v>
      </c>
      <c r="V23" s="105">
        <f>-PV('Model with partnerships'!$B$3/12,18,'Model with partnerships'!$G$5*V16,,0)</f>
        <v>2117.2116411775564</v>
      </c>
      <c r="W23" s="105">
        <f>-PV('Model with partnerships'!$B$3/12,18,'Model with partnerships'!$G$5*W16,,0)</f>
        <v>2117.2116411775564</v>
      </c>
      <c r="X23" s="105">
        <f>-PV('Model with partnerships'!$B$3/12,18,'Model with partnerships'!$G$5*X16,,0)</f>
        <v>2117.2116411775564</v>
      </c>
      <c r="Y23" s="105">
        <f>-PV('Model with partnerships'!$B$3/12,18,'Model with partnerships'!$G$5*Y16,,0)</f>
        <v>2117.2116411775564</v>
      </c>
      <c r="Z23" s="105">
        <f>-PV('Model with partnerships'!$B$3/12,18,'Model with partnerships'!$G$5*Z16,,0)</f>
        <v>2117.2116411775564</v>
      </c>
      <c r="AA23" s="105">
        <f>-PV('Model with partnerships'!$B$3/12,18,'Model with partnerships'!$G$5*AA16,,0)</f>
        <v>2117.2116411775564</v>
      </c>
      <c r="AB23" s="105">
        <f>-PV('Model with partnerships'!$B$3/12,18,'Model with partnerships'!$G$5*AB16,,0)</f>
        <v>2117.2116411775564</v>
      </c>
      <c r="AC23" s="105">
        <f>-PV('Model with partnerships'!$B$3/12,18,'Model with partnerships'!$G$5*AC16,,0)</f>
        <v>2117.2116411775564</v>
      </c>
      <c r="AD23" s="105">
        <f>-PV('Model with partnerships'!$B$3/12,18,'Model with partnerships'!$G$5*AD16,,0)</f>
        <v>2117.2116411775564</v>
      </c>
      <c r="AE23" s="105">
        <f>-PV('Model with partnerships'!$B$3/12,18,'Model with partnerships'!$G$5*AE16,,0)</f>
        <v>2117.2116411775564</v>
      </c>
      <c r="AF23" s="105">
        <f>-PV('Model with partnerships'!$B$3/12,18,'Model with partnerships'!$G$5*AF16,,0)</f>
        <v>2117.2116411775564</v>
      </c>
      <c r="AG23" s="105">
        <f>-PV('Model with partnerships'!$B$3/12,18,'Model with partnerships'!$G$5*AG16,,0)</f>
        <v>2117.2116411775564</v>
      </c>
      <c r="AH23" s="105">
        <f>-PV('Model with partnerships'!$B$3/12,18,'Model with partnerships'!$G$5*AH16,,0)</f>
        <v>2117.2116411775564</v>
      </c>
      <c r="AI23" s="105">
        <f>-PV('Model with partnerships'!$B$3/12,18,'Model with partnerships'!$G$5*AI16,,0)</f>
        <v>2117.2116411775564</v>
      </c>
      <c r="AJ23" s="105">
        <f>-PV('Model with partnerships'!$B$3/12,18,'Model with partnerships'!$G$5*AJ16,,0)</f>
        <v>2117.2116411775564</v>
      </c>
      <c r="AK23" s="105">
        <f>-PV('Model with partnerships'!$B$3/12,18,'Model with partnerships'!$G$5*AK16,,0)</f>
        <v>2117.2116411775564</v>
      </c>
      <c r="AL23" s="105">
        <f>-PV('Model with partnerships'!$B$3/12,18,'Model with partnerships'!$G$5*AL16,,0)</f>
        <v>2117.2116411775564</v>
      </c>
      <c r="AM23" s="105">
        <f>-PV('Model with partnerships'!$B$3/12,18,'Model with partnerships'!$G$5*AM16,,0)</f>
        <v>2117.2116411775564</v>
      </c>
      <c r="AN23" s="105">
        <f>-PV('Model with partnerships'!$B$3/12,18,'Model with partnerships'!$G$5*AN16,,0)</f>
        <v>2117.2116411775564</v>
      </c>
      <c r="AO23" s="105">
        <f>-PV('Model with partnerships'!$B$3/12,18,'Model with partnerships'!$G$5*AO16,,0)</f>
        <v>2117.2116411775564</v>
      </c>
      <c r="AP23" s="105">
        <f>-PV('Model with partnerships'!$B$3/12,18,'Model with partnerships'!$G$5*AP16,,0)</f>
        <v>2117.2116411775564</v>
      </c>
      <c r="AQ23" s="105">
        <f>-PV('Model with partnerships'!$B$3/12,18,'Model with partnerships'!$G$5*AQ16,,0)</f>
        <v>2117.2116411775564</v>
      </c>
      <c r="AR23" s="105">
        <f>-PV('Model with partnerships'!$B$3/12,18,'Model with partnerships'!$G$5*AR16,,0)</f>
        <v>2117.2116411775564</v>
      </c>
      <c r="AS23" s="105">
        <f>-PV('Model with partnerships'!$B$3/12,18,'Model with partnerships'!$G$5*AS16,,0)</f>
        <v>2117.2116411775564</v>
      </c>
      <c r="AT23" s="105">
        <f>-PV('Model with partnerships'!$B$3/12,18,'Model with partnerships'!$G$5*AT16,,0)</f>
        <v>2117.2116411775564</v>
      </c>
      <c r="AU23" s="105">
        <f>-PV('Model with partnerships'!$B$3/12,18,'Model with partnerships'!$G$5*AU16,,0)</f>
        <v>2117.2116411775564</v>
      </c>
      <c r="AV23" s="105">
        <f>-PV('Model with partnerships'!$B$3/12,18,'Model with partnerships'!$G$5*AV16,,0)</f>
        <v>2117.2116411775564</v>
      </c>
      <c r="AW23" s="105">
        <f>-PV('Model with partnerships'!$B$3/12,18,'Model with partnerships'!$G$5*AW16,,0)</f>
        <v>2117.2116411775564</v>
      </c>
      <c r="AX23" s="105">
        <f>-PV('Model with partnerships'!$B$3/12,18,'Model with partnerships'!$G$5*AX16,,0)</f>
        <v>2117.2116411775564</v>
      </c>
      <c r="AY23" s="105">
        <f>-PV('Model with partnerships'!$B$3/12,18,'Model with partnerships'!$G$5*AY16,,0)</f>
        <v>2117.2116411775564</v>
      </c>
      <c r="AZ23" s="105">
        <f>-PV('Model with partnerships'!$B$3/12,18,'Model with partnerships'!$G$5*AZ16,,0)</f>
        <v>2117.2116411775564</v>
      </c>
      <c r="BA23" s="105">
        <f>-PV('Model with partnerships'!$B$3/12,18,'Model with partnerships'!$G$5*BA16,,0)</f>
        <v>2117.2116411775564</v>
      </c>
      <c r="BB23" s="105">
        <f>-PV('Model with partnerships'!$B$3/12,18,'Model with partnerships'!$G$5*BB16,,0)</f>
        <v>2117.2116411775564</v>
      </c>
      <c r="BC23" s="105">
        <f>-PV('Model with partnerships'!$B$3/12,18,'Model with partnerships'!$G$5*BC16,,0)</f>
        <v>2117.2116411775564</v>
      </c>
      <c r="BD23" s="105">
        <f>-PV('Model with partnerships'!$B$3/12,18,'Model with partnerships'!$G$5*BD16,,0)</f>
        <v>2117.2116411775564</v>
      </c>
      <c r="BE23" s="105">
        <f>-PV('Model with partnerships'!$B$3/12,18,'Model with partnerships'!$G$5*BE16,,0)</f>
        <v>2117.2116411775564</v>
      </c>
      <c r="BF23" s="105">
        <f>-PV('Model with partnerships'!$B$3/12,18,'Model with partnerships'!$G$5*BF16,,0)</f>
        <v>2117.2116411775564</v>
      </c>
      <c r="BG23" s="105">
        <f>-PV('Model with partnerships'!$B$3/12,18,'Model with partnerships'!$G$5*BG16,,0)</f>
        <v>2117.2116411775564</v>
      </c>
      <c r="BH23" s="105">
        <f>-PV('Model with partnerships'!$B$3/12,18,'Model with partnerships'!$G$5*BH16,,0)</f>
        <v>2117.2116411775564</v>
      </c>
      <c r="BI23" s="106">
        <f>-PV('Model with partnerships'!$B$3/12,18,'Model with partnerships'!$G$5*BI16,,0)</f>
        <v>2117.2116411775564</v>
      </c>
    </row>
    <row r="24" spans="1:61" x14ac:dyDescent="0.3">
      <c r="A24" t="str">
        <f t="shared" ref="A24:A25" si="11">"Transactions"&amp;" ("&amp;A11&amp;")"</f>
        <v>Transactions (License &amp; Maintenance)</v>
      </c>
      <c r="B24" s="107">
        <f>-PV('Model with partnerships'!$B$3/12,18,'Model with partnerships'!$G$5*B17,,0)</f>
        <v>0</v>
      </c>
      <c r="C24" s="104">
        <f>-PV('Model with partnerships'!$B$3/12,18,'Model with partnerships'!$G$5*C17,,0)</f>
        <v>0</v>
      </c>
      <c r="D24" s="104">
        <f>-PV('Model with partnerships'!$B$3/12,18,'Model with partnerships'!$G$5*D17,,0)</f>
        <v>0</v>
      </c>
      <c r="E24" s="104">
        <f>-PV('Model with partnerships'!$B$3/12,18,'Model with partnerships'!$G$5*E17,,0)</f>
        <v>0</v>
      </c>
      <c r="F24" s="104">
        <f>-PV('Model with partnerships'!$B$3/12,18,'Model with partnerships'!$G$5*F17,,0)</f>
        <v>0</v>
      </c>
      <c r="G24" s="104">
        <f>-PV('Model with partnerships'!$B$3/12,18,'Model with partnerships'!$G$5*G17,,0)</f>
        <v>0</v>
      </c>
      <c r="H24" s="104">
        <f>-PV('Model with partnerships'!$B$3/12,18,'Model with partnerships'!$G$5*H17,,0)</f>
        <v>0</v>
      </c>
      <c r="I24" s="104">
        <f>-PV('Model with partnerships'!$B$3/12,18,'Model with partnerships'!$G$5*I17,,0)</f>
        <v>0</v>
      </c>
      <c r="J24" s="104">
        <f>-PV('Model with partnerships'!$B$3/12,18,'Model with partnerships'!$G$5*J17,,0)</f>
        <v>0</v>
      </c>
      <c r="K24" s="104">
        <f>-PV('Model with partnerships'!$B$3/12,18,'Model with partnerships'!$G$5*K17,,0)</f>
        <v>0</v>
      </c>
      <c r="L24" s="104">
        <f>-PV('Model with partnerships'!$B$3/12,18,'Model with partnerships'!$G$5*L17,,0)</f>
        <v>0</v>
      </c>
      <c r="M24" s="104">
        <f>-PV('Model with partnerships'!$B$3/12,18,'Model with partnerships'!$G$5*M17,,0)</f>
        <v>0</v>
      </c>
      <c r="N24" s="104">
        <f>-PV('Model with partnerships'!$B$3/12,18,'Model with partnerships'!$G$5*N17,,0)</f>
        <v>529.30291029438911</v>
      </c>
      <c r="O24" s="104">
        <f>-PV('Model with partnerships'!$B$3/12,18,'Model with partnerships'!$G$5*O17,,0)</f>
        <v>529.30291029438911</v>
      </c>
      <c r="P24" s="104">
        <f>-PV('Model with partnerships'!$B$3/12,18,'Model with partnerships'!$G$5*P17,,0)</f>
        <v>529.30291029438911</v>
      </c>
      <c r="Q24" s="104">
        <f>-PV('Model with partnerships'!$B$3/12,18,'Model with partnerships'!$G$5*Q17,,0)</f>
        <v>529.30291029438911</v>
      </c>
      <c r="R24" s="104">
        <f>-PV('Model with partnerships'!$B$3/12,18,'Model with partnerships'!$G$5*R17,,0)</f>
        <v>529.30291029438911</v>
      </c>
      <c r="S24" s="104">
        <f>-PV('Model with partnerships'!$B$3/12,18,'Model with partnerships'!$G$5*S17,,0)</f>
        <v>529.30291029438911</v>
      </c>
      <c r="T24" s="104">
        <f>-PV('Model with partnerships'!$B$3/12,18,'Model with partnerships'!$G$5*T17,,0)</f>
        <v>529.30291029438911</v>
      </c>
      <c r="U24" s="104">
        <f>-PV('Model with partnerships'!$B$3/12,18,'Model with partnerships'!$G$5*U17,,0)</f>
        <v>529.30291029438911</v>
      </c>
      <c r="V24" s="104">
        <f>-PV('Model with partnerships'!$B$3/12,18,'Model with partnerships'!$G$5*V17,,0)</f>
        <v>529.30291029438911</v>
      </c>
      <c r="W24" s="104">
        <f>-PV('Model with partnerships'!$B$3/12,18,'Model with partnerships'!$G$5*W17,,0)</f>
        <v>529.30291029438911</v>
      </c>
      <c r="X24" s="104">
        <f>-PV('Model with partnerships'!$B$3/12,18,'Model with partnerships'!$G$5*X17,,0)</f>
        <v>529.30291029438911</v>
      </c>
      <c r="Y24" s="104">
        <f>-PV('Model with partnerships'!$B$3/12,18,'Model with partnerships'!$G$5*Y17,,0)</f>
        <v>529.30291029438911</v>
      </c>
      <c r="Z24" s="104">
        <f>-PV('Model with partnerships'!$B$3/12,18,'Model with partnerships'!$G$5*Z17,,0)</f>
        <v>529.30291029438911</v>
      </c>
      <c r="AA24" s="104">
        <f>-PV('Model with partnerships'!$B$3/12,18,'Model with partnerships'!$G$5*AA17,,0)</f>
        <v>529.30291029438911</v>
      </c>
      <c r="AB24" s="104">
        <f>-PV('Model with partnerships'!$B$3/12,18,'Model with partnerships'!$G$5*AB17,,0)</f>
        <v>529.30291029438911</v>
      </c>
      <c r="AC24" s="104">
        <f>-PV('Model with partnerships'!$B$3/12,18,'Model with partnerships'!$G$5*AC17,,0)</f>
        <v>529.30291029438911</v>
      </c>
      <c r="AD24" s="104">
        <f>-PV('Model with partnerships'!$B$3/12,18,'Model with partnerships'!$G$5*AD17,,0)</f>
        <v>529.30291029438911</v>
      </c>
      <c r="AE24" s="104">
        <f>-PV('Model with partnerships'!$B$3/12,18,'Model with partnerships'!$G$5*AE17,,0)</f>
        <v>529.30291029438911</v>
      </c>
      <c r="AF24" s="104">
        <f>-PV('Model with partnerships'!$B$3/12,18,'Model with partnerships'!$G$5*AF17,,0)</f>
        <v>529.30291029438911</v>
      </c>
      <c r="AG24" s="104">
        <f>-PV('Model with partnerships'!$B$3/12,18,'Model with partnerships'!$G$5*AG17,,0)</f>
        <v>529.30291029438911</v>
      </c>
      <c r="AH24" s="104">
        <f>-PV('Model with partnerships'!$B$3/12,18,'Model with partnerships'!$G$5*AH17,,0)</f>
        <v>529.30291029438911</v>
      </c>
      <c r="AI24" s="104">
        <f>-PV('Model with partnerships'!$B$3/12,18,'Model with partnerships'!$G$5*AI17,,0)</f>
        <v>529.30291029438911</v>
      </c>
      <c r="AJ24" s="104">
        <f>-PV('Model with partnerships'!$B$3/12,18,'Model with partnerships'!$G$5*AJ17,,0)</f>
        <v>529.30291029438911</v>
      </c>
      <c r="AK24" s="104">
        <f>-PV('Model with partnerships'!$B$3/12,18,'Model with partnerships'!$G$5*AK17,,0)</f>
        <v>529.30291029438911</v>
      </c>
      <c r="AL24" s="104">
        <f>-PV('Model with partnerships'!$B$3/12,18,'Model with partnerships'!$G$5*AL17,,0)</f>
        <v>1058.6058205887782</v>
      </c>
      <c r="AM24" s="104">
        <f>-PV('Model with partnerships'!$B$3/12,18,'Model with partnerships'!$G$5*AM17,,0)</f>
        <v>1058.6058205887782</v>
      </c>
      <c r="AN24" s="104">
        <f>-PV('Model with partnerships'!$B$3/12,18,'Model with partnerships'!$G$5*AN17,,0)</f>
        <v>1058.6058205887782</v>
      </c>
      <c r="AO24" s="104">
        <f>-PV('Model with partnerships'!$B$3/12,18,'Model with partnerships'!$G$5*AO17,,0)</f>
        <v>1058.6058205887782</v>
      </c>
      <c r="AP24" s="104">
        <f>-PV('Model with partnerships'!$B$3/12,18,'Model with partnerships'!$G$5*AP17,,0)</f>
        <v>1058.6058205887782</v>
      </c>
      <c r="AQ24" s="104">
        <f>-PV('Model with partnerships'!$B$3/12,18,'Model with partnerships'!$G$5*AQ17,,0)</f>
        <v>1058.6058205887782</v>
      </c>
      <c r="AR24" s="104">
        <f>-PV('Model with partnerships'!$B$3/12,18,'Model with partnerships'!$G$5*AR17,,0)</f>
        <v>1058.6058205887782</v>
      </c>
      <c r="AS24" s="104">
        <f>-PV('Model with partnerships'!$B$3/12,18,'Model with partnerships'!$G$5*AS17,,0)</f>
        <v>1058.6058205887782</v>
      </c>
      <c r="AT24" s="104">
        <f>-PV('Model with partnerships'!$B$3/12,18,'Model with partnerships'!$G$5*AT17,,0)</f>
        <v>1058.6058205887782</v>
      </c>
      <c r="AU24" s="104">
        <f>-PV('Model with partnerships'!$B$3/12,18,'Model with partnerships'!$G$5*AU17,,0)</f>
        <v>1058.6058205887782</v>
      </c>
      <c r="AV24" s="104">
        <f>-PV('Model with partnerships'!$B$3/12,18,'Model with partnerships'!$G$5*AV17,,0)</f>
        <v>1058.6058205887782</v>
      </c>
      <c r="AW24" s="104">
        <f>-PV('Model with partnerships'!$B$3/12,18,'Model with partnerships'!$G$5*AW17,,0)</f>
        <v>1058.6058205887782</v>
      </c>
      <c r="AX24" s="104">
        <f>-PV('Model with partnerships'!$B$3/12,18,'Model with partnerships'!$G$5*AX17,,0)</f>
        <v>1058.6058205887782</v>
      </c>
      <c r="AY24" s="104">
        <f>-PV('Model with partnerships'!$B$3/12,18,'Model with partnerships'!$G$5*AY17,,0)</f>
        <v>1058.6058205887782</v>
      </c>
      <c r="AZ24" s="104">
        <f>-PV('Model with partnerships'!$B$3/12,18,'Model with partnerships'!$G$5*AZ17,,0)</f>
        <v>1058.6058205887782</v>
      </c>
      <c r="BA24" s="104">
        <f>-PV('Model with partnerships'!$B$3/12,18,'Model with partnerships'!$G$5*BA17,,0)</f>
        <v>1058.6058205887782</v>
      </c>
      <c r="BB24" s="104">
        <f>-PV('Model with partnerships'!$B$3/12,18,'Model with partnerships'!$G$5*BB17,,0)</f>
        <v>1058.6058205887782</v>
      </c>
      <c r="BC24" s="104">
        <f>-PV('Model with partnerships'!$B$3/12,18,'Model with partnerships'!$G$5*BC17,,0)</f>
        <v>1058.6058205887782</v>
      </c>
      <c r="BD24" s="104">
        <f>-PV('Model with partnerships'!$B$3/12,18,'Model with partnerships'!$G$5*BD17,,0)</f>
        <v>1058.6058205887782</v>
      </c>
      <c r="BE24" s="104">
        <f>-PV('Model with partnerships'!$B$3/12,18,'Model with partnerships'!$G$5*BE17,,0)</f>
        <v>1058.6058205887782</v>
      </c>
      <c r="BF24" s="104">
        <f>-PV('Model with partnerships'!$B$3/12,18,'Model with partnerships'!$G$5*BF17,,0)</f>
        <v>1058.6058205887782</v>
      </c>
      <c r="BG24" s="104">
        <f>-PV('Model with partnerships'!$B$3/12,18,'Model with partnerships'!$G$5*BG17,,0)</f>
        <v>1058.6058205887782</v>
      </c>
      <c r="BH24" s="104">
        <f>-PV('Model with partnerships'!$B$3/12,18,'Model with partnerships'!$G$5*BH17,,0)</f>
        <v>1058.6058205887782</v>
      </c>
      <c r="BI24" s="108">
        <f>-PV('Model with partnerships'!$B$3/12,18,'Model with partnerships'!$G$5*BI17,,0)</f>
        <v>1058.6058205887782</v>
      </c>
    </row>
    <row r="25" spans="1:61" ht="15" thickBot="1" x14ac:dyDescent="0.35">
      <c r="A25" t="str">
        <f t="shared" si="11"/>
        <v>Transactions (Private Label)</v>
      </c>
      <c r="B25" s="109">
        <f>-PV('Model with partnerships'!$B$3/12,18,'Model with partnerships'!$G$5*B18,,0)</f>
        <v>0</v>
      </c>
      <c r="C25" s="110">
        <f>-PV('Model with partnerships'!$B$3/12,18,'Model with partnerships'!$G$5*C18,,0)</f>
        <v>0</v>
      </c>
      <c r="D25" s="110">
        <f>-PV('Model with partnerships'!$B$3/12,18,'Model with partnerships'!$G$5*D18,,0)</f>
        <v>0</v>
      </c>
      <c r="E25" s="110">
        <f>-PV('Model with partnerships'!$B$3/12,18,'Model with partnerships'!$G$5*E18,,0)</f>
        <v>0</v>
      </c>
      <c r="F25" s="110">
        <f>-PV('Model with partnerships'!$B$3/12,18,'Model with partnerships'!$G$5*F18,,0)</f>
        <v>0</v>
      </c>
      <c r="G25" s="110">
        <f>-PV('Model with partnerships'!$B$3/12,18,'Model with partnerships'!$G$5*G18,,0)</f>
        <v>0</v>
      </c>
      <c r="H25" s="110">
        <f>-PV('Model with partnerships'!$B$3/12,18,'Model with partnerships'!$G$5*H18,,0)</f>
        <v>0</v>
      </c>
      <c r="I25" s="110">
        <f>-PV('Model with partnerships'!$B$3/12,18,'Model with partnerships'!$G$5*I18,,0)</f>
        <v>0</v>
      </c>
      <c r="J25" s="110">
        <f>-PV('Model with partnerships'!$B$3/12,18,'Model with partnerships'!$G$5*J18,,0)</f>
        <v>0</v>
      </c>
      <c r="K25" s="110">
        <f>-PV('Model with partnerships'!$B$3/12,18,'Model with partnerships'!$G$5*K18,,0)</f>
        <v>0</v>
      </c>
      <c r="L25" s="110">
        <f>-PV('Model with partnerships'!$B$3/12,18,'Model with partnerships'!$G$5*L18,,0)</f>
        <v>0</v>
      </c>
      <c r="M25" s="110">
        <f>-PV('Model with partnerships'!$B$3/12,18,'Model with partnerships'!$G$5*M18,,0)</f>
        <v>0</v>
      </c>
      <c r="N25" s="110">
        <f>-PV('Model with partnerships'!$B$3/12,18,'Model with partnerships'!$G$5*N18,,0)</f>
        <v>1058.6058205887782</v>
      </c>
      <c r="O25" s="110">
        <f>-PV('Model with partnerships'!$B$3/12,18,'Model with partnerships'!$G$5*O18,,0)</f>
        <v>1058.6058205887782</v>
      </c>
      <c r="P25" s="110">
        <f>-PV('Model with partnerships'!$B$3/12,18,'Model with partnerships'!$G$5*P18,,0)</f>
        <v>1058.6058205887782</v>
      </c>
      <c r="Q25" s="110">
        <f>-PV('Model with partnerships'!$B$3/12,18,'Model with partnerships'!$G$5*Q18,,0)</f>
        <v>1058.6058205887782</v>
      </c>
      <c r="R25" s="110">
        <f>-PV('Model with partnerships'!$B$3/12,18,'Model with partnerships'!$G$5*R18,,0)</f>
        <v>1058.6058205887782</v>
      </c>
      <c r="S25" s="110">
        <f>-PV('Model with partnerships'!$B$3/12,18,'Model with partnerships'!$G$5*S18,,0)</f>
        <v>1058.6058205887782</v>
      </c>
      <c r="T25" s="110">
        <f>-PV('Model with partnerships'!$B$3/12,18,'Model with partnerships'!$G$5*T18,,0)</f>
        <v>1058.6058205887782</v>
      </c>
      <c r="U25" s="110">
        <f>-PV('Model with partnerships'!$B$3/12,18,'Model with partnerships'!$G$5*U18,,0)</f>
        <v>1058.6058205887782</v>
      </c>
      <c r="V25" s="110">
        <f>-PV('Model with partnerships'!$B$3/12,18,'Model with partnerships'!$G$5*V18,,0)</f>
        <v>1058.6058205887782</v>
      </c>
      <c r="W25" s="110">
        <f>-PV('Model with partnerships'!$B$3/12,18,'Model with partnerships'!$G$5*W18,,0)</f>
        <v>1058.6058205887782</v>
      </c>
      <c r="X25" s="110">
        <f>-PV('Model with partnerships'!$B$3/12,18,'Model with partnerships'!$G$5*X18,,0)</f>
        <v>1058.6058205887782</v>
      </c>
      <c r="Y25" s="110">
        <f>-PV('Model with partnerships'!$B$3/12,18,'Model with partnerships'!$G$5*Y18,,0)</f>
        <v>1058.6058205887782</v>
      </c>
      <c r="Z25" s="110">
        <f>-PV('Model with partnerships'!$B$3/12,18,'Model with partnerships'!$G$5*Z18,,0)</f>
        <v>1058.6058205887782</v>
      </c>
      <c r="AA25" s="110">
        <f>-PV('Model with partnerships'!$B$3/12,18,'Model with partnerships'!$G$5*AA18,,0)</f>
        <v>1058.6058205887782</v>
      </c>
      <c r="AB25" s="110">
        <f>-PV('Model with partnerships'!$B$3/12,18,'Model with partnerships'!$G$5*AB18,,0)</f>
        <v>1058.6058205887782</v>
      </c>
      <c r="AC25" s="110">
        <f>-PV('Model with partnerships'!$B$3/12,18,'Model with partnerships'!$G$5*AC18,,0)</f>
        <v>1058.6058205887782</v>
      </c>
      <c r="AD25" s="110">
        <f>-PV('Model with partnerships'!$B$3/12,18,'Model with partnerships'!$G$5*AD18,,0)</f>
        <v>1058.6058205887782</v>
      </c>
      <c r="AE25" s="110">
        <f>-PV('Model with partnerships'!$B$3/12,18,'Model with partnerships'!$G$5*AE18,,0)</f>
        <v>1058.6058205887782</v>
      </c>
      <c r="AF25" s="110">
        <f>-PV('Model with partnerships'!$B$3/12,18,'Model with partnerships'!$G$5*AF18,,0)</f>
        <v>1058.6058205887782</v>
      </c>
      <c r="AG25" s="110">
        <f>-PV('Model with partnerships'!$B$3/12,18,'Model with partnerships'!$G$5*AG18,,0)</f>
        <v>1058.6058205887782</v>
      </c>
      <c r="AH25" s="110">
        <f>-PV('Model with partnerships'!$B$3/12,18,'Model with partnerships'!$G$5*AH18,,0)</f>
        <v>1058.6058205887782</v>
      </c>
      <c r="AI25" s="110">
        <f>-PV('Model with partnerships'!$B$3/12,18,'Model with partnerships'!$G$5*AI18,,0)</f>
        <v>1058.6058205887782</v>
      </c>
      <c r="AJ25" s="110">
        <f>-PV('Model with partnerships'!$B$3/12,18,'Model with partnerships'!$G$5*AJ18,,0)</f>
        <v>1058.6058205887782</v>
      </c>
      <c r="AK25" s="110">
        <f>-PV('Model with partnerships'!$B$3/12,18,'Model with partnerships'!$G$5*AK18,,0)</f>
        <v>1058.6058205887782</v>
      </c>
      <c r="AL25" s="110">
        <f>-PV('Model with partnerships'!$B$3/12,18,'Model with partnerships'!$G$5*AL18,,0)</f>
        <v>1058.6058205887782</v>
      </c>
      <c r="AM25" s="110">
        <f>-PV('Model with partnerships'!$B$3/12,18,'Model with partnerships'!$G$5*AM18,,0)</f>
        <v>1058.6058205887782</v>
      </c>
      <c r="AN25" s="110">
        <f>-PV('Model with partnerships'!$B$3/12,18,'Model with partnerships'!$G$5*AN18,,0)</f>
        <v>1058.6058205887782</v>
      </c>
      <c r="AO25" s="110">
        <f>-PV('Model with partnerships'!$B$3/12,18,'Model with partnerships'!$G$5*AO18,,0)</f>
        <v>1058.6058205887782</v>
      </c>
      <c r="AP25" s="110">
        <f>-PV('Model with partnerships'!$B$3/12,18,'Model with partnerships'!$G$5*AP18,,0)</f>
        <v>1058.6058205887782</v>
      </c>
      <c r="AQ25" s="110">
        <f>-PV('Model with partnerships'!$B$3/12,18,'Model with partnerships'!$G$5*AQ18,,0)</f>
        <v>1058.6058205887782</v>
      </c>
      <c r="AR25" s="110">
        <f>-PV('Model with partnerships'!$B$3/12,18,'Model with partnerships'!$G$5*AR18,,0)</f>
        <v>1058.6058205887782</v>
      </c>
      <c r="AS25" s="110">
        <f>-PV('Model with partnerships'!$B$3/12,18,'Model with partnerships'!$G$5*AS18,,0)</f>
        <v>1058.6058205887782</v>
      </c>
      <c r="AT25" s="110">
        <f>-PV('Model with partnerships'!$B$3/12,18,'Model with partnerships'!$G$5*AT18,,0)</f>
        <v>1058.6058205887782</v>
      </c>
      <c r="AU25" s="110">
        <f>-PV('Model with partnerships'!$B$3/12,18,'Model with partnerships'!$G$5*AU18,,0)</f>
        <v>1058.6058205887782</v>
      </c>
      <c r="AV25" s="110">
        <f>-PV('Model with partnerships'!$B$3/12,18,'Model with partnerships'!$G$5*AV18,,0)</f>
        <v>1058.6058205887782</v>
      </c>
      <c r="AW25" s="110">
        <f>-PV('Model with partnerships'!$B$3/12,18,'Model with partnerships'!$G$5*AW18,,0)</f>
        <v>1058.6058205887782</v>
      </c>
      <c r="AX25" s="110">
        <f>-PV('Model with partnerships'!$B$3/12,18,'Model with partnerships'!$G$5*AX18,,0)</f>
        <v>1058.6058205887782</v>
      </c>
      <c r="AY25" s="110">
        <f>-PV('Model with partnerships'!$B$3/12,18,'Model with partnerships'!$G$5*AY18,,0)</f>
        <v>1058.6058205887782</v>
      </c>
      <c r="AZ25" s="110">
        <f>-PV('Model with partnerships'!$B$3/12,18,'Model with partnerships'!$G$5*AZ18,,0)</f>
        <v>1058.6058205887782</v>
      </c>
      <c r="BA25" s="110">
        <f>-PV('Model with partnerships'!$B$3/12,18,'Model with partnerships'!$G$5*BA18,,0)</f>
        <v>1058.6058205887782</v>
      </c>
      <c r="BB25" s="110">
        <f>-PV('Model with partnerships'!$B$3/12,18,'Model with partnerships'!$G$5*BB18,,0)</f>
        <v>1058.6058205887782</v>
      </c>
      <c r="BC25" s="110">
        <f>-PV('Model with partnerships'!$B$3/12,18,'Model with partnerships'!$G$5*BC18,,0)</f>
        <v>1058.6058205887782</v>
      </c>
      <c r="BD25" s="110">
        <f>-PV('Model with partnerships'!$B$3/12,18,'Model with partnerships'!$G$5*BD18,,0)</f>
        <v>1058.6058205887782</v>
      </c>
      <c r="BE25" s="110">
        <f>-PV('Model with partnerships'!$B$3/12,18,'Model with partnerships'!$G$5*BE18,,0)</f>
        <v>1058.6058205887782</v>
      </c>
      <c r="BF25" s="110">
        <f>-PV('Model with partnerships'!$B$3/12,18,'Model with partnerships'!$G$5*BF18,,0)</f>
        <v>1058.6058205887782</v>
      </c>
      <c r="BG25" s="110">
        <f>-PV('Model with partnerships'!$B$3/12,18,'Model with partnerships'!$G$5*BG18,,0)</f>
        <v>1058.6058205887782</v>
      </c>
      <c r="BH25" s="110">
        <f>-PV('Model with partnerships'!$B$3/12,18,'Model with partnerships'!$G$5*BH18,,0)</f>
        <v>1058.6058205887782</v>
      </c>
      <c r="BI25" s="111">
        <f>-PV('Model with partnerships'!$B$3/12,18,'Model with partnerships'!$G$5*BI18,,0)</f>
        <v>1058.6058205887782</v>
      </c>
    </row>
  </sheetData>
  <mergeCells count="2">
    <mergeCell ref="B14:BI14"/>
    <mergeCell ref="B21:BI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63557-C695-4B45-9937-72E17E898C07}">
  <dimension ref="A1:J23"/>
  <sheetViews>
    <sheetView showGridLines="0" zoomScale="70" zoomScaleNormal="70" workbookViewId="0">
      <selection sqref="A1:C1"/>
    </sheetView>
  </sheetViews>
  <sheetFormatPr defaultRowHeight="14.4" x14ac:dyDescent="0.3"/>
  <cols>
    <col min="1" max="1" width="12.88671875" customWidth="1"/>
    <col min="4" max="4" width="13.6640625" bestFit="1" customWidth="1"/>
    <col min="5" max="5" width="22.77734375" bestFit="1" customWidth="1"/>
    <col min="6" max="6" width="8.88671875" style="37"/>
    <col min="7" max="7" width="13.6640625" style="37" bestFit="1" customWidth="1"/>
    <col min="8" max="8" width="14.44140625" style="37" customWidth="1"/>
    <col min="9" max="9" width="5" style="37" bestFit="1" customWidth="1"/>
  </cols>
  <sheetData>
    <row r="1" spans="1:10" x14ac:dyDescent="0.3">
      <c r="A1" s="70" t="s">
        <v>253</v>
      </c>
      <c r="B1" s="70"/>
      <c r="C1" s="70"/>
    </row>
    <row r="3" spans="1:10" x14ac:dyDescent="0.3">
      <c r="A3" t="s">
        <v>17</v>
      </c>
    </row>
    <row r="4" spans="1:10" x14ac:dyDescent="0.3">
      <c r="A4" t="s">
        <v>18</v>
      </c>
    </row>
    <row r="5" spans="1:10" x14ac:dyDescent="0.3">
      <c r="A5" t="s">
        <v>19</v>
      </c>
    </row>
    <row r="6" spans="1:10" x14ac:dyDescent="0.3">
      <c r="A6" t="s">
        <v>20</v>
      </c>
    </row>
    <row r="7" spans="1:10" x14ac:dyDescent="0.3">
      <c r="A7" t="s">
        <v>21</v>
      </c>
    </row>
    <row r="8" spans="1:10" x14ac:dyDescent="0.3">
      <c r="A8" t="s">
        <v>22</v>
      </c>
    </row>
    <row r="10" spans="1:10" x14ac:dyDescent="0.3">
      <c r="A10" s="152"/>
      <c r="B10" s="152"/>
      <c r="C10" s="152"/>
      <c r="D10" s="152"/>
      <c r="E10" s="37"/>
      <c r="J10" s="37"/>
    </row>
    <row r="11" spans="1:10" x14ac:dyDescent="0.3">
      <c r="B11" s="64" t="s">
        <v>176</v>
      </c>
      <c r="C11" s="64">
        <v>2022</v>
      </c>
      <c r="D11" s="64" t="s">
        <v>177</v>
      </c>
      <c r="E11" s="37"/>
      <c r="J11" s="37"/>
    </row>
    <row r="12" spans="1:10" ht="15" thickBot="1" x14ac:dyDescent="0.35">
      <c r="A12" t="s">
        <v>132</v>
      </c>
      <c r="B12">
        <v>8741</v>
      </c>
      <c r="C12" s="37">
        <v>26000</v>
      </c>
      <c r="D12" s="37">
        <v>32166</v>
      </c>
      <c r="E12" s="37"/>
      <c r="J12" s="37"/>
    </row>
    <row r="13" spans="1:10" x14ac:dyDescent="0.3">
      <c r="A13" s="49"/>
      <c r="B13" s="65">
        <v>2021</v>
      </c>
      <c r="C13" s="55">
        <v>2022</v>
      </c>
      <c r="D13" s="112" t="s">
        <v>111</v>
      </c>
      <c r="E13" s="37"/>
      <c r="J13" s="37"/>
    </row>
    <row r="14" spans="1:10" x14ac:dyDescent="0.3">
      <c r="A14" s="47" t="s">
        <v>113</v>
      </c>
      <c r="B14" s="66">
        <f>B12</f>
        <v>8741</v>
      </c>
      <c r="C14" s="37">
        <f>C12</f>
        <v>26000</v>
      </c>
      <c r="D14" s="68">
        <f>ROUND(D12/(6.5/12),0)</f>
        <v>59383</v>
      </c>
      <c r="E14" s="37"/>
      <c r="J14" s="37"/>
    </row>
    <row r="15" spans="1:10" ht="15" thickBot="1" x14ac:dyDescent="0.35">
      <c r="A15" s="56" t="s">
        <v>85</v>
      </c>
      <c r="B15" s="67"/>
      <c r="C15" s="54">
        <f>(C14-B14)/B14</f>
        <v>1.9744880448461275</v>
      </c>
      <c r="D15" s="113">
        <f>(SUM(D14:D14)-C14)/C14</f>
        <v>1.2839615384615384</v>
      </c>
      <c r="E15" s="37"/>
      <c r="J15" s="37"/>
    </row>
    <row r="16" spans="1:10" x14ac:dyDescent="0.3">
      <c r="E16" s="37"/>
      <c r="J16" s="37"/>
    </row>
    <row r="17" spans="1:10" x14ac:dyDescent="0.3">
      <c r="E17" s="37"/>
      <c r="J17" s="37"/>
    </row>
    <row r="18" spans="1:10" x14ac:dyDescent="0.3">
      <c r="E18" s="37"/>
      <c r="J18" s="37"/>
    </row>
    <row r="19" spans="1:10" x14ac:dyDescent="0.3">
      <c r="E19" s="37"/>
      <c r="J19" s="37"/>
    </row>
    <row r="20" spans="1:10" x14ac:dyDescent="0.3">
      <c r="A20" s="16"/>
      <c r="E20" s="37"/>
      <c r="J20" s="37"/>
    </row>
    <row r="21" spans="1:10" x14ac:dyDescent="0.3">
      <c r="E21" s="37"/>
      <c r="J21" s="37"/>
    </row>
    <row r="22" spans="1:10" x14ac:dyDescent="0.3">
      <c r="E22" s="37"/>
      <c r="J22" s="37"/>
    </row>
    <row r="23" spans="1:10" x14ac:dyDescent="0.3">
      <c r="E23" s="37"/>
      <c r="J23" s="37"/>
    </row>
  </sheetData>
  <mergeCells count="1">
    <mergeCell ref="A10:D10"/>
  </mergeCells>
  <phoneticPr fontId="4"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F45D-BBD3-4CA1-BDD0-13A3C146FE59}">
  <dimension ref="A1:BJ26"/>
  <sheetViews>
    <sheetView showGridLines="0" workbookViewId="0">
      <selection activeCell="N28" sqref="N28"/>
    </sheetView>
  </sheetViews>
  <sheetFormatPr defaultRowHeight="14.4" x14ac:dyDescent="0.3"/>
  <cols>
    <col min="1" max="1" width="12.77734375" bestFit="1" customWidth="1"/>
    <col min="2" max="2" width="13.33203125" bestFit="1" customWidth="1"/>
    <col min="8" max="18" width="7" bestFit="1" customWidth="1"/>
  </cols>
  <sheetData>
    <row r="1" spans="1:62" x14ac:dyDescent="0.3">
      <c r="A1" s="1" t="s">
        <v>100</v>
      </c>
      <c r="B1" s="145" t="s">
        <v>213</v>
      </c>
      <c r="C1" s="145"/>
      <c r="D1" s="145"/>
      <c r="E1" s="145"/>
      <c r="F1" s="145"/>
      <c r="G1" s="145"/>
    </row>
    <row r="2" spans="1:62" x14ac:dyDescent="0.3">
      <c r="A2" s="53">
        <f>'Company Growth'!E15</f>
        <v>0</v>
      </c>
      <c r="C2" s="7">
        <v>1</v>
      </c>
      <c r="D2" s="7">
        <v>2</v>
      </c>
      <c r="E2" s="7">
        <v>3</v>
      </c>
      <c r="F2" s="7">
        <v>4</v>
      </c>
      <c r="G2" s="7">
        <v>5</v>
      </c>
      <c r="H2" s="7"/>
      <c r="I2" s="7"/>
      <c r="J2" s="7"/>
      <c r="K2" s="7"/>
      <c r="L2" s="7"/>
    </row>
    <row r="3" spans="1:62" x14ac:dyDescent="0.3">
      <c r="B3" t="s">
        <v>98</v>
      </c>
      <c r="C3" s="3">
        <f>A2</f>
        <v>0</v>
      </c>
      <c r="D3" s="3">
        <f>C3</f>
        <v>0</v>
      </c>
      <c r="E3" s="3">
        <f t="shared" ref="E3:G3" si="0">D3</f>
        <v>0</v>
      </c>
      <c r="F3" s="3">
        <f t="shared" si="0"/>
        <v>0</v>
      </c>
      <c r="G3" s="3">
        <f t="shared" si="0"/>
        <v>0</v>
      </c>
      <c r="H3" s="17"/>
      <c r="I3" s="17"/>
      <c r="J3" s="17"/>
      <c r="K3" s="17"/>
      <c r="L3" s="17"/>
    </row>
    <row r="4" spans="1:62" x14ac:dyDescent="0.3">
      <c r="B4" t="s">
        <v>99</v>
      </c>
      <c r="C4" s="3">
        <f>C3</f>
        <v>0</v>
      </c>
      <c r="D4" s="3">
        <f t="shared" ref="D4" si="1">D3</f>
        <v>0</v>
      </c>
      <c r="E4" s="3">
        <f t="shared" ref="E4" si="2">E3</f>
        <v>0</v>
      </c>
      <c r="F4" s="3">
        <f t="shared" ref="F4" si="3">F3</f>
        <v>0</v>
      </c>
      <c r="G4" s="3">
        <f t="shared" ref="G4" si="4">G3</f>
        <v>0</v>
      </c>
      <c r="H4" s="17"/>
      <c r="I4" s="17"/>
      <c r="J4" s="17"/>
      <c r="K4" s="17"/>
      <c r="L4" s="17"/>
    </row>
    <row r="6" spans="1:62" x14ac:dyDescent="0.3">
      <c r="B6" t="s">
        <v>117</v>
      </c>
    </row>
    <row r="8" spans="1:62" x14ac:dyDescent="0.3">
      <c r="A8" s="1" t="s">
        <v>100</v>
      </c>
      <c r="B8" s="145" t="s">
        <v>36</v>
      </c>
      <c r="C8" s="145"/>
      <c r="D8" s="145"/>
      <c r="E8" s="145"/>
      <c r="F8" s="145"/>
      <c r="G8" s="145"/>
    </row>
    <row r="9" spans="1:62" x14ac:dyDescent="0.3">
      <c r="A9" s="53">
        <v>0.17181245580314108</v>
      </c>
      <c r="C9" s="7">
        <v>1</v>
      </c>
      <c r="D9" s="7">
        <v>2</v>
      </c>
      <c r="E9" s="7">
        <v>3</v>
      </c>
      <c r="F9" s="7">
        <v>4</v>
      </c>
      <c r="G9" s="7">
        <v>5</v>
      </c>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row>
    <row r="10" spans="1:62" x14ac:dyDescent="0.3">
      <c r="B10" t="s">
        <v>98</v>
      </c>
      <c r="C10" s="3">
        <f>A9</f>
        <v>0.17181245580314108</v>
      </c>
      <c r="D10" s="3">
        <f>C10</f>
        <v>0.17181245580314108</v>
      </c>
      <c r="E10" s="3">
        <f t="shared" ref="E10:G10" si="5">D10</f>
        <v>0.17181245580314108</v>
      </c>
      <c r="F10" s="3">
        <f t="shared" si="5"/>
        <v>0.17181245580314108</v>
      </c>
      <c r="G10" s="3">
        <f t="shared" si="5"/>
        <v>0.17181245580314108</v>
      </c>
      <c r="H10" s="17"/>
      <c r="I10" s="17"/>
      <c r="J10" s="17"/>
      <c r="K10" s="17"/>
      <c r="L10" s="17"/>
      <c r="M10" s="17"/>
      <c r="N10" s="17"/>
      <c r="O10" s="18"/>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row>
    <row r="11" spans="1:62" x14ac:dyDescent="0.3">
      <c r="B11" t="s">
        <v>99</v>
      </c>
      <c r="C11" s="3">
        <f>C10</f>
        <v>0.17181245580314108</v>
      </c>
      <c r="D11" s="3">
        <f t="shared" ref="D11:G11" si="6">D10</f>
        <v>0.17181245580314108</v>
      </c>
      <c r="E11" s="3">
        <f t="shared" si="6"/>
        <v>0.17181245580314108</v>
      </c>
      <c r="F11" s="3">
        <f t="shared" si="6"/>
        <v>0.17181245580314108</v>
      </c>
      <c r="G11" s="3">
        <f t="shared" si="6"/>
        <v>0.17181245580314108</v>
      </c>
      <c r="H11" s="17"/>
      <c r="I11" s="17"/>
      <c r="J11" s="17"/>
      <c r="K11" s="17"/>
      <c r="L11" s="17"/>
      <c r="M11" s="17"/>
      <c r="N11" s="17"/>
      <c r="O11" s="18"/>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row>
    <row r="13" spans="1:62" x14ac:dyDescent="0.3">
      <c r="B13" t="s">
        <v>101</v>
      </c>
    </row>
    <row r="16" spans="1:62" x14ac:dyDescent="0.3">
      <c r="A16" s="1" t="s">
        <v>100</v>
      </c>
      <c r="B16" s="145" t="s">
        <v>214</v>
      </c>
      <c r="C16" s="145"/>
      <c r="D16" s="145"/>
      <c r="E16" s="145"/>
      <c r="F16" s="145"/>
      <c r="G16" s="145"/>
    </row>
    <row r="17" spans="1:9" x14ac:dyDescent="0.3">
      <c r="A17" s="53">
        <v>0.54361017947515833</v>
      </c>
      <c r="C17" s="7">
        <v>1</v>
      </c>
      <c r="D17" s="7">
        <v>2</v>
      </c>
      <c r="E17" s="7">
        <v>3</v>
      </c>
      <c r="F17" s="7">
        <v>4</v>
      </c>
      <c r="G17" s="7">
        <v>5</v>
      </c>
      <c r="H17" s="7"/>
    </row>
    <row r="18" spans="1:9" x14ac:dyDescent="0.3">
      <c r="B18" t="s">
        <v>98</v>
      </c>
      <c r="C18" s="3">
        <f>$A$17</f>
        <v>0.54361017947515833</v>
      </c>
      <c r="D18" s="3">
        <f>C18</f>
        <v>0.54361017947515833</v>
      </c>
      <c r="E18" s="3">
        <f t="shared" ref="E18:G18" si="7">D18</f>
        <v>0.54361017947515833</v>
      </c>
      <c r="F18" s="3">
        <f t="shared" si="7"/>
        <v>0.54361017947515833</v>
      </c>
      <c r="G18" s="3">
        <f t="shared" si="7"/>
        <v>0.54361017947515833</v>
      </c>
      <c r="H18" s="17"/>
    </row>
    <row r="19" spans="1:9" x14ac:dyDescent="0.3">
      <c r="B19" t="s">
        <v>99</v>
      </c>
      <c r="C19" s="3">
        <f>C18</f>
        <v>0.54361017947515833</v>
      </c>
      <c r="D19" s="3">
        <f t="shared" ref="D19" si="8">D18</f>
        <v>0.54361017947515833</v>
      </c>
      <c r="E19" s="3">
        <f t="shared" ref="E19" si="9">E18</f>
        <v>0.54361017947515833</v>
      </c>
      <c r="F19" s="3">
        <f t="shared" ref="F19" si="10">F18</f>
        <v>0.54361017947515833</v>
      </c>
      <c r="G19" s="3">
        <f t="shared" ref="G19" si="11">G18</f>
        <v>0.54361017947515833</v>
      </c>
      <c r="H19" s="17"/>
    </row>
    <row r="21" spans="1:9" x14ac:dyDescent="0.3">
      <c r="B21" t="s">
        <v>102</v>
      </c>
    </row>
    <row r="22" spans="1:9" x14ac:dyDescent="0.3">
      <c r="B22" t="s">
        <v>103</v>
      </c>
    </row>
    <row r="25" spans="1:9" x14ac:dyDescent="0.3">
      <c r="A25" s="1" t="s">
        <v>215</v>
      </c>
    </row>
    <row r="26" spans="1:9" x14ac:dyDescent="0.3">
      <c r="A26" s="53">
        <v>0.35771131763914971</v>
      </c>
      <c r="B26" s="116" t="s">
        <v>257</v>
      </c>
      <c r="C26" s="70"/>
      <c r="D26" s="70"/>
      <c r="E26" s="70"/>
      <c r="F26" s="70"/>
      <c r="G26" s="70"/>
      <c r="H26" s="70"/>
      <c r="I26" s="70"/>
    </row>
  </sheetData>
  <mergeCells count="3">
    <mergeCell ref="B8:G8"/>
    <mergeCell ref="B16:G16"/>
    <mergeCell ref="B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88B78-E17D-474B-AF30-139DD0574838}">
  <dimension ref="A1:V33"/>
  <sheetViews>
    <sheetView showGridLines="0" topLeftCell="A8" zoomScale="70" zoomScaleNormal="70" workbookViewId="0">
      <selection activeCell="H22" sqref="H22"/>
    </sheetView>
  </sheetViews>
  <sheetFormatPr defaultRowHeight="14.4" x14ac:dyDescent="0.3"/>
  <cols>
    <col min="3" max="3" width="26.5546875" bestFit="1" customWidth="1"/>
    <col min="4" max="14" width="8.88671875" customWidth="1"/>
    <col min="16" max="16" width="13.44140625" customWidth="1"/>
    <col min="17" max="17" width="9.77734375" bestFit="1" customWidth="1"/>
    <col min="18" max="18" width="13" bestFit="1" customWidth="1"/>
    <col min="19" max="19" width="11.21875" bestFit="1" customWidth="1"/>
    <col min="20" max="20" width="9.6640625" customWidth="1"/>
  </cols>
  <sheetData>
    <row r="1" spans="1:22" hidden="1" x14ac:dyDescent="0.3">
      <c r="D1">
        <v>11</v>
      </c>
      <c r="E1">
        <v>10</v>
      </c>
      <c r="F1">
        <v>9</v>
      </c>
      <c r="G1">
        <v>8</v>
      </c>
      <c r="H1">
        <v>7</v>
      </c>
      <c r="I1">
        <v>6</v>
      </c>
      <c r="J1">
        <v>5</v>
      </c>
      <c r="K1">
        <v>4</v>
      </c>
      <c r="L1">
        <v>3</v>
      </c>
      <c r="M1">
        <v>2</v>
      </c>
      <c r="N1">
        <v>1</v>
      </c>
    </row>
    <row r="2" spans="1:22" hidden="1" x14ac:dyDescent="0.3">
      <c r="D2">
        <v>2022</v>
      </c>
      <c r="E2">
        <v>2021</v>
      </c>
      <c r="F2">
        <v>2020</v>
      </c>
      <c r="G2">
        <v>2019</v>
      </c>
      <c r="H2">
        <v>2018</v>
      </c>
      <c r="I2">
        <v>2017</v>
      </c>
      <c r="J2">
        <v>2016</v>
      </c>
      <c r="K2">
        <v>2015</v>
      </c>
      <c r="L2">
        <v>2014</v>
      </c>
      <c r="M2">
        <v>2013</v>
      </c>
      <c r="N2">
        <v>2012</v>
      </c>
    </row>
    <row r="3" spans="1:22" hidden="1" x14ac:dyDescent="0.3">
      <c r="C3" t="s">
        <v>87</v>
      </c>
      <c r="D3">
        <v>27518</v>
      </c>
      <c r="E3">
        <v>25371</v>
      </c>
      <c r="F3">
        <v>21454</v>
      </c>
      <c r="G3">
        <v>17772</v>
      </c>
      <c r="H3">
        <v>15451</v>
      </c>
      <c r="I3">
        <v>13094</v>
      </c>
      <c r="J3">
        <v>10842</v>
      </c>
      <c r="K3">
        <v>9248</v>
      </c>
      <c r="L3">
        <v>8025</v>
      </c>
      <c r="M3">
        <v>6727</v>
      </c>
      <c r="N3">
        <v>5662</v>
      </c>
    </row>
    <row r="4" spans="1:22" hidden="1" x14ac:dyDescent="0.3"/>
    <row r="5" spans="1:22" hidden="1" x14ac:dyDescent="0.3">
      <c r="C5" t="s">
        <v>86</v>
      </c>
      <c r="D5">
        <v>2022</v>
      </c>
      <c r="E5">
        <v>2021</v>
      </c>
      <c r="F5">
        <v>2020</v>
      </c>
      <c r="G5">
        <v>2019</v>
      </c>
      <c r="H5">
        <v>2018</v>
      </c>
    </row>
    <row r="6" spans="1:22" hidden="1" x14ac:dyDescent="0.3">
      <c r="D6">
        <v>642</v>
      </c>
      <c r="E6">
        <v>238</v>
      </c>
      <c r="F6">
        <v>158</v>
      </c>
      <c r="G6">
        <v>108</v>
      </c>
      <c r="H6">
        <v>65</v>
      </c>
    </row>
    <row r="7" spans="1:22" hidden="1" x14ac:dyDescent="0.3"/>
    <row r="8" spans="1:22" ht="15" thickBot="1" x14ac:dyDescent="0.35">
      <c r="A8" s="70" t="s">
        <v>254</v>
      </c>
      <c r="B8" s="70"/>
      <c r="P8" s="1" t="s">
        <v>104</v>
      </c>
    </row>
    <row r="9" spans="1:22" s="1" customFormat="1" x14ac:dyDescent="0.3">
      <c r="C9" s="45"/>
      <c r="D9" s="50">
        <v>2012</v>
      </c>
      <c r="E9" s="50">
        <v>2013</v>
      </c>
      <c r="F9" s="50">
        <v>2014</v>
      </c>
      <c r="G9" s="50">
        <v>2015</v>
      </c>
      <c r="H9" s="50">
        <v>2016</v>
      </c>
      <c r="I9" s="50">
        <v>2017</v>
      </c>
      <c r="J9" s="50">
        <v>2018</v>
      </c>
      <c r="K9" s="50">
        <v>2019</v>
      </c>
      <c r="L9" s="50">
        <v>2020</v>
      </c>
      <c r="M9" s="50">
        <v>2021</v>
      </c>
      <c r="N9" s="51">
        <v>2022</v>
      </c>
      <c r="P9" s="36"/>
      <c r="Q9" s="36" t="s">
        <v>12</v>
      </c>
      <c r="R9" s="36" t="s">
        <v>90</v>
      </c>
      <c r="S9" s="36" t="s">
        <v>9</v>
      </c>
      <c r="T9" s="36" t="s">
        <v>93</v>
      </c>
      <c r="U9" s="36" t="s">
        <v>91</v>
      </c>
    </row>
    <row r="10" spans="1:22" ht="15" hidden="1" thickBot="1" x14ac:dyDescent="0.35">
      <c r="C10" s="46"/>
      <c r="D10">
        <v>1</v>
      </c>
      <c r="E10">
        <v>2</v>
      </c>
      <c r="F10">
        <v>3</v>
      </c>
      <c r="G10">
        <v>4</v>
      </c>
      <c r="H10">
        <v>5</v>
      </c>
      <c r="I10">
        <v>6</v>
      </c>
      <c r="J10">
        <v>7</v>
      </c>
      <c r="K10">
        <v>8</v>
      </c>
      <c r="L10">
        <v>9</v>
      </c>
      <c r="M10">
        <v>10</v>
      </c>
      <c r="N10" s="38">
        <v>11</v>
      </c>
      <c r="P10" s="32" t="s">
        <v>88</v>
      </c>
      <c r="Q10" s="35">
        <v>27518000</v>
      </c>
      <c r="R10" s="35">
        <v>13745000</v>
      </c>
      <c r="S10" s="35">
        <v>13773000</v>
      </c>
      <c r="T10" s="35">
        <v>9729000</v>
      </c>
      <c r="U10">
        <f>S10/Q10</f>
        <v>0.50050875790391747</v>
      </c>
    </row>
    <row r="11" spans="1:22" ht="15" thickBot="1" x14ac:dyDescent="0.35">
      <c r="C11" s="47" t="str">
        <f>C3</f>
        <v>Paypal Revenue ($ mil)</v>
      </c>
      <c r="D11" s="39">
        <f>HLOOKUP(D10,$D$1:$N$3,3,FALSE)</f>
        <v>5662</v>
      </c>
      <c r="E11" s="39">
        <f t="shared" ref="E11:N11" si="0">HLOOKUP(E10,$D$1:$N$3,3,FALSE)</f>
        <v>6727</v>
      </c>
      <c r="F11" s="39">
        <f t="shared" si="0"/>
        <v>8025</v>
      </c>
      <c r="G11" s="39">
        <f t="shared" si="0"/>
        <v>9248</v>
      </c>
      <c r="H11" s="39">
        <f t="shared" si="0"/>
        <v>10842</v>
      </c>
      <c r="I11" s="39">
        <f t="shared" si="0"/>
        <v>13094</v>
      </c>
      <c r="J11" s="39">
        <f t="shared" si="0"/>
        <v>15451</v>
      </c>
      <c r="K11" s="39">
        <f t="shared" si="0"/>
        <v>17772</v>
      </c>
      <c r="L11" s="39">
        <f t="shared" si="0"/>
        <v>21454</v>
      </c>
      <c r="M11" s="39">
        <f t="shared" si="0"/>
        <v>25371</v>
      </c>
      <c r="N11" s="40">
        <f t="shared" si="0"/>
        <v>27518</v>
      </c>
      <c r="P11" s="33">
        <v>44926</v>
      </c>
      <c r="Q11" s="35">
        <v>27518000</v>
      </c>
      <c r="R11" s="35">
        <v>13745000</v>
      </c>
      <c r="S11" s="35">
        <v>13773000</v>
      </c>
      <c r="T11" s="35">
        <v>9729000</v>
      </c>
      <c r="U11">
        <f t="shared" ref="U11:U14" si="1">S11/Q11</f>
        <v>0.50050875790391747</v>
      </c>
    </row>
    <row r="12" spans="1:22" ht="15" thickBot="1" x14ac:dyDescent="0.35">
      <c r="C12" s="48" t="s">
        <v>85</v>
      </c>
      <c r="D12" s="41"/>
      <c r="E12" s="42">
        <f>(E11-D11)/D11</f>
        <v>0.18809607912398446</v>
      </c>
      <c r="F12" s="42">
        <f t="shared" ref="F12:N12" si="2">(F11-E11)/E11</f>
        <v>0.19295376839601605</v>
      </c>
      <c r="G12" s="42">
        <f t="shared" si="2"/>
        <v>0.152398753894081</v>
      </c>
      <c r="H12" s="42">
        <f t="shared" si="2"/>
        <v>0.17236159169550172</v>
      </c>
      <c r="I12" s="42">
        <f t="shared" si="2"/>
        <v>0.20771075447334439</v>
      </c>
      <c r="J12" s="42">
        <f t="shared" si="2"/>
        <v>0.18000610966855049</v>
      </c>
      <c r="K12" s="42">
        <f t="shared" si="2"/>
        <v>0.15021681444566695</v>
      </c>
      <c r="L12" s="42">
        <f t="shared" si="2"/>
        <v>0.2071798334458699</v>
      </c>
      <c r="M12" s="42">
        <f t="shared" si="2"/>
        <v>0.18257667567819522</v>
      </c>
      <c r="N12" s="43">
        <f t="shared" si="2"/>
        <v>8.462417721020063E-2</v>
      </c>
      <c r="P12" s="33">
        <v>44561</v>
      </c>
      <c r="Q12" s="35">
        <v>25371000</v>
      </c>
      <c r="R12" s="35">
        <v>11375000</v>
      </c>
      <c r="S12" s="35">
        <v>13996000</v>
      </c>
      <c r="T12" s="35">
        <v>9672000</v>
      </c>
      <c r="U12">
        <f t="shared" si="1"/>
        <v>0.55165346261479642</v>
      </c>
    </row>
    <row r="13" spans="1:22" ht="15" thickBot="1" x14ac:dyDescent="0.35">
      <c r="M13" s="1" t="s">
        <v>40</v>
      </c>
      <c r="N13" s="115">
        <f>AVERAGE(E12:N12)</f>
        <v>0.17181245580314108</v>
      </c>
      <c r="P13" s="33">
        <v>44196</v>
      </c>
      <c r="Q13" s="35">
        <v>21454000</v>
      </c>
      <c r="R13" s="35">
        <v>9675000</v>
      </c>
      <c r="S13" s="35">
        <v>11779000</v>
      </c>
      <c r="T13" s="35">
        <v>8351000</v>
      </c>
      <c r="U13">
        <f t="shared" si="1"/>
        <v>0.54903514496131256</v>
      </c>
    </row>
    <row r="14" spans="1:22" ht="15" thickBot="1" x14ac:dyDescent="0.35">
      <c r="C14" s="49"/>
      <c r="D14" s="44"/>
      <c r="E14" s="44"/>
      <c r="F14" s="44"/>
      <c r="G14" s="44"/>
      <c r="H14" s="44"/>
      <c r="I14" s="44"/>
      <c r="J14" s="50">
        <f t="shared" ref="J14:M14" si="3">J9</f>
        <v>2018</v>
      </c>
      <c r="K14" s="50">
        <f t="shared" si="3"/>
        <v>2019</v>
      </c>
      <c r="L14" s="50">
        <f t="shared" si="3"/>
        <v>2020</v>
      </c>
      <c r="M14" s="50">
        <f t="shared" si="3"/>
        <v>2021</v>
      </c>
      <c r="N14" s="51">
        <f>N9</f>
        <v>2022</v>
      </c>
      <c r="P14" s="33">
        <v>43830</v>
      </c>
      <c r="Q14" s="35">
        <v>17772000</v>
      </c>
      <c r="R14" s="35">
        <v>8170000</v>
      </c>
      <c r="S14" s="35">
        <v>9602000</v>
      </c>
      <c r="T14" s="35">
        <v>6812000</v>
      </c>
      <c r="U14">
        <f t="shared" si="1"/>
        <v>0.54028809363042984</v>
      </c>
    </row>
    <row r="15" spans="1:22" x14ac:dyDescent="0.3">
      <c r="C15" s="47" t="str">
        <f>C5</f>
        <v>Bill Holdings Revenue ($ mil)</v>
      </c>
      <c r="D15" t="str">
        <f>IF(HLOOKUP(D10,$D$1:$N$6,6,FALSE)=0,"",HLOOKUP(D10,$D$1:$N$6,6,FALSE))</f>
        <v/>
      </c>
      <c r="E15" t="str">
        <f t="shared" ref="E15:N15" si="4">IF(HLOOKUP(E10,$D$1:$N$6,6,FALSE)=0,"",HLOOKUP(E10,$D$1:$N$6,6,FALSE))</f>
        <v/>
      </c>
      <c r="F15" t="str">
        <f t="shared" si="4"/>
        <v/>
      </c>
      <c r="G15" t="str">
        <f t="shared" si="4"/>
        <v/>
      </c>
      <c r="H15" t="str">
        <f t="shared" si="4"/>
        <v/>
      </c>
      <c r="I15" t="str">
        <f t="shared" si="4"/>
        <v/>
      </c>
      <c r="J15">
        <f t="shared" si="4"/>
        <v>65</v>
      </c>
      <c r="K15">
        <f t="shared" si="4"/>
        <v>108</v>
      </c>
      <c r="L15">
        <f t="shared" si="4"/>
        <v>158</v>
      </c>
      <c r="M15">
        <f t="shared" si="4"/>
        <v>238</v>
      </c>
      <c r="N15" s="38">
        <f t="shared" si="4"/>
        <v>642</v>
      </c>
      <c r="T15" s="1" t="s">
        <v>40</v>
      </c>
      <c r="U15" s="114">
        <f>AVERAGE(U10:U14)</f>
        <v>0.5283988434028748</v>
      </c>
    </row>
    <row r="16" spans="1:22" ht="15" thickBot="1" x14ac:dyDescent="0.35">
      <c r="C16" s="48" t="s">
        <v>85</v>
      </c>
      <c r="D16" s="41"/>
      <c r="E16" s="41"/>
      <c r="F16" s="41"/>
      <c r="G16" s="41"/>
      <c r="H16" s="41"/>
      <c r="I16" s="41"/>
      <c r="J16" s="41"/>
      <c r="K16" s="42">
        <f t="shared" ref="K16" si="5">(K15-J15)/J15</f>
        <v>0.66153846153846152</v>
      </c>
      <c r="L16" s="42">
        <f t="shared" ref="L16" si="6">(L15-K15)/K15</f>
        <v>0.46296296296296297</v>
      </c>
      <c r="M16" s="42">
        <f t="shared" ref="M16" si="7">(M15-L15)/L15</f>
        <v>0.50632911392405067</v>
      </c>
      <c r="N16" s="43">
        <f t="shared" ref="N16" si="8">(N15-M15)/M15</f>
        <v>1.6974789915966386</v>
      </c>
      <c r="V16" s="34"/>
    </row>
    <row r="17" spans="1:21" x14ac:dyDescent="0.3">
      <c r="M17" s="1" t="s">
        <v>40</v>
      </c>
      <c r="N17" s="115">
        <f>AVERAGE(K16:N16)</f>
        <v>0.83207738250552843</v>
      </c>
      <c r="P17" s="1" t="s">
        <v>92</v>
      </c>
    </row>
    <row r="18" spans="1:21" x14ac:dyDescent="0.3">
      <c r="M18" s="1" t="s">
        <v>212</v>
      </c>
      <c r="N18" s="115">
        <f>AVERAGE(K16:M16)</f>
        <v>0.54361017947515833</v>
      </c>
      <c r="P18" s="34"/>
      <c r="Q18" s="34" t="s">
        <v>12</v>
      </c>
      <c r="R18" s="34" t="s">
        <v>89</v>
      </c>
      <c r="S18" s="34" t="s">
        <v>90</v>
      </c>
      <c r="T18" s="34" t="s">
        <v>9</v>
      </c>
      <c r="U18" s="34" t="s">
        <v>91</v>
      </c>
    </row>
    <row r="19" spans="1:21" ht="15" thickBot="1" x14ac:dyDescent="0.35">
      <c r="P19" s="32" t="s">
        <v>88</v>
      </c>
      <c r="Q19" s="35">
        <v>857062</v>
      </c>
      <c r="R19" s="35">
        <v>857062</v>
      </c>
      <c r="S19" s="35">
        <v>173358</v>
      </c>
      <c r="T19" s="35">
        <v>683704</v>
      </c>
      <c r="U19">
        <f>T19/Q19</f>
        <v>0.79772991918904346</v>
      </c>
    </row>
    <row r="20" spans="1:21" ht="15" thickBot="1" x14ac:dyDescent="0.35">
      <c r="P20" s="33">
        <v>44742</v>
      </c>
      <c r="Q20" s="35">
        <v>641959</v>
      </c>
      <c r="R20" s="35">
        <v>641959</v>
      </c>
      <c r="S20" s="35">
        <v>145004</v>
      </c>
      <c r="T20" s="35">
        <v>496955</v>
      </c>
      <c r="U20">
        <f t="shared" ref="U20:U22" si="9">T20/Q20</f>
        <v>0.7741226464618457</v>
      </c>
    </row>
    <row r="21" spans="1:21" ht="15" thickBot="1" x14ac:dyDescent="0.35">
      <c r="P21" s="33">
        <v>44377</v>
      </c>
      <c r="Q21" s="35">
        <v>238265</v>
      </c>
      <c r="R21" s="35">
        <v>238265</v>
      </c>
      <c r="S21" s="35">
        <v>61806</v>
      </c>
      <c r="T21" s="35">
        <v>176459</v>
      </c>
      <c r="U21">
        <f t="shared" si="9"/>
        <v>0.74059975237655551</v>
      </c>
    </row>
    <row r="22" spans="1:21" ht="15" thickBot="1" x14ac:dyDescent="0.35">
      <c r="P22" s="33">
        <v>44012</v>
      </c>
      <c r="Q22" s="35">
        <v>157600</v>
      </c>
      <c r="R22" s="35">
        <v>157600</v>
      </c>
      <c r="S22" s="35">
        <v>39144</v>
      </c>
      <c r="T22" s="35">
        <v>118456</v>
      </c>
      <c r="U22">
        <f t="shared" si="9"/>
        <v>0.75162436548223355</v>
      </c>
    </row>
    <row r="23" spans="1:21" x14ac:dyDescent="0.3">
      <c r="T23" s="1" t="s">
        <v>40</v>
      </c>
      <c r="U23" s="114">
        <f>AVERAGE(U19:U22)</f>
        <v>0.76601917087741955</v>
      </c>
    </row>
    <row r="24" spans="1:21" x14ac:dyDescent="0.3">
      <c r="T24" t="s">
        <v>40</v>
      </c>
    </row>
    <row r="26" spans="1:21" x14ac:dyDescent="0.3">
      <c r="A26" s="31" t="s">
        <v>83</v>
      </c>
    </row>
    <row r="27" spans="1:21" x14ac:dyDescent="0.3">
      <c r="A27" t="s">
        <v>84</v>
      </c>
      <c r="B27" t="s">
        <v>82</v>
      </c>
    </row>
    <row r="28" spans="1:21" ht="15" thickBot="1" x14ac:dyDescent="0.35">
      <c r="B28" t="s">
        <v>97</v>
      </c>
    </row>
    <row r="29" spans="1:21" ht="15" thickBot="1" x14ac:dyDescent="0.35">
      <c r="A29" t="s">
        <v>94</v>
      </c>
      <c r="B29" t="s">
        <v>96</v>
      </c>
      <c r="D29" s="30"/>
    </row>
    <row r="30" spans="1:21" ht="15" thickBot="1" x14ac:dyDescent="0.35">
      <c r="B30" t="s">
        <v>95</v>
      </c>
      <c r="C30" s="29"/>
      <c r="D30" s="30"/>
    </row>
    <row r="31" spans="1:21" ht="15" thickBot="1" x14ac:dyDescent="0.35">
      <c r="C31" s="29"/>
      <c r="D31" s="30"/>
    </row>
    <row r="32" spans="1:21" ht="15" thickBot="1" x14ac:dyDescent="0.35">
      <c r="C32" s="29"/>
      <c r="D32" s="30"/>
    </row>
    <row r="33" spans="3:4" x14ac:dyDescent="0.3">
      <c r="C33" s="29"/>
      <c r="D33" s="30"/>
    </row>
  </sheetData>
  <phoneticPr fontId="4"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591E7-926F-42C5-9AA5-BC71D1FE55B3}">
  <dimension ref="A1:Z31"/>
  <sheetViews>
    <sheetView showGridLines="0" zoomScale="70" zoomScaleNormal="70" workbookViewId="0">
      <selection activeCell="L33" sqref="L33"/>
    </sheetView>
  </sheetViews>
  <sheetFormatPr defaultRowHeight="14.4" x14ac:dyDescent="0.3"/>
  <cols>
    <col min="1" max="1" width="24.6640625" bestFit="1" customWidth="1"/>
    <col min="2" max="3" width="15.6640625" style="37" bestFit="1" customWidth="1"/>
    <col min="4" max="4" width="7.88671875" style="37" bestFit="1" customWidth="1"/>
    <col min="5" max="5" width="21.44140625" bestFit="1" customWidth="1"/>
    <col min="19" max="19" width="25.5546875" bestFit="1" customWidth="1"/>
  </cols>
  <sheetData>
    <row r="1" spans="1:20" x14ac:dyDescent="0.3">
      <c r="B1" s="7" t="s">
        <v>35</v>
      </c>
      <c r="C1" s="7" t="s">
        <v>36</v>
      </c>
      <c r="D1" s="7"/>
      <c r="S1" t="s">
        <v>186</v>
      </c>
    </row>
    <row r="2" spans="1:20" x14ac:dyDescent="0.3">
      <c r="A2" s="2" t="s">
        <v>37</v>
      </c>
      <c r="B2" s="58"/>
      <c r="C2" s="58"/>
      <c r="D2" s="74"/>
      <c r="S2" s="117">
        <v>41639</v>
      </c>
      <c r="T2">
        <v>29.6</v>
      </c>
    </row>
    <row r="3" spans="1:20" x14ac:dyDescent="0.3">
      <c r="A3" s="2" t="s">
        <v>115</v>
      </c>
      <c r="B3" s="37" t="s">
        <v>105</v>
      </c>
      <c r="C3" s="37" t="s">
        <v>106</v>
      </c>
      <c r="S3" s="117">
        <v>42004</v>
      </c>
      <c r="T3">
        <v>11.39</v>
      </c>
    </row>
    <row r="4" spans="1:20" x14ac:dyDescent="0.3">
      <c r="S4" s="117">
        <v>42369</v>
      </c>
      <c r="T4">
        <v>-0.73</v>
      </c>
    </row>
    <row r="5" spans="1:20" x14ac:dyDescent="0.3">
      <c r="S5" s="117">
        <v>42734</v>
      </c>
      <c r="T5">
        <v>9.5399999999999991</v>
      </c>
    </row>
    <row r="6" spans="1:20" x14ac:dyDescent="0.3">
      <c r="A6" t="s">
        <v>116</v>
      </c>
      <c r="S6" s="117">
        <v>43098</v>
      </c>
      <c r="T6">
        <v>19.420000000000002</v>
      </c>
    </row>
    <row r="7" spans="1:20" x14ac:dyDescent="0.3">
      <c r="S7" s="117">
        <v>43465</v>
      </c>
      <c r="T7">
        <v>-6.24</v>
      </c>
    </row>
    <row r="8" spans="1:20" x14ac:dyDescent="0.3">
      <c r="A8" t="s">
        <v>38</v>
      </c>
      <c r="S8" s="117">
        <v>43830</v>
      </c>
      <c r="T8">
        <v>28.88</v>
      </c>
    </row>
    <row r="9" spans="1:20" x14ac:dyDescent="0.3">
      <c r="A9" t="s">
        <v>39</v>
      </c>
      <c r="S9" s="117">
        <v>44196</v>
      </c>
      <c r="T9">
        <v>16.260000000000002</v>
      </c>
    </row>
    <row r="10" spans="1:20" x14ac:dyDescent="0.3">
      <c r="S10" s="117">
        <v>44561</v>
      </c>
      <c r="T10">
        <v>26.89</v>
      </c>
    </row>
    <row r="11" spans="1:20" x14ac:dyDescent="0.3">
      <c r="A11" t="s">
        <v>43</v>
      </c>
      <c r="S11" s="117">
        <v>44926</v>
      </c>
      <c r="T11">
        <v>-19.440000000000001</v>
      </c>
    </row>
    <row r="12" spans="1:20" x14ac:dyDescent="0.3">
      <c r="A12" t="s">
        <v>42</v>
      </c>
      <c r="S12" s="1" t="s">
        <v>40</v>
      </c>
      <c r="T12" s="1">
        <f>AVERAGE(T2:T11)</f>
        <v>11.556999999999999</v>
      </c>
    </row>
    <row r="13" spans="1:20" x14ac:dyDescent="0.3">
      <c r="A13" t="s">
        <v>184</v>
      </c>
      <c r="B13" s="69" t="s">
        <v>183</v>
      </c>
    </row>
    <row r="14" spans="1:20" x14ac:dyDescent="0.3">
      <c r="D14"/>
    </row>
    <row r="15" spans="1:20" x14ac:dyDescent="0.3">
      <c r="B15" s="7" t="s">
        <v>35</v>
      </c>
      <c r="C15" s="7" t="s">
        <v>36</v>
      </c>
      <c r="D15"/>
    </row>
    <row r="16" spans="1:20" x14ac:dyDescent="0.3">
      <c r="A16" s="2" t="s">
        <v>185</v>
      </c>
      <c r="B16" s="37">
        <v>1.93</v>
      </c>
      <c r="C16" s="37">
        <v>1.32</v>
      </c>
      <c r="E16" s="2" t="s">
        <v>182</v>
      </c>
      <c r="F16" s="58">
        <v>4.1099999999999998E-2</v>
      </c>
    </row>
    <row r="17" spans="1:26" x14ac:dyDescent="0.3">
      <c r="A17" s="2" t="s">
        <v>181</v>
      </c>
      <c r="B17" s="71">
        <f>$F$16+(B16*($F$17-$F$16))</f>
        <v>0.18482709999999999</v>
      </c>
      <c r="C17" s="71">
        <f>$F$16+(C16*($F$17-$F$16))</f>
        <v>0.13940039999999998</v>
      </c>
      <c r="E17" s="2" t="s">
        <v>187</v>
      </c>
      <c r="F17" s="58">
        <f>T12/100</f>
        <v>0.11556999999999999</v>
      </c>
    </row>
    <row r="18" spans="1:26" x14ac:dyDescent="0.3">
      <c r="A18" s="2" t="s">
        <v>180</v>
      </c>
      <c r="B18" s="58">
        <v>4.3499999999999997E-2</v>
      </c>
      <c r="C18" s="58">
        <v>5.0500000000000003E-2</v>
      </c>
      <c r="E18" s="2" t="s">
        <v>188</v>
      </c>
      <c r="F18" s="58">
        <f>F17-F16</f>
        <v>7.4469999999999995E-2</v>
      </c>
      <c r="Z18" t="s">
        <v>199</v>
      </c>
    </row>
    <row r="19" spans="1:26" x14ac:dyDescent="0.3">
      <c r="A19" s="2" t="s">
        <v>195</v>
      </c>
      <c r="B19" s="37">
        <v>0.44040000000000001</v>
      </c>
      <c r="C19" s="37">
        <v>0.53</v>
      </c>
      <c r="E19" s="2" t="s">
        <v>196</v>
      </c>
      <c r="F19" s="3">
        <v>0.21</v>
      </c>
      <c r="X19" t="s">
        <v>197</v>
      </c>
    </row>
    <row r="20" spans="1:26" x14ac:dyDescent="0.3">
      <c r="A20" s="2" t="s">
        <v>201</v>
      </c>
      <c r="B20" s="61">
        <f>B19/(B19+1)</f>
        <v>0.30574840322132746</v>
      </c>
      <c r="C20" s="61">
        <f>C19/(C19+1)</f>
        <v>0.34640522875816993</v>
      </c>
      <c r="E20" s="2" t="s">
        <v>209</v>
      </c>
      <c r="F20" s="73">
        <f>AVERAGE(B23:C23)</f>
        <v>8.8477089920644542E-2</v>
      </c>
      <c r="X20" t="s">
        <v>198</v>
      </c>
    </row>
    <row r="21" spans="1:26" x14ac:dyDescent="0.3">
      <c r="A21" s="2" t="s">
        <v>206</v>
      </c>
      <c r="B21" s="61">
        <f>1-B20</f>
        <v>0.69425159677867254</v>
      </c>
      <c r="C21" s="61">
        <f>1-C20</f>
        <v>0.65359477124183007</v>
      </c>
    </row>
    <row r="22" spans="1:26" x14ac:dyDescent="0.3">
      <c r="A22" s="2" t="s">
        <v>37</v>
      </c>
      <c r="B22" s="71">
        <f>(B21*B17)+(B20*B18*(1-$F$19))</f>
        <v>0.13882355317967232</v>
      </c>
      <c r="C22" s="71">
        <f>(C21*C17)+(C20*C18*(1-$F$19))</f>
        <v>0.10493120915032678</v>
      </c>
    </row>
    <row r="23" spans="1:26" x14ac:dyDescent="0.3">
      <c r="A23" s="2" t="s">
        <v>207</v>
      </c>
      <c r="B23" s="71">
        <f>B22/(1+((1-$F$19)*B20/B21))</f>
        <v>0.10299124958801016</v>
      </c>
      <c r="C23" s="71">
        <f>C22/(1+((1-$F$19)*C20/C21))</f>
        <v>7.3962930253278908E-2</v>
      </c>
      <c r="Y23" t="s">
        <v>200</v>
      </c>
    </row>
    <row r="24" spans="1:26" x14ac:dyDescent="0.3">
      <c r="A24" s="2"/>
    </row>
    <row r="26" spans="1:26" x14ac:dyDescent="0.3">
      <c r="A26" t="s">
        <v>189</v>
      </c>
      <c r="B26" t="s">
        <v>190</v>
      </c>
    </row>
    <row r="27" spans="1:26" x14ac:dyDescent="0.3">
      <c r="A27" t="s">
        <v>216</v>
      </c>
      <c r="B27" t="s">
        <v>191</v>
      </c>
    </row>
    <row r="28" spans="1:26" x14ac:dyDescent="0.3">
      <c r="A28" t="s">
        <v>192</v>
      </c>
      <c r="B28" t="s">
        <v>193</v>
      </c>
    </row>
    <row r="29" spans="1:26" x14ac:dyDescent="0.3">
      <c r="A29" t="s">
        <v>217</v>
      </c>
      <c r="B29" t="s">
        <v>194</v>
      </c>
    </row>
    <row r="30" spans="1:26" x14ac:dyDescent="0.3">
      <c r="A30" t="s">
        <v>202</v>
      </c>
      <c r="B30" t="s">
        <v>203</v>
      </c>
    </row>
    <row r="31" spans="1:26" ht="15" x14ac:dyDescent="0.35">
      <c r="A31" t="s">
        <v>204</v>
      </c>
      <c r="B31" t="s">
        <v>205</v>
      </c>
      <c r="L31" s="72" t="s">
        <v>208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7607C-39FD-4DA9-9468-85D22A61DD7F}">
  <dimension ref="A1:AF67"/>
  <sheetViews>
    <sheetView topLeftCell="A34" zoomScale="70" zoomScaleNormal="70" workbookViewId="0">
      <selection activeCell="X73" sqref="X73"/>
    </sheetView>
  </sheetViews>
  <sheetFormatPr defaultRowHeight="14.4" x14ac:dyDescent="0.3"/>
  <sheetData>
    <row r="1" spans="1:15" x14ac:dyDescent="0.3">
      <c r="B1" t="s">
        <v>132</v>
      </c>
      <c r="C1" s="1">
        <v>2023</v>
      </c>
      <c r="D1" t="s">
        <v>133</v>
      </c>
      <c r="F1" t="s">
        <v>144</v>
      </c>
      <c r="K1" t="s">
        <v>139</v>
      </c>
    </row>
    <row r="2" spans="1:15" x14ac:dyDescent="0.3">
      <c r="B2" t="s">
        <v>125</v>
      </c>
      <c r="C2">
        <v>972</v>
      </c>
      <c r="D2">
        <v>1</v>
      </c>
      <c r="K2" t="s">
        <v>140</v>
      </c>
    </row>
    <row r="3" spans="1:15" x14ac:dyDescent="0.3">
      <c r="B3" t="s">
        <v>126</v>
      </c>
      <c r="C3">
        <v>675</v>
      </c>
      <c r="D3">
        <v>2</v>
      </c>
      <c r="F3" t="s">
        <v>174</v>
      </c>
      <c r="J3">
        <v>2023</v>
      </c>
      <c r="K3" s="1" t="s">
        <v>142</v>
      </c>
      <c r="M3" t="s">
        <v>146</v>
      </c>
      <c r="O3" t="s">
        <v>147</v>
      </c>
    </row>
    <row r="4" spans="1:15" x14ac:dyDescent="0.3">
      <c r="B4" t="s">
        <v>127</v>
      </c>
      <c r="C4">
        <v>795</v>
      </c>
      <c r="F4" t="s">
        <v>175</v>
      </c>
      <c r="M4" t="s">
        <v>148</v>
      </c>
    </row>
    <row r="5" spans="1:15" x14ac:dyDescent="0.3">
      <c r="B5" t="s">
        <v>128</v>
      </c>
      <c r="C5">
        <v>798</v>
      </c>
    </row>
    <row r="6" spans="1:15" x14ac:dyDescent="0.3">
      <c r="B6" t="s">
        <v>129</v>
      </c>
      <c r="C6">
        <v>919</v>
      </c>
      <c r="M6" t="s">
        <v>150</v>
      </c>
    </row>
    <row r="7" spans="1:15" x14ac:dyDescent="0.3">
      <c r="B7" t="s">
        <v>130</v>
      </c>
      <c r="C7">
        <v>804</v>
      </c>
      <c r="M7" t="s">
        <v>149</v>
      </c>
    </row>
    <row r="8" spans="1:15" x14ac:dyDescent="0.3">
      <c r="B8" t="s">
        <v>131</v>
      </c>
      <c r="C8">
        <v>388</v>
      </c>
      <c r="D8">
        <v>2</v>
      </c>
    </row>
    <row r="9" spans="1:15" x14ac:dyDescent="0.3">
      <c r="M9" t="s">
        <v>66</v>
      </c>
    </row>
    <row r="10" spans="1:15" x14ac:dyDescent="0.3">
      <c r="B10" t="s">
        <v>132</v>
      </c>
      <c r="C10" s="1">
        <v>2022</v>
      </c>
      <c r="D10" t="s">
        <v>141</v>
      </c>
      <c r="M10" t="s">
        <v>65</v>
      </c>
    </row>
    <row r="11" spans="1:15" x14ac:dyDescent="0.3">
      <c r="B11" t="s">
        <v>125</v>
      </c>
      <c r="C11">
        <v>1447</v>
      </c>
      <c r="M11" t="s">
        <v>151</v>
      </c>
    </row>
    <row r="12" spans="1:15" x14ac:dyDescent="0.3">
      <c r="B12" t="s">
        <v>126</v>
      </c>
      <c r="C12">
        <v>1479</v>
      </c>
    </row>
    <row r="13" spans="1:15" x14ac:dyDescent="0.3">
      <c r="A13" t="s">
        <v>172</v>
      </c>
      <c r="B13" t="s">
        <v>127</v>
      </c>
      <c r="C13">
        <v>1575</v>
      </c>
      <c r="K13" t="s">
        <v>143</v>
      </c>
    </row>
    <row r="14" spans="1:15" x14ac:dyDescent="0.3">
      <c r="A14" t="s">
        <v>173</v>
      </c>
      <c r="B14" t="s">
        <v>128</v>
      </c>
      <c r="C14">
        <v>1664</v>
      </c>
    </row>
    <row r="15" spans="1:15" x14ac:dyDescent="0.3">
      <c r="B15" t="s">
        <v>129</v>
      </c>
      <c r="C15">
        <v>1623</v>
      </c>
    </row>
    <row r="16" spans="1:15" x14ac:dyDescent="0.3">
      <c r="B16" t="s">
        <v>130</v>
      </c>
      <c r="C16">
        <v>2261</v>
      </c>
      <c r="M16" t="s">
        <v>152</v>
      </c>
    </row>
    <row r="17" spans="1:27" x14ac:dyDescent="0.3">
      <c r="B17" t="s">
        <v>131</v>
      </c>
      <c r="C17">
        <v>2312</v>
      </c>
      <c r="M17" s="1" t="s">
        <v>153</v>
      </c>
    </row>
    <row r="18" spans="1:27" x14ac:dyDescent="0.3">
      <c r="B18" t="s">
        <v>134</v>
      </c>
      <c r="C18">
        <v>2421</v>
      </c>
      <c r="Z18" s="1" t="s">
        <v>68</v>
      </c>
    </row>
    <row r="19" spans="1:27" x14ac:dyDescent="0.3">
      <c r="B19" t="s">
        <v>135</v>
      </c>
      <c r="C19">
        <v>1912</v>
      </c>
      <c r="L19" t="s">
        <v>168</v>
      </c>
      <c r="M19">
        <v>1</v>
      </c>
      <c r="N19">
        <v>6</v>
      </c>
      <c r="O19">
        <v>6</v>
      </c>
      <c r="P19">
        <v>6</v>
      </c>
      <c r="Q19">
        <v>6</v>
      </c>
      <c r="Z19" s="1"/>
    </row>
    <row r="20" spans="1:27" x14ac:dyDescent="0.3">
      <c r="B20" t="s">
        <v>136</v>
      </c>
      <c r="C20">
        <v>2082</v>
      </c>
      <c r="M20" t="s">
        <v>154</v>
      </c>
      <c r="N20" t="s">
        <v>155</v>
      </c>
      <c r="O20" t="s">
        <v>156</v>
      </c>
      <c r="P20" t="s">
        <v>160</v>
      </c>
      <c r="Q20" t="s">
        <v>161</v>
      </c>
      <c r="Z20" s="1"/>
    </row>
    <row r="21" spans="1:27" x14ac:dyDescent="0.3">
      <c r="B21" t="s">
        <v>137</v>
      </c>
      <c r="C21">
        <v>1752</v>
      </c>
      <c r="L21" t="s">
        <v>157</v>
      </c>
      <c r="N21">
        <v>1</v>
      </c>
      <c r="O21">
        <v>3</v>
      </c>
      <c r="P21">
        <v>2</v>
      </c>
      <c r="Y21" t="s">
        <v>67</v>
      </c>
      <c r="Z21" t="s">
        <v>69</v>
      </c>
    </row>
    <row r="22" spans="1:27" x14ac:dyDescent="0.3">
      <c r="B22" t="s">
        <v>138</v>
      </c>
      <c r="C22">
        <v>2036</v>
      </c>
      <c r="L22" t="s">
        <v>158</v>
      </c>
      <c r="N22">
        <v>1</v>
      </c>
      <c r="P22">
        <v>2</v>
      </c>
      <c r="Y22" s="1"/>
      <c r="Z22" s="1" t="s">
        <v>70</v>
      </c>
      <c r="AA22" s="1"/>
    </row>
    <row r="23" spans="1:27" x14ac:dyDescent="0.3">
      <c r="L23" t="s">
        <v>159</v>
      </c>
      <c r="O23">
        <v>1</v>
      </c>
      <c r="Y23" s="22"/>
      <c r="Z23" s="22" t="s">
        <v>71</v>
      </c>
      <c r="AA23" s="22"/>
    </row>
    <row r="24" spans="1:27" x14ac:dyDescent="0.3">
      <c r="L24" t="s">
        <v>162</v>
      </c>
      <c r="Y24" s="22"/>
      <c r="Z24" s="22" t="s">
        <v>73</v>
      </c>
      <c r="AA24" s="22"/>
    </row>
    <row r="25" spans="1:27" ht="87.6" customHeight="1" x14ac:dyDescent="0.3">
      <c r="A25" s="152" t="s">
        <v>33</v>
      </c>
      <c r="B25" s="152"/>
      <c r="C25" s="152"/>
      <c r="D25" s="152"/>
      <c r="E25" s="1" t="s">
        <v>259</v>
      </c>
      <c r="Z25" t="s">
        <v>66</v>
      </c>
    </row>
    <row r="26" spans="1:27" x14ac:dyDescent="0.3">
      <c r="E26" s="1" t="s">
        <v>260</v>
      </c>
      <c r="K26" t="s">
        <v>163</v>
      </c>
      <c r="Z26" t="s">
        <v>65</v>
      </c>
    </row>
    <row r="27" spans="1:27" x14ac:dyDescent="0.3">
      <c r="E27" s="1" t="s">
        <v>264</v>
      </c>
      <c r="K27" t="s">
        <v>164</v>
      </c>
      <c r="Z27" t="s">
        <v>151</v>
      </c>
    </row>
    <row r="28" spans="1:27" x14ac:dyDescent="0.3">
      <c r="A28">
        <v>2021</v>
      </c>
      <c r="B28">
        <v>8741</v>
      </c>
    </row>
    <row r="29" spans="1:27" x14ac:dyDescent="0.3">
      <c r="A29" t="s">
        <v>124</v>
      </c>
      <c r="K29" t="s">
        <v>165</v>
      </c>
      <c r="Y29" s="22" t="s">
        <v>72</v>
      </c>
      <c r="Z29" s="22" t="s">
        <v>74</v>
      </c>
      <c r="AA29" s="22"/>
    </row>
    <row r="30" spans="1:27" x14ac:dyDescent="0.3">
      <c r="Y30" s="22"/>
      <c r="Z30" s="22" t="s">
        <v>75</v>
      </c>
      <c r="AA30" s="22"/>
    </row>
    <row r="31" spans="1:27" x14ac:dyDescent="0.3">
      <c r="L31" t="s">
        <v>166</v>
      </c>
      <c r="Y31" s="22"/>
      <c r="Z31" s="22" t="s">
        <v>76</v>
      </c>
      <c r="AA31" s="22"/>
    </row>
    <row r="32" spans="1:27" x14ac:dyDescent="0.3">
      <c r="L32" t="s">
        <v>167</v>
      </c>
      <c r="Y32" s="22"/>
      <c r="Z32" s="22"/>
      <c r="AA32" s="22"/>
    </row>
    <row r="33" spans="1:32" x14ac:dyDescent="0.3">
      <c r="Y33" s="22"/>
      <c r="Z33" s="22"/>
      <c r="AA33" s="22"/>
    </row>
    <row r="34" spans="1:32" x14ac:dyDescent="0.3">
      <c r="Y34" s="22" t="s">
        <v>77</v>
      </c>
      <c r="Z34" s="22" t="s">
        <v>78</v>
      </c>
      <c r="AA34" s="22"/>
    </row>
    <row r="35" spans="1:32" x14ac:dyDescent="0.3">
      <c r="L35" t="s">
        <v>169</v>
      </c>
      <c r="Y35" s="22"/>
      <c r="Z35" s="22" t="s">
        <v>79</v>
      </c>
      <c r="AA35" s="22"/>
    </row>
    <row r="36" spans="1:32" x14ac:dyDescent="0.3">
      <c r="Y36" s="22"/>
      <c r="Z36" s="22" t="s">
        <v>80</v>
      </c>
      <c r="AA36" s="22"/>
    </row>
    <row r="37" spans="1:32" x14ac:dyDescent="0.3">
      <c r="Y37" s="22"/>
      <c r="Z37" s="22" t="s">
        <v>81</v>
      </c>
      <c r="AA37" s="22"/>
    </row>
    <row r="39" spans="1:32" x14ac:dyDescent="0.3">
      <c r="A39" s="1" t="s">
        <v>61</v>
      </c>
      <c r="B39" s="1" t="s">
        <v>57</v>
      </c>
      <c r="C39" s="1"/>
      <c r="D39" s="1"/>
      <c r="E39" s="1"/>
    </row>
    <row r="40" spans="1:32" x14ac:dyDescent="0.3">
      <c r="A40" s="1"/>
      <c r="B40" s="1" t="s">
        <v>58</v>
      </c>
      <c r="C40" s="1"/>
      <c r="D40" s="1"/>
      <c r="E40" s="1"/>
      <c r="L40" s="1" t="s">
        <v>68</v>
      </c>
    </row>
    <row r="41" spans="1:32" x14ac:dyDescent="0.3">
      <c r="A41" s="19"/>
      <c r="B41" s="28" t="s">
        <v>59</v>
      </c>
      <c r="C41" s="19"/>
      <c r="D41" s="19"/>
      <c r="E41" s="19"/>
      <c r="L41" s="1"/>
      <c r="Z41" s="1" t="s">
        <v>230</v>
      </c>
      <c r="AA41" s="1"/>
      <c r="AB41" s="1"/>
      <c r="AC41" s="1"/>
      <c r="AD41" s="1"/>
      <c r="AE41" s="1"/>
      <c r="AF41" s="1"/>
    </row>
    <row r="42" spans="1:32" x14ac:dyDescent="0.3">
      <c r="A42" s="19"/>
      <c r="B42" s="19" t="s">
        <v>60</v>
      </c>
      <c r="C42" s="19"/>
      <c r="D42" s="19"/>
      <c r="E42" s="19"/>
      <c r="K42" t="s">
        <v>67</v>
      </c>
      <c r="L42" t="s">
        <v>69</v>
      </c>
      <c r="Z42" s="1" t="s">
        <v>231</v>
      </c>
      <c r="AA42" s="1"/>
      <c r="AB42" s="1"/>
      <c r="AC42" s="1" t="s">
        <v>235</v>
      </c>
      <c r="AD42" s="1"/>
      <c r="AE42" s="1"/>
      <c r="AF42" s="1" t="s">
        <v>236</v>
      </c>
    </row>
    <row r="43" spans="1:32" x14ac:dyDescent="0.3">
      <c r="K43" s="1"/>
      <c r="L43" s="1" t="s">
        <v>70</v>
      </c>
      <c r="M43" s="1"/>
      <c r="Z43" s="1" t="s">
        <v>232</v>
      </c>
      <c r="AA43" s="1"/>
      <c r="AB43" s="1"/>
      <c r="AC43" s="1"/>
      <c r="AD43" s="1"/>
      <c r="AE43" s="1"/>
      <c r="AF43" s="1"/>
    </row>
    <row r="44" spans="1:32" x14ac:dyDescent="0.3">
      <c r="B44" t="s">
        <v>62</v>
      </c>
      <c r="K44" s="22"/>
      <c r="L44" s="22" t="s">
        <v>71</v>
      </c>
      <c r="M44" s="22"/>
      <c r="Z44" s="1"/>
      <c r="AA44" s="1"/>
      <c r="AB44" s="1"/>
      <c r="AC44" s="1"/>
      <c r="AD44" s="1"/>
      <c r="AE44" s="1"/>
      <c r="AF44" s="1"/>
    </row>
    <row r="45" spans="1:32" x14ac:dyDescent="0.3">
      <c r="B45" t="s">
        <v>63</v>
      </c>
      <c r="K45" s="22"/>
      <c r="L45" s="22" t="s">
        <v>73</v>
      </c>
      <c r="M45" s="22"/>
      <c r="N45" t="s">
        <v>170</v>
      </c>
      <c r="Z45" s="1" t="s">
        <v>233</v>
      </c>
      <c r="AA45" s="1"/>
      <c r="AB45" s="1"/>
      <c r="AC45" s="1"/>
      <c r="AD45" s="1"/>
      <c r="AE45" s="1"/>
      <c r="AF45" s="1"/>
    </row>
    <row r="46" spans="1:32" x14ac:dyDescent="0.3">
      <c r="K46" s="22"/>
      <c r="L46" s="22"/>
      <c r="M46" s="22"/>
      <c r="Z46" s="1" t="s">
        <v>234</v>
      </c>
      <c r="AA46" s="1"/>
      <c r="AB46" s="1"/>
      <c r="AC46" s="1"/>
      <c r="AD46" s="1"/>
      <c r="AE46" s="1"/>
      <c r="AF46" s="1"/>
    </row>
    <row r="47" spans="1:32" x14ac:dyDescent="0.3">
      <c r="B47" s="22" t="str">
        <f>'Saas Model'!B18</f>
        <v>IT MSFT Services 800-number</v>
      </c>
      <c r="C47" s="22"/>
      <c r="D47" s="23"/>
      <c r="E47" s="23"/>
      <c r="K47" s="22"/>
      <c r="L47" s="22"/>
      <c r="M47" s="22"/>
      <c r="Z47" s="1"/>
      <c r="AA47" s="1"/>
      <c r="AB47" s="1"/>
      <c r="AC47" s="1"/>
      <c r="AD47" s="1"/>
      <c r="AE47" s="1"/>
      <c r="AF47" s="1"/>
    </row>
    <row r="48" spans="1:32" x14ac:dyDescent="0.3">
      <c r="B48" s="22" t="s">
        <v>53</v>
      </c>
      <c r="C48" s="22"/>
      <c r="D48" s="23"/>
      <c r="E48" s="23"/>
      <c r="K48" s="22"/>
      <c r="L48" s="22"/>
      <c r="M48" s="22"/>
      <c r="Z48" s="1"/>
      <c r="AA48" s="1"/>
      <c r="AB48" s="1"/>
      <c r="AC48" s="1"/>
      <c r="AD48" s="1"/>
      <c r="AE48" s="1"/>
      <c r="AF48" s="1"/>
    </row>
    <row r="49" spans="2:32" x14ac:dyDescent="0.3">
      <c r="B49" t="s">
        <v>54</v>
      </c>
      <c r="D49" s="23"/>
      <c r="E49" s="23"/>
      <c r="K49" s="22"/>
      <c r="L49" s="22" t="s">
        <v>76</v>
      </c>
      <c r="M49" s="22"/>
      <c r="Z49" s="1"/>
      <c r="AA49" s="1"/>
      <c r="AB49" s="1"/>
      <c r="AC49" s="1"/>
      <c r="AD49" s="1"/>
      <c r="AE49" s="1"/>
      <c r="AF49" s="1"/>
    </row>
    <row r="50" spans="2:32" x14ac:dyDescent="0.3">
      <c r="D50" s="23"/>
      <c r="E50" s="23"/>
      <c r="K50" s="22"/>
      <c r="L50" s="22" t="s">
        <v>171</v>
      </c>
      <c r="M50" s="22"/>
      <c r="Z50" s="1"/>
      <c r="AA50" s="1"/>
      <c r="AB50" s="1"/>
      <c r="AC50" s="1"/>
      <c r="AD50" s="1"/>
      <c r="AE50" s="1"/>
      <c r="AF50" s="1"/>
    </row>
    <row r="51" spans="2:32" x14ac:dyDescent="0.3">
      <c r="D51" s="23"/>
      <c r="E51" s="23"/>
      <c r="K51" s="22"/>
      <c r="L51" s="22"/>
      <c r="M51" s="22"/>
      <c r="Z51" s="1"/>
      <c r="AA51" s="1"/>
      <c r="AB51" s="1"/>
      <c r="AC51" s="1"/>
      <c r="AD51" s="1"/>
      <c r="AE51" s="1"/>
      <c r="AF51" s="1"/>
    </row>
    <row r="52" spans="2:32" x14ac:dyDescent="0.3">
      <c r="B52" t="s">
        <v>55</v>
      </c>
      <c r="D52" s="23"/>
      <c r="E52" s="23"/>
      <c r="K52" s="22" t="s">
        <v>77</v>
      </c>
      <c r="L52" s="22" t="s">
        <v>78</v>
      </c>
      <c r="M52" s="22"/>
      <c r="Z52" s="1"/>
      <c r="AA52" s="1"/>
      <c r="AB52" s="1"/>
      <c r="AC52" s="1"/>
      <c r="AD52" s="1"/>
      <c r="AE52" s="1"/>
      <c r="AF52" s="1"/>
    </row>
    <row r="53" spans="2:32" x14ac:dyDescent="0.3">
      <c r="B53" t="s">
        <v>56</v>
      </c>
      <c r="D53" s="23"/>
      <c r="E53" s="23"/>
      <c r="K53" s="22"/>
      <c r="L53" s="22" t="s">
        <v>81</v>
      </c>
      <c r="M53" s="22"/>
      <c r="Z53" s="1"/>
      <c r="AA53" s="1"/>
      <c r="AB53" s="1"/>
      <c r="AC53" s="1"/>
      <c r="AD53" s="1"/>
      <c r="AE53" s="1"/>
      <c r="AF53" s="1"/>
    </row>
    <row r="54" spans="2:32" x14ac:dyDescent="0.3">
      <c r="K54" s="22"/>
      <c r="L54" s="22"/>
      <c r="M54" s="22"/>
      <c r="N54" s="22"/>
      <c r="Z54" s="1" t="s">
        <v>238</v>
      </c>
      <c r="AA54" s="1"/>
      <c r="AB54" s="1"/>
      <c r="AC54" s="1"/>
      <c r="AD54" s="1"/>
      <c r="AE54" s="1"/>
      <c r="AF54" s="1"/>
    </row>
    <row r="55" spans="2:32" x14ac:dyDescent="0.3">
      <c r="Z55" s="1" t="s">
        <v>239</v>
      </c>
      <c r="AA55" s="1"/>
      <c r="AB55" s="1"/>
      <c r="AC55" s="1"/>
      <c r="AD55" s="1"/>
      <c r="AE55" s="1"/>
      <c r="AF55" s="1"/>
    </row>
    <row r="56" spans="2:32" x14ac:dyDescent="0.3">
      <c r="Z56" s="1"/>
      <c r="AA56" s="1"/>
      <c r="AB56" s="1"/>
      <c r="AC56" s="1"/>
      <c r="AD56" s="1"/>
      <c r="AE56" s="1"/>
      <c r="AF56" s="1"/>
    </row>
    <row r="57" spans="2:32" x14ac:dyDescent="0.3">
      <c r="Z57" s="1"/>
      <c r="AA57" s="1"/>
      <c r="AB57" s="1"/>
      <c r="AC57" s="1"/>
      <c r="AD57" s="1"/>
      <c r="AE57" s="1"/>
      <c r="AF57" s="1"/>
    </row>
    <row r="58" spans="2:32" x14ac:dyDescent="0.3">
      <c r="Z58" s="1"/>
      <c r="AA58" s="1"/>
      <c r="AB58" s="1"/>
      <c r="AC58" s="1"/>
      <c r="AD58" s="1"/>
      <c r="AE58" s="1"/>
      <c r="AF58" s="1"/>
    </row>
    <row r="59" spans="2:32" x14ac:dyDescent="0.3">
      <c r="Z59" s="1"/>
      <c r="AA59" s="1"/>
      <c r="AB59" s="1"/>
      <c r="AC59" s="1"/>
      <c r="AD59" s="1"/>
      <c r="AE59" s="1"/>
      <c r="AF59" s="1"/>
    </row>
    <row r="60" spans="2:32" x14ac:dyDescent="0.3">
      <c r="Z60" s="1"/>
      <c r="AA60" s="1" t="s">
        <v>240</v>
      </c>
      <c r="AB60" s="1"/>
      <c r="AC60" s="1"/>
      <c r="AD60" s="1"/>
      <c r="AE60" s="1"/>
      <c r="AF60" s="1"/>
    </row>
    <row r="61" spans="2:32" x14ac:dyDescent="0.3">
      <c r="Z61" s="1"/>
      <c r="AA61" s="1" t="s">
        <v>157</v>
      </c>
      <c r="AB61" s="1"/>
      <c r="AC61" s="1"/>
      <c r="AD61" s="1"/>
      <c r="AE61" s="1"/>
      <c r="AF61" s="1"/>
    </row>
    <row r="62" spans="2:32" x14ac:dyDescent="0.3">
      <c r="Z62" s="1"/>
      <c r="AA62" s="1" t="s">
        <v>241</v>
      </c>
      <c r="AB62" s="1"/>
      <c r="AC62" s="1"/>
      <c r="AD62" s="1"/>
      <c r="AE62" s="1"/>
      <c r="AF62" s="1"/>
    </row>
    <row r="63" spans="2:32" x14ac:dyDescent="0.3">
      <c r="Z63" s="1"/>
      <c r="AA63" s="1" t="s">
        <v>242</v>
      </c>
      <c r="AB63" s="1"/>
      <c r="AC63" s="1"/>
      <c r="AD63" s="1"/>
      <c r="AE63" s="1"/>
      <c r="AF63" s="1"/>
    </row>
    <row r="64" spans="2:32" x14ac:dyDescent="0.3">
      <c r="Z64" s="1"/>
      <c r="AA64" s="1"/>
      <c r="AB64" s="1"/>
      <c r="AC64" s="1"/>
      <c r="AD64" s="1"/>
      <c r="AE64" s="1"/>
      <c r="AF64" s="1"/>
    </row>
    <row r="65" spans="26:32" x14ac:dyDescent="0.3">
      <c r="Z65" s="1"/>
      <c r="AA65" s="1"/>
      <c r="AB65" s="1"/>
      <c r="AC65" s="1"/>
      <c r="AD65" s="1"/>
      <c r="AE65" s="1"/>
      <c r="AF65" s="1"/>
    </row>
    <row r="66" spans="26:32" x14ac:dyDescent="0.3">
      <c r="Z66" s="1"/>
      <c r="AA66" s="1"/>
      <c r="AB66" s="1"/>
      <c r="AC66" s="1"/>
      <c r="AD66" s="1"/>
      <c r="AE66" s="1"/>
      <c r="AF66" s="1"/>
    </row>
    <row r="67" spans="26:32" x14ac:dyDescent="0.3">
      <c r="Z67" s="1"/>
      <c r="AA67" s="1"/>
      <c r="AB67" s="1"/>
      <c r="AC67" s="1"/>
      <c r="AD67" s="1"/>
      <c r="AE67" s="1"/>
      <c r="AF67" s="1"/>
    </row>
  </sheetData>
  <mergeCells count="1">
    <mergeCell ref="A25:D25"/>
  </mergeCells>
  <conditionalFormatting sqref="B47:E53">
    <cfRule type="expression" dxfId="1" priority="1">
      <formula>B47=$C$57</formula>
    </cfRule>
    <cfRule type="expression" dxfId="0" priority="2">
      <formula>B47=#REF!</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C9B5D-AF3D-4B7B-9D8D-772957BB6BB1}">
  <dimension ref="A1:C21"/>
  <sheetViews>
    <sheetView zoomScale="70" zoomScaleNormal="70" workbookViewId="0">
      <selection activeCell="A10" sqref="A10"/>
    </sheetView>
  </sheetViews>
  <sheetFormatPr defaultRowHeight="14.4" x14ac:dyDescent="0.3"/>
  <cols>
    <col min="1" max="1" width="132.33203125" bestFit="1" customWidth="1"/>
  </cols>
  <sheetData>
    <row r="1" spans="1:3" x14ac:dyDescent="0.3">
      <c r="A1" t="s">
        <v>107</v>
      </c>
    </row>
    <row r="2" spans="1:3" x14ac:dyDescent="0.3">
      <c r="A2" t="s">
        <v>210</v>
      </c>
    </row>
    <row r="4" spans="1:3" x14ac:dyDescent="0.3">
      <c r="A4" s="52"/>
    </row>
    <row r="6" spans="1:3" x14ac:dyDescent="0.3">
      <c r="A6" t="s">
        <v>243</v>
      </c>
    </row>
    <row r="7" spans="1:3" x14ac:dyDescent="0.3">
      <c r="A7" t="s">
        <v>108</v>
      </c>
    </row>
    <row r="9" spans="1:3" x14ac:dyDescent="0.3">
      <c r="A9" s="22" t="s">
        <v>49</v>
      </c>
      <c r="B9" s="22"/>
      <c r="C9" s="22"/>
    </row>
    <row r="10" spans="1:3" x14ac:dyDescent="0.3">
      <c r="A10" s="22" t="s">
        <v>50</v>
      </c>
      <c r="B10" s="22"/>
      <c r="C10" s="22"/>
    </row>
    <row r="11" spans="1:3" x14ac:dyDescent="0.3">
      <c r="A11" s="22" t="s">
        <v>52</v>
      </c>
      <c r="B11" s="22"/>
      <c r="C11" s="22"/>
    </row>
    <row r="12" spans="1:3" x14ac:dyDescent="0.3">
      <c r="A12" s="22" t="s">
        <v>51</v>
      </c>
      <c r="B12" s="22"/>
      <c r="C12" s="22"/>
    </row>
    <row r="13" spans="1:3" x14ac:dyDescent="0.3">
      <c r="A13" s="22"/>
      <c r="B13" s="22"/>
      <c r="C13" s="22"/>
    </row>
    <row r="14" spans="1:3" x14ac:dyDescent="0.3">
      <c r="A14" s="22" t="s">
        <v>109</v>
      </c>
      <c r="B14" s="22"/>
      <c r="C14" s="22"/>
    </row>
    <row r="15" spans="1:3" x14ac:dyDescent="0.3">
      <c r="A15" s="22" t="s">
        <v>110</v>
      </c>
    </row>
    <row r="18" spans="1:1" x14ac:dyDescent="0.3">
      <c r="A18" s="22" t="s">
        <v>211</v>
      </c>
    </row>
    <row r="20" spans="1:1" x14ac:dyDescent="0.3">
      <c r="A20" s="22" t="s">
        <v>123</v>
      </c>
    </row>
    <row r="21" spans="1:1" x14ac:dyDescent="0.3">
      <c r="A21" s="6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Saas Model</vt:lpstr>
      <vt:lpstr>Model with partnerships</vt:lpstr>
      <vt:lpstr>Partnership breakdown</vt:lpstr>
      <vt:lpstr>Company Growth</vt:lpstr>
      <vt:lpstr>Rates</vt:lpstr>
      <vt:lpstr>Competitor Growth &amp; Margins</vt:lpstr>
      <vt:lpstr>WACC</vt:lpstr>
      <vt:lpstr>Scribbles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Amaha Selassie</dc:creator>
  <cp:lastModifiedBy>Isaiah Gains</cp:lastModifiedBy>
  <cp:revision>1</cp:revision>
  <dcterms:created xsi:type="dcterms:W3CDTF">2023-04-13T18:56:03Z</dcterms:created>
  <dcterms:modified xsi:type="dcterms:W3CDTF">2025-01-25T12:39:01Z</dcterms:modified>
</cp:coreProperties>
</file>